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/chart3.xml" ContentType="application/vnd.openxmlformats-officedocument.drawingml.char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2" firstSheet="0" activeTab="4"/>
  </bookViews>
  <sheets>
    <sheet name="Hoja1" sheetId="1" state="visible" r:id="rId2"/>
    <sheet name="Piramide poblacional" sheetId="2" state="visible" r:id="rId3"/>
    <sheet name="Interpolacion de beers" sheetId="3" state="visible" r:id="rId4"/>
    <sheet name="Hoja2" sheetId="4" state="visible" r:id="rId5"/>
    <sheet name="Tabla de Mortalidad" sheetId="5" state="visible" r:id="rId6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<sst xmlns="http://schemas.openxmlformats.org/spreadsheetml/2006/main" count="328" uniqueCount="143">
  <si>
    <t xml:space="preserve">Grupos quinquenales de edad</t>
  </si>
  <si>
    <t xml:space="preserve">Población total</t>
  </si>
  <si>
    <t xml:space="preserve">Hombres</t>
  </si>
  <si>
    <t xml:space="preserve">Mujeres</t>
  </si>
  <si>
    <t xml:space="preserve">00-04 años</t>
  </si>
  <si>
    <t xml:space="preserve">05-09 años</t>
  </si>
  <si>
    <t xml:space="preserve">10-14 años</t>
  </si>
  <si>
    <t xml:space="preserve">15-19 años</t>
  </si>
  <si>
    <t xml:space="preserve">20-24 años</t>
  </si>
  <si>
    <t xml:space="preserve">25-29 años</t>
  </si>
  <si>
    <t xml:space="preserve">30-34 años</t>
  </si>
  <si>
    <t xml:space="preserve">35-39 años</t>
  </si>
  <si>
    <t xml:space="preserve">40-44 años</t>
  </si>
  <si>
    <t xml:space="preserve">45-49 años</t>
  </si>
  <si>
    <t xml:space="preserve">50-54 años</t>
  </si>
  <si>
    <t xml:space="preserve">55-59 años</t>
  </si>
  <si>
    <t xml:space="preserve">60-64 años</t>
  </si>
  <si>
    <t xml:space="preserve">65-69 años</t>
  </si>
  <si>
    <t xml:space="preserve">70-74 años</t>
  </si>
  <si>
    <t xml:space="preserve">75 años y más</t>
  </si>
  <si>
    <t xml:space="preserve">No especificado</t>
  </si>
  <si>
    <t xml:space="preserve">Población quinquenal de Chihuahua.</t>
  </si>
  <si>
    <t xml:space="preserve">Distribuyendo no especificados</t>
  </si>
  <si>
    <t xml:space="preserve">Porcentajes</t>
  </si>
  <si>
    <t xml:space="preserve">Edad</t>
  </si>
  <si>
    <t xml:space="preserve">De 0 a 4 años</t>
  </si>
  <si>
    <t xml:space="preserve">De 5 a 9 años</t>
  </si>
  <si>
    <t xml:space="preserve">De 10 a 14 años</t>
  </si>
  <si>
    <t xml:space="preserve">De 15 a 19 años</t>
  </si>
  <si>
    <t xml:space="preserve">De 20 a 24 años</t>
  </si>
  <si>
    <t xml:space="preserve">De 25 a 29 años</t>
  </si>
  <si>
    <t xml:space="preserve">De 30 a 34 años</t>
  </si>
  <si>
    <t xml:space="preserve">De 35 a 39 años</t>
  </si>
  <si>
    <t xml:space="preserve">De 40 a 44 años</t>
  </si>
  <si>
    <t xml:space="preserve">De 45 a 49 años</t>
  </si>
  <si>
    <t xml:space="preserve">De 50 a 54 años</t>
  </si>
  <si>
    <t xml:space="preserve">De 55 a 59 años</t>
  </si>
  <si>
    <t xml:space="preserve">De 60 a 64 años</t>
  </si>
  <si>
    <t xml:space="preserve">De 65 a 69 años</t>
  </si>
  <si>
    <t xml:space="preserve">De 70 a 74 años</t>
  </si>
  <si>
    <t xml:space="preserve">De 75 y más</t>
  </si>
  <si>
    <t xml:space="preserve">Interpolation Coefficients based on the Beers "Ordinary" Formula</t>
  </si>
  <si>
    <t xml:space="preserve">For subdivision of groups into fifiths</t>
  </si>
  <si>
    <t xml:space="preserve">Interpolated
subgroup</t>
  </si>
  <si>
    <t xml:space="preserve">Coefficients to be applied to</t>
  </si>
  <si>
    <t xml:space="preserve">G1</t>
  </si>
  <si>
    <t xml:space="preserve">G2</t>
  </si>
  <si>
    <t xml:space="preserve">G3</t>
  </si>
  <si>
    <t xml:space="preserve">G4</t>
  </si>
  <si>
    <t xml:space="preserve">G5</t>
  </si>
  <si>
    <t xml:space="preserve">First panel</t>
  </si>
  <si>
    <t xml:space="preserve">Población</t>
  </si>
  <si>
    <t xml:space="preserve">Pob</t>
  </si>
  <si>
    <t xml:space="preserve">1st fifth of G1</t>
  </si>
  <si>
    <t xml:space="preserve">2nd fifth of G1</t>
  </si>
  <si>
    <t xml:space="preserve">3th fifth of G1</t>
  </si>
  <si>
    <t xml:space="preserve">4th fifth of G1</t>
  </si>
  <si>
    <t xml:space="preserve">5th fifth of G1</t>
  </si>
  <si>
    <t xml:space="preserve">Next to first panel</t>
  </si>
  <si>
    <t xml:space="preserve">75 y mas</t>
  </si>
  <si>
    <t xml:space="preserve">1st fifth of G2</t>
  </si>
  <si>
    <t xml:space="preserve">2nd fifth of G2</t>
  </si>
  <si>
    <t xml:space="preserve">3th fifth of G2</t>
  </si>
  <si>
    <t xml:space="preserve">4th fifth of G2</t>
  </si>
  <si>
    <t xml:space="preserve">5th fifth of G2</t>
  </si>
  <si>
    <t xml:space="preserve">Middle panel</t>
  </si>
  <si>
    <t xml:space="preserve">1st fifth of G3</t>
  </si>
  <si>
    <t xml:space="preserve">2nd fifth of G3</t>
  </si>
  <si>
    <t xml:space="preserve">3th fifth of G3</t>
  </si>
  <si>
    <t xml:space="preserve">4th fifth of G3</t>
  </si>
  <si>
    <t xml:space="preserve">5th fifth of G3</t>
  </si>
  <si>
    <t xml:space="preserve">Next to last panel</t>
  </si>
  <si>
    <t xml:space="preserve">1st fifth of G4</t>
  </si>
  <si>
    <t xml:space="preserve">2nd fifth of G4</t>
  </si>
  <si>
    <t xml:space="preserve">3th fifth of G4</t>
  </si>
  <si>
    <t xml:space="preserve">4th fifth of G4</t>
  </si>
  <si>
    <t xml:space="preserve">5th fifth of G4</t>
  </si>
  <si>
    <t xml:space="preserve">Last panel</t>
  </si>
  <si>
    <t xml:space="preserve">1st fifth of G5</t>
  </si>
  <si>
    <t xml:space="preserve">2nd fifth of G5</t>
  </si>
  <si>
    <t xml:space="preserve">3th fifth of G5</t>
  </si>
  <si>
    <t xml:space="preserve">4th fifth of G5</t>
  </si>
  <si>
    <t xml:space="preserve">5th fifth of G5</t>
  </si>
  <si>
    <t xml:space="preserve">Source: Beers, Henry S. (1945) "Six-Term Formulas for Routine Actuarial 
Interpolation" in Discussion of Papers Presented in the Record, No.68, The 
Record of the American Institute of Actuaries, 34, Part I (69):59-60. </t>
  </si>
  <si>
    <t xml:space="preserve">Población interpolada por el metodo de Beers.</t>
  </si>
  <si>
    <t xml:space="preserve">Población corregida por el metodo de 1/16</t>
  </si>
  <si>
    <t xml:space="preserve">DESCRIP</t>
  </si>
  <si>
    <t xml:space="preserve">TOTAL</t>
  </si>
  <si>
    <t xml:space="preserve">Corregida</t>
  </si>
  <si>
    <t xml:space="preserve">Menores de un año</t>
  </si>
  <si>
    <t xml:space="preserve">HOMBRES</t>
  </si>
  <si>
    <t xml:space="preserve">De un año</t>
  </si>
  <si>
    <t xml:space="preserve">n</t>
  </si>
  <si>
    <r>
      <rPr>
        <b val="true"/>
        <sz val="11"/>
        <color rgb="FF000000"/>
        <rFont val="Calibri"/>
        <family val="2"/>
        <charset val="1"/>
      </rPr>
      <t xml:space="preserve">n</t>
    </r>
    <r>
      <rPr>
        <b val="true"/>
        <sz val="14"/>
        <color rgb="FF000000"/>
        <rFont val="Calibri"/>
        <family val="2"/>
        <charset val="1"/>
      </rPr>
      <t xml:space="preserve">m</t>
    </r>
    <r>
      <rPr>
        <b val="true"/>
        <sz val="11"/>
        <color rgb="FF000000"/>
        <rFont val="Calibri"/>
        <family val="2"/>
        <charset val="1"/>
      </rPr>
      <t xml:space="preserve">x</t>
    </r>
  </si>
  <si>
    <r>
      <rPr>
        <b val="true"/>
        <sz val="11"/>
        <color rgb="FF000000"/>
        <rFont val="Calibri"/>
        <family val="2"/>
        <charset val="1"/>
      </rPr>
      <t xml:space="preserve">n</t>
    </r>
    <r>
      <rPr>
        <b val="true"/>
        <sz val="14"/>
        <color rgb="FF000000"/>
        <rFont val="Calibri"/>
        <family val="2"/>
        <charset val="1"/>
      </rPr>
      <t xml:space="preserve">q</t>
    </r>
    <r>
      <rPr>
        <b val="true"/>
        <sz val="11"/>
        <color rgb="FF000000"/>
        <rFont val="Calibri"/>
        <family val="2"/>
        <charset val="1"/>
      </rPr>
      <t xml:space="preserve">x</t>
    </r>
  </si>
  <si>
    <r>
      <rPr>
        <b val="true"/>
        <sz val="11"/>
        <color rgb="FF000000"/>
        <rFont val="Calibri"/>
        <family val="2"/>
        <charset val="1"/>
      </rPr>
      <t xml:space="preserve">n</t>
    </r>
    <r>
      <rPr>
        <b val="true"/>
        <sz val="14"/>
        <color rgb="FF000000"/>
        <rFont val="Calibri"/>
        <family val="2"/>
        <charset val="1"/>
      </rPr>
      <t xml:space="preserve">p</t>
    </r>
    <r>
      <rPr>
        <b val="true"/>
        <sz val="11"/>
        <color rgb="FF000000"/>
        <rFont val="Calibri"/>
        <family val="2"/>
        <charset val="1"/>
      </rPr>
      <t xml:space="preserve">x</t>
    </r>
  </si>
  <si>
    <r>
      <rPr>
        <b val="true"/>
        <sz val="14"/>
        <color rgb="FF000000"/>
        <rFont val="Calibri"/>
        <family val="2"/>
        <charset val="1"/>
      </rPr>
      <t xml:space="preserve">l</t>
    </r>
    <r>
      <rPr>
        <b val="true"/>
        <sz val="11"/>
        <color rgb="FF000000"/>
        <rFont val="Calibri"/>
        <family val="2"/>
        <charset val="1"/>
      </rPr>
      <t xml:space="preserve">x</t>
    </r>
  </si>
  <si>
    <r>
      <rPr>
        <b val="true"/>
        <sz val="11"/>
        <color rgb="FF000000"/>
        <rFont val="Calibri"/>
        <family val="2"/>
        <charset val="1"/>
      </rPr>
      <t xml:space="preserve">n</t>
    </r>
    <r>
      <rPr>
        <b val="true"/>
        <sz val="14"/>
        <color rgb="FF000000"/>
        <rFont val="Calibri"/>
        <family val="2"/>
        <charset val="1"/>
      </rPr>
      <t xml:space="preserve">d</t>
    </r>
    <r>
      <rPr>
        <b val="true"/>
        <sz val="11"/>
        <color rgb="FF000000"/>
        <rFont val="Calibri"/>
        <family val="2"/>
        <charset val="1"/>
      </rPr>
      <t xml:space="preserve">x</t>
    </r>
  </si>
  <si>
    <r>
      <rPr>
        <b val="true"/>
        <sz val="11"/>
        <color rgb="FF000000"/>
        <rFont val="Calibri"/>
        <family val="2"/>
        <charset val="1"/>
      </rPr>
      <t xml:space="preserve">n</t>
    </r>
    <r>
      <rPr>
        <b val="true"/>
        <sz val="14"/>
        <color rgb="FF000000"/>
        <rFont val="Calibri"/>
        <family val="2"/>
        <charset val="1"/>
      </rPr>
      <t xml:space="preserve">L</t>
    </r>
    <r>
      <rPr>
        <b val="true"/>
        <sz val="11"/>
        <color rgb="FF000000"/>
        <rFont val="Calibri"/>
        <family val="2"/>
        <charset val="1"/>
      </rPr>
      <t xml:space="preserve">x</t>
    </r>
  </si>
  <si>
    <r>
      <rPr>
        <b val="true"/>
        <sz val="11"/>
        <color rgb="FF000000"/>
        <rFont val="Calibri"/>
        <family val="2"/>
        <charset val="1"/>
      </rPr>
      <t xml:space="preserve">n</t>
    </r>
    <r>
      <rPr>
        <b val="true"/>
        <sz val="14"/>
        <color rgb="FF000000"/>
        <rFont val="Calibri"/>
        <family val="2"/>
        <charset val="1"/>
      </rPr>
      <t xml:space="preserve">T</t>
    </r>
    <r>
      <rPr>
        <b val="true"/>
        <sz val="11"/>
        <color rgb="FF000000"/>
        <rFont val="Calibri"/>
        <family val="2"/>
        <charset val="1"/>
      </rPr>
      <t xml:space="preserve">x</t>
    </r>
  </si>
  <si>
    <r>
      <rPr>
        <b val="true"/>
        <sz val="14"/>
        <color rgb="FF000000"/>
        <rFont val="Calibri"/>
        <family val="2"/>
        <charset val="1"/>
      </rPr>
      <t xml:space="preserve">e°</t>
    </r>
    <r>
      <rPr>
        <b val="true"/>
        <sz val="11"/>
        <color rgb="FF000000"/>
        <rFont val="Calibri"/>
        <family val="2"/>
        <charset val="1"/>
      </rPr>
      <t xml:space="preserve">x</t>
    </r>
  </si>
  <si>
    <r>
      <rPr>
        <b val="true"/>
        <sz val="11"/>
        <color rgb="FF000000"/>
        <rFont val="Calibri"/>
        <family val="2"/>
        <charset val="1"/>
      </rPr>
      <t xml:space="preserve">n</t>
    </r>
    <r>
      <rPr>
        <b val="true"/>
        <sz val="14"/>
        <color rgb="FF000000"/>
        <rFont val="Calibri"/>
        <family val="2"/>
        <charset val="1"/>
      </rPr>
      <t xml:space="preserve">d</t>
    </r>
    <r>
      <rPr>
        <b val="true"/>
        <sz val="11"/>
        <color rgb="FF000000"/>
        <rFont val="Calibri"/>
        <family val="2"/>
        <charset val="1"/>
      </rPr>
      <t xml:space="preserve">x,j</t>
    </r>
  </si>
  <si>
    <t xml:space="preserve">x</t>
  </si>
  <si>
    <r>
      <rPr>
        <b val="true"/>
        <sz val="11"/>
        <color rgb="FF000000"/>
        <rFont val="Calibri"/>
        <family val="2"/>
        <charset val="1"/>
      </rPr>
      <t xml:space="preserve">n</t>
    </r>
    <r>
      <rPr>
        <b val="true"/>
        <sz val="14"/>
        <color rgb="FF000000"/>
        <rFont val="Calibri"/>
        <family val="2"/>
        <charset val="1"/>
      </rPr>
      <t xml:space="preserve">AEVP</t>
    </r>
    <r>
      <rPr>
        <b val="true"/>
        <sz val="11"/>
        <color rgb="FF000000"/>
        <rFont val="Calibri"/>
        <family val="2"/>
        <charset val="1"/>
      </rPr>
      <t xml:space="preserve">x,j</t>
    </r>
  </si>
  <si>
    <r>
      <rPr>
        <b val="true"/>
        <sz val="11"/>
        <color rgb="FF000000"/>
        <rFont val="Calibri"/>
        <family val="2"/>
        <charset val="1"/>
      </rPr>
      <t xml:space="preserve">n</t>
    </r>
    <r>
      <rPr>
        <b val="true"/>
        <i val="true"/>
        <sz val="16"/>
        <color rgb="FF000000"/>
        <rFont val="Calibri"/>
        <family val="2"/>
        <charset val="1"/>
      </rPr>
      <t xml:space="preserve">avpp</t>
    </r>
    <r>
      <rPr>
        <b val="true"/>
        <sz val="11"/>
        <color rgb="FF000000"/>
        <rFont val="Calibri"/>
        <family val="2"/>
        <charset val="1"/>
      </rPr>
      <t xml:space="preserve">x,j</t>
    </r>
  </si>
  <si>
    <t xml:space="preserve">De 4 años</t>
  </si>
  <si>
    <t xml:space="preserve">De 2 años</t>
  </si>
  <si>
    <t xml:space="preserve">Defunciones</t>
  </si>
  <si>
    <t xml:space="preserve">Defunciones por agresiones</t>
  </si>
  <si>
    <t xml:space="preserve">De 75 a 79 años</t>
  </si>
  <si>
    <t xml:space="preserve">ax</t>
  </si>
  <si>
    <t xml:space="preserve">De 80 a 84 años</t>
  </si>
  <si>
    <t xml:space="preserve">De 85 a 89 años</t>
  </si>
  <si>
    <t xml:space="preserve">1-4</t>
  </si>
  <si>
    <t xml:space="preserve">Edad no  especificada</t>
  </si>
  <si>
    <t xml:space="preserve">5-9</t>
  </si>
  <si>
    <t xml:space="preserve">10-14</t>
  </si>
  <si>
    <t xml:space="preserve">15-19</t>
  </si>
  <si>
    <t xml:space="preserve">20-24</t>
  </si>
  <si>
    <t xml:space="preserve">Coregida</t>
  </si>
  <si>
    <t xml:space="preserve">25-29</t>
  </si>
  <si>
    <t xml:space="preserve">30-34</t>
  </si>
  <si>
    <t xml:space="preserve">35-39</t>
  </si>
  <si>
    <t xml:space="preserve">40-44</t>
  </si>
  <si>
    <t xml:space="preserve">MUJERES</t>
  </si>
  <si>
    <t xml:space="preserve">De 3 años</t>
  </si>
  <si>
    <t xml:space="preserve">45-49</t>
  </si>
  <si>
    <t xml:space="preserve">50-54</t>
  </si>
  <si>
    <t xml:space="preserve">55-59</t>
  </si>
  <si>
    <t xml:space="preserve">60-64</t>
  </si>
  <si>
    <t xml:space="preserve">65-69</t>
  </si>
  <si>
    <t xml:space="preserve">70-74</t>
  </si>
  <si>
    <t xml:space="preserve">75-79</t>
  </si>
  <si>
    <t xml:space="preserve">80-84</t>
  </si>
  <si>
    <t xml:space="preserve">85-89</t>
  </si>
  <si>
    <t xml:space="preserve">90-94</t>
  </si>
  <si>
    <t xml:space="preserve">95-99</t>
  </si>
  <si>
    <t xml:space="preserve">100+</t>
  </si>
  <si>
    <t xml:space="preserve">De 90 a 94 años</t>
  </si>
  <si>
    <t xml:space="preserve">De 95 a 99 años</t>
  </si>
  <si>
    <t xml:space="preserve">De 100 a 104 años</t>
  </si>
  <si>
    <t xml:space="preserve">De 105 a 109 años</t>
  </si>
  <si>
    <t xml:space="preserve">De 110 a 114 años</t>
  </si>
</sst>
</file>

<file path=xl/styles.xml><?xml version="1.0" encoding="utf-8"?>
<styleSheet xmlns="http://schemas.openxmlformats.org/spreadsheetml/2006/main">
  <numFmts count="24">
    <numFmt numFmtId="164" formatCode="General"/>
    <numFmt numFmtId="165" formatCode="##,##0.00"/>
    <numFmt numFmtId="166" formatCode="##,##0"/>
    <numFmt numFmtId="167" formatCode="_-* #,##0.00_-;\-* #,##0.00_-;_-* \-??_-;_-@_-"/>
    <numFmt numFmtId="168" formatCode="_-* #,##0_-;\-* #,##0_-;_-* \-??_-;_-@_-"/>
    <numFmt numFmtId="169" formatCode="0%"/>
    <numFmt numFmtId="170" formatCode="0.00%"/>
    <numFmt numFmtId="171" formatCode="#,##0%;#,##0%"/>
    <numFmt numFmtId="172" formatCode="_-* #,##0.0000_-;\-* #,##0.0000_-;_-* \-??_-;_-@_-"/>
    <numFmt numFmtId="173" formatCode="#,##0"/>
    <numFmt numFmtId="174" formatCode="0"/>
    <numFmt numFmtId="175" formatCode="#,##0.0000000"/>
    <numFmt numFmtId="176" formatCode="_-* #,##0.000000_-;\-* #,##0.000000_-;_-* \-??_-;_-@_-"/>
    <numFmt numFmtId="177" formatCode="_-* #,##0.00_-;\-* #,##0.00_-;_-* \-??_-;_-@_-"/>
    <numFmt numFmtId="178" formatCode="0.0"/>
    <numFmt numFmtId="179" formatCode="0.000000"/>
    <numFmt numFmtId="180" formatCode="###0.000000"/>
    <numFmt numFmtId="181" formatCode="#,##0.0"/>
    <numFmt numFmtId="182" formatCode="_-* #,##0_-;\-* #,##0_-;_-* \-??_-;_-@_-"/>
    <numFmt numFmtId="183" formatCode="_(* #,##0.000000_);_(* \(#,##0.000000\);_(* \-??_);_(@_)"/>
    <numFmt numFmtId="184" formatCode="_(* #,##0.00_);_(* \(#,##0.00\);_(* \-??_);_(@_)"/>
    <numFmt numFmtId="185" formatCode="#,##0.000000"/>
    <numFmt numFmtId="186" formatCode="_(* #,##0.00000000_);_(* \(#,##0.00000000\);_(* \-??_);_(@_)"/>
    <numFmt numFmtId="187" formatCode="_-* #,##0.00000_-;\-* #,##0.00000_-;_-* \-??_-;_-@_-"/>
  </numFmts>
  <fonts count="2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7"/>
      <color rgb="FFFFFFFF"/>
      <name val="Arial Narrow"/>
      <family val="2"/>
      <charset val="1"/>
    </font>
    <font>
      <b val="true"/>
      <sz val="7"/>
      <color rgb="FF000000"/>
      <name val="Arial Narrow"/>
      <family val="2"/>
      <charset val="1"/>
    </font>
    <font>
      <b val="true"/>
      <i val="true"/>
      <sz val="12"/>
      <color rgb="FF000000"/>
      <name val="Book Antiqua"/>
      <family val="1"/>
      <charset val="1"/>
    </font>
    <font>
      <b val="true"/>
      <sz val="11"/>
      <color rgb="FF000000"/>
      <name val="Calibri"/>
      <family val="2"/>
      <charset val="1"/>
    </font>
    <font>
      <b val="true"/>
      <sz val="9"/>
      <color rgb="FF000000"/>
      <name val="Calibri"/>
      <family val="2"/>
      <charset val="1"/>
    </font>
    <font>
      <b val="true"/>
      <sz val="9"/>
      <color rgb="FF000000"/>
      <name val="Arial Narrow"/>
      <family val="2"/>
      <charset val="1"/>
    </font>
    <font>
      <b val="true"/>
      <sz val="9"/>
      <name val="Arial"/>
      <family val="2"/>
      <charset val="1"/>
    </font>
    <font>
      <b val="true"/>
      <sz val="16"/>
      <color rgb="FF44546A"/>
      <name val="Calibri"/>
      <family val="2"/>
    </font>
    <font>
      <sz val="9"/>
      <color rgb="FF44546A"/>
      <name val="Calibri"/>
      <family val="2"/>
    </font>
    <font>
      <sz val="10"/>
      <name val="Arial"/>
      <family val="2"/>
    </font>
    <font>
      <b val="true"/>
      <sz val="10"/>
      <name val="Arial"/>
      <family val="2"/>
      <charset val="1"/>
    </font>
    <font>
      <sz val="12"/>
      <color rgb="FF000000"/>
      <name val="Calibri"/>
      <family val="2"/>
      <charset val="1"/>
    </font>
    <font>
      <sz val="10"/>
      <name val="Arial"/>
      <family val="2"/>
      <charset val="1"/>
    </font>
    <font>
      <i val="true"/>
      <sz val="10"/>
      <name val="Arial"/>
      <family val="2"/>
      <charset val="1"/>
    </font>
    <font>
      <b val="true"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b val="true"/>
      <i val="true"/>
      <sz val="11"/>
      <color rgb="FF000000"/>
      <name val="Calibri"/>
      <family val="2"/>
      <charset val="1"/>
    </font>
    <font>
      <sz val="10"/>
      <name val="Times New Roman"/>
      <family val="1"/>
      <charset val="1"/>
    </font>
    <font>
      <b val="true"/>
      <sz val="14"/>
      <color rgb="FF000000"/>
      <name val="Calibri"/>
      <family val="2"/>
      <charset val="1"/>
    </font>
    <font>
      <b val="true"/>
      <i val="true"/>
      <sz val="16"/>
      <color rgb="FF000000"/>
      <name val="Calibri"/>
      <family val="2"/>
      <charset val="1"/>
    </font>
    <font>
      <sz val="11"/>
      <name val="Calibri"/>
      <family val="2"/>
      <charset val="1"/>
    </font>
    <font>
      <b val="true"/>
      <sz val="14"/>
      <color rgb="FFFF0000"/>
      <name val="Calibri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306A5C"/>
        <bgColor rgb="FF44546A"/>
      </patternFill>
    </fill>
    <fill>
      <patternFill patternType="solid">
        <fgColor rgb="FFE0E0E0"/>
        <bgColor rgb="FFE0E5EB"/>
      </patternFill>
    </fill>
    <fill>
      <patternFill patternType="solid">
        <fgColor rgb="FFFFFFFF"/>
        <bgColor rgb="FFE3FDFC"/>
      </patternFill>
    </fill>
    <fill>
      <patternFill patternType="solid">
        <fgColor rgb="FFFFFF00"/>
        <bgColor rgb="FFCCFF00"/>
      </patternFill>
    </fill>
    <fill>
      <patternFill patternType="solid">
        <fgColor rgb="FF99FF99"/>
        <bgColor rgb="FFCBFDB5"/>
      </patternFill>
    </fill>
    <fill>
      <patternFill patternType="solid">
        <fgColor rgb="FFD9D9D9"/>
        <bgColor rgb="FFE0E0E0"/>
      </patternFill>
    </fill>
    <fill>
      <patternFill patternType="solid">
        <fgColor rgb="FF9AE2FC"/>
        <bgColor rgb="FF99FFFF"/>
      </patternFill>
    </fill>
    <fill>
      <patternFill patternType="solid">
        <fgColor rgb="FFFFCB97"/>
        <bgColor rgb="FFFFCC99"/>
      </patternFill>
    </fill>
    <fill>
      <patternFill patternType="solid">
        <fgColor rgb="FFFFCC99"/>
        <bgColor rgb="FFFFCB97"/>
      </patternFill>
    </fill>
    <fill>
      <patternFill patternType="solid">
        <fgColor rgb="FF2DFF2D"/>
        <bgColor rgb="FF34F0EC"/>
      </patternFill>
    </fill>
    <fill>
      <patternFill patternType="solid">
        <fgColor rgb="FF34F0EC"/>
        <bgColor rgb="FF00FFFF"/>
      </patternFill>
    </fill>
    <fill>
      <patternFill patternType="solid">
        <fgColor rgb="FFCBFDB5"/>
        <bgColor rgb="FFE3FDFC"/>
      </patternFill>
    </fill>
    <fill>
      <patternFill patternType="solid">
        <fgColor rgb="FFE3FDFC"/>
        <bgColor rgb="FFFFFFFF"/>
      </patternFill>
    </fill>
    <fill>
      <patternFill patternType="solid">
        <fgColor rgb="FFC5ECFF"/>
        <bgColor rgb="FFE0E5EB"/>
      </patternFill>
    </fill>
    <fill>
      <patternFill patternType="solid">
        <fgColor rgb="FFCCFF00"/>
        <bgColor rgb="FFFFFF00"/>
      </patternFill>
    </fill>
    <fill>
      <patternFill patternType="solid">
        <fgColor rgb="FFFF9999"/>
        <bgColor rgb="FFFF8080"/>
      </patternFill>
    </fill>
    <fill>
      <patternFill patternType="solid">
        <fgColor rgb="FF99FFFF"/>
        <bgColor rgb="FF9AE2FC"/>
      </patternFill>
    </fill>
  </fills>
  <borders count="37">
    <border diagonalUp="false" diagonalDown="false">
      <left/>
      <right/>
      <top/>
      <bottom/>
      <diagonal/>
    </border>
    <border diagonalUp="false" diagonalDown="false">
      <left style="thin">
        <color rgb="FFE0E0E0"/>
      </left>
      <right style="thin">
        <color rgb="FFE0E0E0"/>
      </right>
      <top style="thin">
        <color rgb="FF808080"/>
      </top>
      <bottom style="thin">
        <color rgb="FFE0E0E0"/>
      </bottom>
      <diagonal/>
    </border>
    <border diagonalUp="false" diagonalDown="false">
      <left style="thin">
        <color rgb="FFE0E0E0"/>
      </left>
      <right style="thin">
        <color rgb="FFFFFFFF"/>
      </right>
      <top style="thin">
        <color rgb="FF808080"/>
      </top>
      <bottom style="thin">
        <color rgb="FFE0E0E0"/>
      </bottom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medium"/>
      <top style="medium"/>
      <bottom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hair"/>
      <right style="hair"/>
      <top style="hair"/>
      <bottom style="hair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9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1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3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2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5" fillId="3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6" fontId="5" fillId="3" borderId="0" xfId="0" applyFont="true" applyBorder="false" applyAlignment="true" applyProtection="false">
      <alignment horizontal="right" vertical="top" textRotation="0" wrapText="true" indent="0" shrinkToFit="false"/>
      <protection locked="true" hidden="false"/>
    </xf>
    <xf numFmtId="165" fontId="5" fillId="4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6" fontId="5" fillId="4" borderId="0" xfId="0" applyFont="true" applyBorder="false" applyAlignment="true" applyProtection="false">
      <alignment horizontal="right" vertical="top" textRotation="0" wrapText="true" indent="0" shrinkToFit="false"/>
      <protection locked="true" hidden="false"/>
    </xf>
    <xf numFmtId="164" fontId="6" fillId="5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6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6" borderId="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6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6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6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6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7" borderId="11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8" fontId="9" fillId="8" borderId="12" xfId="1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9" fillId="9" borderId="13" xfId="1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7" borderId="14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8" fontId="10" fillId="8" borderId="15" xfId="15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8" fontId="10" fillId="10" borderId="16" xfId="15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8" fillId="7" borderId="14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70" fontId="10" fillId="8" borderId="15" xfId="19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0" fontId="10" fillId="10" borderId="16" xfId="19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4" fontId="8" fillId="7" borderId="17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8" fontId="9" fillId="8" borderId="18" xfId="1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9" fillId="9" borderId="19" xfId="1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8" fillId="7" borderId="17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8" fillId="7" borderId="20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8" fontId="9" fillId="8" borderId="21" xfId="1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8" fontId="9" fillId="9" borderId="22" xfId="15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4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4" borderId="23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6" fillId="4" borderId="18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4" borderId="24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6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11" borderId="8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8" fillId="12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6" fillId="4" borderId="25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16" fillId="4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2" fontId="16" fillId="4" borderId="27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2" fontId="16" fillId="4" borderId="28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8" fillId="7" borderId="1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8" fontId="10" fillId="8" borderId="12" xfId="15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8" fontId="10" fillId="10" borderId="12" xfId="15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8" fontId="0" fillId="13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7" borderId="14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9" fillId="14" borderId="1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9" fillId="0" borderId="0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6" fillId="4" borderId="29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16" fillId="4" borderId="30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2" fontId="16" fillId="4" borderId="0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2" fontId="16" fillId="4" borderId="24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8" fontId="10" fillId="8" borderId="18" xfId="15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8" fontId="10" fillId="10" borderId="18" xfId="15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8" fontId="0" fillId="13" borderId="1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8" fillId="7" borderId="17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9" fillId="14" borderId="1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6" fillId="4" borderId="31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2" fontId="16" fillId="4" borderId="32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2" fontId="16" fillId="4" borderId="33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8" fillId="7" borderId="20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9" fillId="14" borderId="3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6" fillId="4" borderId="26" xfId="2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72" fontId="16" fillId="4" borderId="27" xfId="2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72" fontId="16" fillId="4" borderId="28" xfId="2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18" fillId="0" borderId="0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9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16" fillId="4" borderId="30" xfId="2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72" fontId="16" fillId="4" borderId="0" xfId="2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72" fontId="16" fillId="4" borderId="24" xfId="2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72" fontId="16" fillId="4" borderId="31" xfId="2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72" fontId="16" fillId="4" borderId="32" xfId="2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72" fontId="16" fillId="4" borderId="33" xfId="2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8" fillId="7" borderId="2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8" fontId="10" fillId="8" borderId="21" xfId="15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8" fontId="10" fillId="10" borderId="21" xfId="15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68" fontId="0" fillId="13" borderId="2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4" borderId="15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27" xfId="2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18" fillId="7" borderId="35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9" fillId="14" borderId="2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8" fillId="11" borderId="11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8" fillId="12" borderId="1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18" fillId="15" borderId="1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8" fontId="7" fillId="15" borderId="19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7" fillId="15" borderId="22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3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0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0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0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0" fillId="0" borderId="1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5" fontId="0" fillId="16" borderId="1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6" fontId="0" fillId="16" borderId="1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16" borderId="1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16" borderId="18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0" fillId="16" borderId="1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8" fontId="0" fillId="16" borderId="1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16" borderId="1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9" fontId="0" fillId="16" borderId="1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17" borderId="1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17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17" borderId="1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17" borderId="1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8" fontId="0" fillId="18" borderId="18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24" fillId="18" borderId="3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18" borderId="3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0" fillId="0" borderId="1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24" fillId="18" borderId="3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18" borderId="3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0" fontId="0" fillId="0" borderId="1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6" borderId="1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1" fontId="25" fillId="0" borderId="3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7" fontId="25" fillId="0" borderId="3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82" fontId="0" fillId="0" borderId="18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3" fontId="0" fillId="16" borderId="1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4" fontId="0" fillId="16" borderId="1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5" fontId="0" fillId="16" borderId="1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24" fillId="18" borderId="18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6" fontId="0" fillId="16" borderId="1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7" fontId="25" fillId="0" borderId="1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87" fontId="25" fillId="0" borderId="1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0" builtinId="53" customBuiltin="true"/>
  </cellStyles>
  <colors>
    <indexedColors>
      <rgbColor rgb="FF000000"/>
      <rgbColor rgb="FFFFFFFF"/>
      <rgbColor rgb="FFFF0000"/>
      <rgbColor rgb="FF2DFF2D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306A5C"/>
      <rgbColor rgb="FFE0E0E0"/>
      <rgbColor rgb="FF808080"/>
      <rgbColor rgb="FF99FFFF"/>
      <rgbColor rgb="FF993366"/>
      <rgbColor rgb="FFE0E5EB"/>
      <rgbColor rgb="FFE3FDFC"/>
      <rgbColor rgb="FF660066"/>
      <rgbColor rgb="FFFF8080"/>
      <rgbColor rgb="FF0066CC"/>
      <rgbColor rgb="FFD9D9D9"/>
      <rgbColor rgb="FF000080"/>
      <rgbColor rgb="FFFF00FF"/>
      <rgbColor rgb="FFCCFF00"/>
      <rgbColor rgb="FF00FFFF"/>
      <rgbColor rgb="FF800080"/>
      <rgbColor rgb="FF800000"/>
      <rgbColor rgb="FF008080"/>
      <rgbColor rgb="FF0000FF"/>
      <rgbColor rgb="FF00CCFF"/>
      <rgbColor rgb="FFC5ECFF"/>
      <rgbColor rgb="FFCBFDB5"/>
      <rgbColor rgb="FFFFCB97"/>
      <rgbColor rgb="FF9AE2FC"/>
      <rgbColor rgb="FFFF9999"/>
      <rgbColor rgb="FFCC99FF"/>
      <rgbColor rgb="FFFFCC99"/>
      <rgbColor rgb="FF3366FF"/>
      <rgbColor rgb="FF34F0EC"/>
      <rgbColor rgb="FF99FF99"/>
      <rgbColor rgb="FFFFCC00"/>
      <rgbColor rgb="FFFF9900"/>
      <rgbColor rgb="FFFF6600"/>
      <rgbColor rgb="FF44546A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sharedStrings" Target="sharedStrings.xml"/>
</Relationships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44546a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  <a:r>
              <a:rPr b="1" sz="1600" spc="-1" strike="noStrike">
                <a:solidFill>
                  <a:srgbClr val="44546a"/>
                </a:solidFill>
                <a:uFill>
                  <a:solidFill>
                    <a:srgbClr val="ffffff"/>
                  </a:solidFill>
                </a:uFill>
                <a:latin typeface="Calibri"/>
              </a:rPr>
              <a:t>Población Chihuahua</a:t>
            </a:r>
          </a:p>
        </c:rich>
      </c:tx>
      <c:overlay val="0"/>
    </c:title>
    <c:autoTitleDeleted val="0"/>
    <c:plotArea>
      <c:barChart>
        <c:barDir val="bar"/>
        <c:grouping val="clustered"/>
        <c:varyColors val="0"/>
        <c:ser>
          <c:idx val="0"/>
          <c:order val="0"/>
          <c:tx>
            <c:strRef>
              <c:f>'Piramide poblacional'!$K$6</c:f>
              <c:strCache>
                <c:ptCount val="1"/>
                <c:pt idx="0">
                  <c:v>Hombres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'Piramide poblacional'!$J$7:$J$22</c:f>
              <c:strCache>
                <c:ptCount val="16"/>
                <c:pt idx="0">
                  <c:v>De 0 a 4 años</c:v>
                </c:pt>
                <c:pt idx="1">
                  <c:v>De 5 a 9 años</c:v>
                </c:pt>
                <c:pt idx="2">
                  <c:v>De 10 a 14 años</c:v>
                </c:pt>
                <c:pt idx="3">
                  <c:v>De 15 a 19 años</c:v>
                </c:pt>
                <c:pt idx="4">
                  <c:v>De 20 a 24 años</c:v>
                </c:pt>
                <c:pt idx="5">
                  <c:v>De 25 a 29 años</c:v>
                </c:pt>
                <c:pt idx="6">
                  <c:v>De 30 a 34 años</c:v>
                </c:pt>
                <c:pt idx="7">
                  <c:v>De 35 a 39 años</c:v>
                </c:pt>
                <c:pt idx="8">
                  <c:v>De 40 a 44 años</c:v>
                </c:pt>
                <c:pt idx="9">
                  <c:v>De 45 a 49 años</c:v>
                </c:pt>
                <c:pt idx="10">
                  <c:v>De 50 a 54 años</c:v>
                </c:pt>
                <c:pt idx="11">
                  <c:v>De 55 a 59 años</c:v>
                </c:pt>
                <c:pt idx="12">
                  <c:v>De 60 a 64 años</c:v>
                </c:pt>
                <c:pt idx="13">
                  <c:v>De 65 a 69 años</c:v>
                </c:pt>
                <c:pt idx="14">
                  <c:v>De 70 a 74 años</c:v>
                </c:pt>
                <c:pt idx="15">
                  <c:v>De 75 y más</c:v>
                </c:pt>
              </c:strCache>
            </c:strRef>
          </c:cat>
          <c:val>
            <c:numRef>
              <c:f>'Piramide poblacional'!$K$7:$K$22</c:f>
              <c:numCache>
                <c:formatCode>General</c:formatCode>
                <c:ptCount val="16"/>
                <c:pt idx="0">
                  <c:v>-0.0445206643877671</c:v>
                </c:pt>
                <c:pt idx="1">
                  <c:v>-0.0487487660508062</c:v>
                </c:pt>
                <c:pt idx="2">
                  <c:v>-0.0493754848656057</c:v>
                </c:pt>
                <c:pt idx="3">
                  <c:v>-0.0451957654450017</c:v>
                </c:pt>
                <c:pt idx="4">
                  <c:v>-0.0434244690460823</c:v>
                </c:pt>
                <c:pt idx="5">
                  <c:v>-0.0370394195051785</c:v>
                </c:pt>
                <c:pt idx="6">
                  <c:v>-0.0354141137098861</c:v>
                </c:pt>
                <c:pt idx="7">
                  <c:v>-0.0348667192693117</c:v>
                </c:pt>
                <c:pt idx="8">
                  <c:v>-0.0346087744070266</c:v>
                </c:pt>
                <c:pt idx="9">
                  <c:v>-0.0299469203147143</c:v>
                </c:pt>
                <c:pt idx="10">
                  <c:v>-0.0248141832349807</c:v>
                </c:pt>
                <c:pt idx="11">
                  <c:v>-0.0193267368080918</c:v>
                </c:pt>
                <c:pt idx="12">
                  <c:v>-0.0148494103380903</c:v>
                </c:pt>
                <c:pt idx="13">
                  <c:v>-0.0112722186110682</c:v>
                </c:pt>
                <c:pt idx="14">
                  <c:v>-0.00839122484931939</c:v>
                </c:pt>
                <c:pt idx="15">
                  <c:v>-0.010891349097945</c:v>
                </c:pt>
              </c:numCache>
            </c:numRef>
          </c:val>
        </c:ser>
        <c:ser>
          <c:idx val="1"/>
          <c:order val="1"/>
          <c:tx>
            <c:strRef>
              <c:f>'Piramide poblacional'!$L$6</c:f>
              <c:strCache>
                <c:ptCount val="1"/>
                <c:pt idx="0">
                  <c:v>Mujeres</c:v>
                </c:pt>
              </c:strCache>
            </c:strRef>
          </c:tx>
          <c:spPr>
            <a:noFill/>
            <a:ln>
              <a:noFill/>
            </a:ln>
          </c:spPr>
          <c:invertIfNegative val="0"/>
          <c:dLbls>
            <c:dLblPos val="outEnd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'Piramide poblacional'!$J$7:$J$22</c:f>
              <c:strCache>
                <c:ptCount val="16"/>
                <c:pt idx="0">
                  <c:v>De 0 a 4 años</c:v>
                </c:pt>
                <c:pt idx="1">
                  <c:v>De 5 a 9 años</c:v>
                </c:pt>
                <c:pt idx="2">
                  <c:v>De 10 a 14 años</c:v>
                </c:pt>
                <c:pt idx="3">
                  <c:v>De 15 a 19 años</c:v>
                </c:pt>
                <c:pt idx="4">
                  <c:v>De 20 a 24 años</c:v>
                </c:pt>
                <c:pt idx="5">
                  <c:v>De 25 a 29 años</c:v>
                </c:pt>
                <c:pt idx="6">
                  <c:v>De 30 a 34 años</c:v>
                </c:pt>
                <c:pt idx="7">
                  <c:v>De 35 a 39 años</c:v>
                </c:pt>
                <c:pt idx="8">
                  <c:v>De 40 a 44 años</c:v>
                </c:pt>
                <c:pt idx="9">
                  <c:v>De 45 a 49 años</c:v>
                </c:pt>
                <c:pt idx="10">
                  <c:v>De 50 a 54 años</c:v>
                </c:pt>
                <c:pt idx="11">
                  <c:v>De 55 a 59 años</c:v>
                </c:pt>
                <c:pt idx="12">
                  <c:v>De 60 a 64 años</c:v>
                </c:pt>
                <c:pt idx="13">
                  <c:v>De 65 a 69 años</c:v>
                </c:pt>
                <c:pt idx="14">
                  <c:v>De 70 a 74 años</c:v>
                </c:pt>
                <c:pt idx="15">
                  <c:v>De 75 y más</c:v>
                </c:pt>
              </c:strCache>
            </c:strRef>
          </c:cat>
          <c:val>
            <c:numRef>
              <c:f>'Piramide poblacional'!$L$7:$L$22</c:f>
              <c:numCache>
                <c:formatCode>General</c:formatCode>
                <c:ptCount val="16"/>
                <c:pt idx="0">
                  <c:v>0.0441775439725282</c:v>
                </c:pt>
                <c:pt idx="1">
                  <c:v>0.0470829768280572</c:v>
                </c:pt>
                <c:pt idx="2">
                  <c:v>0.0475082856166678</c:v>
                </c:pt>
                <c:pt idx="3">
                  <c:v>0.0450081900391733</c:v>
                </c:pt>
                <c:pt idx="4">
                  <c:v>0.043983173355511</c:v>
                </c:pt>
                <c:pt idx="5">
                  <c:v>0.0386741270087927</c:v>
                </c:pt>
                <c:pt idx="6">
                  <c:v>0.0374432068639777</c:v>
                </c:pt>
                <c:pt idx="7">
                  <c:v>0.0369908943427568</c:v>
                </c:pt>
                <c:pt idx="8">
                  <c:v>0.0364572893348239</c:v>
                </c:pt>
                <c:pt idx="9">
                  <c:v>0.031495916045462</c:v>
                </c:pt>
                <c:pt idx="10">
                  <c:v>0.0267291946619985</c:v>
                </c:pt>
                <c:pt idx="11">
                  <c:v>0.0209790873493136</c:v>
                </c:pt>
                <c:pt idx="12">
                  <c:v>0.016140356012223</c:v>
                </c:pt>
                <c:pt idx="13">
                  <c:v>0.0128571521890326</c:v>
                </c:pt>
                <c:pt idx="14">
                  <c:v>0.00946565214651996</c:v>
                </c:pt>
                <c:pt idx="15">
                  <c:v>0.0123207342922861</c:v>
                </c:pt>
              </c:numCache>
            </c:numRef>
          </c:val>
        </c:ser>
        <c:gapWidth val="0"/>
        <c:overlap val="100"/>
        <c:axId val="5698371"/>
        <c:axId val="34978848"/>
      </c:barChart>
      <c:catAx>
        <c:axId val="56983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ln w="9360">
            <a:solidFill>
              <a:srgbClr val="e0e5eb"/>
            </a:solidFill>
            <a:round/>
          </a:ln>
        </c:spPr>
        <c:txPr>
          <a:bodyPr/>
          <a:p>
            <a:pPr>
              <a:defRPr b="0" sz="900" spc="-1" strike="noStrike">
                <a:solidFill>
                  <a:srgbClr val="44546a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34978848"/>
        <c:crosses val="autoZero"/>
        <c:auto val="1"/>
        <c:lblAlgn val="ctr"/>
        <c:lblOffset val="100"/>
      </c:catAx>
      <c:valAx>
        <c:axId val="34978848"/>
        <c:scaling>
          <c:orientation val="minMax"/>
        </c:scaling>
        <c:delete val="0"/>
        <c:axPos val="l"/>
        <c:majorGridlines>
          <c:spPr>
            <a:ln w="9360">
              <a:solidFill>
                <a:srgbClr val="e0e5eb"/>
              </a:solidFill>
              <a:round/>
            </a:ln>
          </c:spPr>
        </c:majorGridlines>
        <c:numFmt formatCode="#,##0%;#,##0%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p>
            <a:pPr>
              <a:defRPr b="0" sz="900" spc="-1" strike="noStrike">
                <a:solidFill>
                  <a:srgbClr val="44546a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5698371"/>
        <c:crosses val="autoZero"/>
        <c:crossBetween val="midCat"/>
      </c:valAx>
      <c:spPr>
        <a:noFill/>
        <a:ln>
          <a:noFill/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 w="9360">
      <a:solidFill>
        <a:srgbClr val="e0e5eb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3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12</xdr:col>
      <xdr:colOff>609480</xdr:colOff>
      <xdr:row>4</xdr:row>
      <xdr:rowOff>129600</xdr:rowOff>
    </xdr:from>
    <xdr:to>
      <xdr:col>19</xdr:col>
      <xdr:colOff>685080</xdr:colOff>
      <xdr:row>23</xdr:row>
      <xdr:rowOff>75600</xdr:rowOff>
    </xdr:to>
    <xdr:graphicFrame>
      <xdr:nvGraphicFramePr>
        <xdr:cNvPr id="0" name="Gráfico 2"/>
        <xdr:cNvGraphicFramePr/>
      </xdr:nvGraphicFramePr>
      <xdr:xfrm>
        <a:off x="9410400" y="868680"/>
        <a:ext cx="5209560" cy="3565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E1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E3" activeCellId="0" sqref="E3"/>
    </sheetView>
  </sheetViews>
  <sheetFormatPr defaultRowHeight="14.4"/>
  <cols>
    <col collapsed="false" hidden="false" max="1025" min="1" style="0" width="10.3928571428571"/>
  </cols>
  <sheetData>
    <row r="2" customFormat="false" ht="32.4" hidden="false" customHeight="false" outlineLevel="0" collapsed="false">
      <c r="B2" s="1" t="s">
        <v>0</v>
      </c>
      <c r="C2" s="1" t="s">
        <v>1</v>
      </c>
      <c r="D2" s="1" t="s">
        <v>2</v>
      </c>
      <c r="E2" s="2" t="s">
        <v>3</v>
      </c>
    </row>
    <row r="3" customFormat="false" ht="14.4" hidden="false" customHeight="false" outlineLevel="0" collapsed="false">
      <c r="B3" s="3" t="s">
        <v>4</v>
      </c>
      <c r="C3" s="4" t="n">
        <v>315326</v>
      </c>
      <c r="D3" s="4" t="n">
        <v>158272</v>
      </c>
      <c r="E3" s="4" t="n">
        <v>157054</v>
      </c>
    </row>
    <row r="4" customFormat="false" ht="14.4" hidden="false" customHeight="false" outlineLevel="0" collapsed="false">
      <c r="B4" s="5" t="s">
        <v>5</v>
      </c>
      <c r="C4" s="6" t="n">
        <v>340686</v>
      </c>
      <c r="D4" s="6" t="n">
        <v>173303</v>
      </c>
      <c r="E4" s="6" t="n">
        <v>167383</v>
      </c>
    </row>
    <row r="5" customFormat="false" ht="14.4" hidden="false" customHeight="false" outlineLevel="0" collapsed="false">
      <c r="B5" s="3" t="s">
        <v>6</v>
      </c>
      <c r="C5" s="4" t="n">
        <v>344426</v>
      </c>
      <c r="D5" s="4" t="n">
        <v>175531</v>
      </c>
      <c r="E5" s="4" t="n">
        <v>168895</v>
      </c>
    </row>
    <row r="6" customFormat="false" ht="14.4" hidden="false" customHeight="false" outlineLevel="0" collapsed="false">
      <c r="B6" s="5" t="s">
        <v>7</v>
      </c>
      <c r="C6" s="6" t="n">
        <v>320679</v>
      </c>
      <c r="D6" s="6" t="n">
        <v>160672</v>
      </c>
      <c r="E6" s="6" t="n">
        <v>160007</v>
      </c>
    </row>
    <row r="7" customFormat="false" ht="14.4" hidden="false" customHeight="false" outlineLevel="0" collapsed="false">
      <c r="B7" s="3" t="s">
        <v>8</v>
      </c>
      <c r="C7" s="4" t="n">
        <v>310738</v>
      </c>
      <c r="D7" s="4" t="n">
        <v>154375</v>
      </c>
      <c r="E7" s="4" t="n">
        <v>156363</v>
      </c>
    </row>
    <row r="8" customFormat="false" ht="14.4" hidden="false" customHeight="false" outlineLevel="0" collapsed="false">
      <c r="B8" s="5" t="s">
        <v>9</v>
      </c>
      <c r="C8" s="6" t="n">
        <v>269165</v>
      </c>
      <c r="D8" s="6" t="n">
        <v>131676</v>
      </c>
      <c r="E8" s="6" t="n">
        <v>137489</v>
      </c>
    </row>
    <row r="9" customFormat="false" ht="14.4" hidden="false" customHeight="false" outlineLevel="0" collapsed="false">
      <c r="B9" s="3" t="s">
        <v>10</v>
      </c>
      <c r="C9" s="4" t="n">
        <v>259011</v>
      </c>
      <c r="D9" s="4" t="n">
        <v>125898</v>
      </c>
      <c r="E9" s="4" t="n">
        <v>133113</v>
      </c>
    </row>
    <row r="10" customFormat="false" ht="14.4" hidden="false" customHeight="false" outlineLevel="0" collapsed="false">
      <c r="B10" s="5" t="s">
        <v>11</v>
      </c>
      <c r="C10" s="6" t="n">
        <v>255457</v>
      </c>
      <c r="D10" s="6" t="n">
        <v>123952</v>
      </c>
      <c r="E10" s="6" t="n">
        <v>131505</v>
      </c>
    </row>
    <row r="11" customFormat="false" ht="14.4" hidden="false" customHeight="false" outlineLevel="0" collapsed="false">
      <c r="B11" s="3" t="s">
        <v>12</v>
      </c>
      <c r="C11" s="4" t="n">
        <v>252643</v>
      </c>
      <c r="D11" s="4" t="n">
        <v>123035</v>
      </c>
      <c r="E11" s="4" t="n">
        <v>129608</v>
      </c>
    </row>
    <row r="12" customFormat="false" ht="14.4" hidden="false" customHeight="false" outlineLevel="0" collapsed="false">
      <c r="B12" s="5" t="s">
        <v>13</v>
      </c>
      <c r="C12" s="6" t="n">
        <v>218432</v>
      </c>
      <c r="D12" s="6" t="n">
        <v>106462</v>
      </c>
      <c r="E12" s="6" t="n">
        <v>111970</v>
      </c>
    </row>
    <row r="13" customFormat="false" ht="14.4" hidden="false" customHeight="false" outlineLevel="0" collapsed="false">
      <c r="B13" s="3" t="s">
        <v>14</v>
      </c>
      <c r="C13" s="4" t="n">
        <v>183239</v>
      </c>
      <c r="D13" s="4" t="n">
        <v>88215</v>
      </c>
      <c r="E13" s="4" t="n">
        <v>95024</v>
      </c>
    </row>
    <row r="14" customFormat="false" ht="14.4" hidden="false" customHeight="false" outlineLevel="0" collapsed="false">
      <c r="B14" s="5" t="s">
        <v>15</v>
      </c>
      <c r="C14" s="6" t="n">
        <v>143289</v>
      </c>
      <c r="D14" s="6" t="n">
        <v>68707</v>
      </c>
      <c r="E14" s="6" t="n">
        <v>74582</v>
      </c>
    </row>
    <row r="15" customFormat="false" ht="14.4" hidden="false" customHeight="false" outlineLevel="0" collapsed="false">
      <c r="B15" s="3" t="s">
        <v>16</v>
      </c>
      <c r="C15" s="4" t="n">
        <v>110170</v>
      </c>
      <c r="D15" s="4" t="n">
        <v>52790</v>
      </c>
      <c r="E15" s="4" t="n">
        <v>57380</v>
      </c>
    </row>
    <row r="16" customFormat="false" ht="14.4" hidden="false" customHeight="false" outlineLevel="0" collapsed="false">
      <c r="B16" s="5" t="s">
        <v>17</v>
      </c>
      <c r="C16" s="6" t="n">
        <v>85781</v>
      </c>
      <c r="D16" s="6" t="n">
        <v>40073</v>
      </c>
      <c r="E16" s="6" t="n">
        <v>45708</v>
      </c>
    </row>
    <row r="17" customFormat="false" ht="14.4" hidden="false" customHeight="false" outlineLevel="0" collapsed="false">
      <c r="B17" s="3" t="s">
        <v>18</v>
      </c>
      <c r="C17" s="4" t="n">
        <v>63482</v>
      </c>
      <c r="D17" s="4" t="n">
        <v>29831</v>
      </c>
      <c r="E17" s="4" t="n">
        <v>33651</v>
      </c>
    </row>
    <row r="18" customFormat="false" ht="14.4" hidden="false" customHeight="false" outlineLevel="0" collapsed="false">
      <c r="B18" s="5" t="s">
        <v>19</v>
      </c>
      <c r="C18" s="6" t="n">
        <v>82520</v>
      </c>
      <c r="D18" s="6" t="n">
        <v>38719</v>
      </c>
      <c r="E18" s="6" t="n">
        <v>43801</v>
      </c>
    </row>
    <row r="19" customFormat="false" ht="14.4" hidden="false" customHeight="false" outlineLevel="0" collapsed="false">
      <c r="B19" s="3" t="s">
        <v>20</v>
      </c>
      <c r="C19" s="4" t="n">
        <v>1530</v>
      </c>
      <c r="D19" s="4" t="n">
        <v>764</v>
      </c>
      <c r="E19" s="4" t="n">
        <v>766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1:L23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D29" activeCellId="0" sqref="D29"/>
    </sheetView>
  </sheetViews>
  <sheetFormatPr defaultRowHeight="14.4"/>
  <cols>
    <col collapsed="false" hidden="false" max="1025" min="1" style="0" width="10.3928571428571"/>
  </cols>
  <sheetData>
    <row r="1" customFormat="false" ht="14.4" hidden="false" customHeight="true" outlineLevel="0" collapsed="false">
      <c r="B1" s="7" t="s">
        <v>21</v>
      </c>
      <c r="C1" s="7"/>
      <c r="D1" s="7"/>
    </row>
    <row r="2" customFormat="false" ht="14.4" hidden="false" customHeight="false" outlineLevel="0" collapsed="false">
      <c r="B2" s="7"/>
      <c r="C2" s="7"/>
      <c r="D2" s="7"/>
    </row>
    <row r="3" customFormat="false" ht="15" hidden="false" customHeight="false" outlineLevel="0" collapsed="false">
      <c r="B3" s="7"/>
      <c r="C3" s="7"/>
      <c r="D3" s="7"/>
    </row>
    <row r="5" customFormat="false" ht="15" hidden="false" customHeight="false" outlineLevel="0" collapsed="false">
      <c r="B5" s="8"/>
      <c r="C5" s="8"/>
      <c r="D5" s="8"/>
      <c r="E5" s="8"/>
      <c r="F5" s="9" t="s">
        <v>22</v>
      </c>
      <c r="G5" s="9"/>
      <c r="H5" s="9"/>
      <c r="I5" s="8"/>
      <c r="J5" s="9" t="s">
        <v>23</v>
      </c>
      <c r="K5" s="9"/>
      <c r="L5" s="9"/>
    </row>
    <row r="6" customFormat="false" ht="15" hidden="false" customHeight="false" outlineLevel="0" collapsed="false">
      <c r="B6" s="10" t="s">
        <v>24</v>
      </c>
      <c r="C6" s="11" t="s">
        <v>2</v>
      </c>
      <c r="D6" s="12" t="s">
        <v>3</v>
      </c>
      <c r="E6" s="8"/>
      <c r="F6" s="13" t="s">
        <v>24</v>
      </c>
      <c r="G6" s="14" t="s">
        <v>2</v>
      </c>
      <c r="H6" s="15" t="s">
        <v>3</v>
      </c>
      <c r="I6" s="8"/>
      <c r="J6" s="13" t="s">
        <v>24</v>
      </c>
      <c r="K6" s="14" t="s">
        <v>2</v>
      </c>
      <c r="L6" s="15" t="s">
        <v>3</v>
      </c>
    </row>
    <row r="7" customFormat="false" ht="14.4" hidden="false" customHeight="false" outlineLevel="0" collapsed="false">
      <c r="B7" s="16" t="s">
        <v>25</v>
      </c>
      <c r="C7" s="17" t="n">
        <v>158272</v>
      </c>
      <c r="D7" s="18" t="n">
        <v>157054</v>
      </c>
      <c r="E7" s="19"/>
      <c r="F7" s="20" t="s">
        <v>25</v>
      </c>
      <c r="G7" s="21" t="n">
        <f aca="false">C7/SUM($C$7:$C$22)*$C$23+C7</f>
        <v>158341.037424258</v>
      </c>
      <c r="H7" s="22" t="n">
        <f aca="false">D7/SUM($D$7:$D$22)*$D$23+D7</f>
        <v>157120.704276551</v>
      </c>
      <c r="I7" s="19"/>
      <c r="J7" s="23" t="s">
        <v>25</v>
      </c>
      <c r="K7" s="24" t="n">
        <f aca="false">-G7/SUM($G$7:$H$22)</f>
        <v>-0.0445206643877671</v>
      </c>
      <c r="L7" s="25" t="n">
        <f aca="false">H7/SUM($G$7:$H$22)</f>
        <v>0.0441775439725282</v>
      </c>
    </row>
    <row r="8" customFormat="false" ht="14.4" hidden="false" customHeight="false" outlineLevel="0" collapsed="false">
      <c r="B8" s="26" t="s">
        <v>26</v>
      </c>
      <c r="C8" s="27" t="n">
        <v>173303</v>
      </c>
      <c r="D8" s="28" t="n">
        <v>167383</v>
      </c>
      <c r="E8" s="19"/>
      <c r="F8" s="29" t="s">
        <v>26</v>
      </c>
      <c r="G8" s="21" t="n">
        <f aca="false">C8/SUM($C$7:$C$22)*$C$23+C8</f>
        <v>173378.59386838</v>
      </c>
      <c r="H8" s="22" t="n">
        <f aca="false">D8/SUM($D$7:$D$22)*$D$23+D8</f>
        <v>167454.091229271</v>
      </c>
      <c r="I8" s="19"/>
      <c r="J8" s="26" t="s">
        <v>26</v>
      </c>
      <c r="K8" s="24" t="n">
        <f aca="false">-G8/SUM($G$7:$H$22)</f>
        <v>-0.0487487660508062</v>
      </c>
      <c r="L8" s="25" t="n">
        <f aca="false">H8/SUM($G$7:$H$22)</f>
        <v>0.0470829768280572</v>
      </c>
    </row>
    <row r="9" customFormat="false" ht="14.4" hidden="false" customHeight="false" outlineLevel="0" collapsed="false">
      <c r="B9" s="26" t="s">
        <v>27</v>
      </c>
      <c r="C9" s="27" t="n">
        <v>175531</v>
      </c>
      <c r="D9" s="28" t="n">
        <v>168895</v>
      </c>
      <c r="E9" s="19"/>
      <c r="F9" s="29" t="s">
        <v>27</v>
      </c>
      <c r="G9" s="21" t="n">
        <f aca="false">C9/SUM($C$7:$C$22)*$C$23+C9</f>
        <v>175607.565710407</v>
      </c>
      <c r="H9" s="22" t="n">
        <f aca="false">D9/SUM($D$7:$D$22)*$D$23+D9</f>
        <v>168966.733408815</v>
      </c>
      <c r="I9" s="19"/>
      <c r="J9" s="26" t="s">
        <v>27</v>
      </c>
      <c r="K9" s="24" t="n">
        <f aca="false">-G9/SUM($G$7:$H$22)</f>
        <v>-0.0493754848656057</v>
      </c>
      <c r="L9" s="25" t="n">
        <f aca="false">H9/SUM($G$7:$H$22)</f>
        <v>0.0475082856166678</v>
      </c>
    </row>
    <row r="10" customFormat="false" ht="14.4" hidden="false" customHeight="false" outlineLevel="0" collapsed="false">
      <c r="B10" s="26" t="s">
        <v>28</v>
      </c>
      <c r="C10" s="27" t="n">
        <v>160672</v>
      </c>
      <c r="D10" s="28" t="n">
        <v>160007</v>
      </c>
      <c r="E10" s="19"/>
      <c r="F10" s="29" t="s">
        <v>28</v>
      </c>
      <c r="G10" s="21" t="n">
        <f aca="false">C10/SUM($C$7:$C$22)*$C$23+C10</f>
        <v>160742.084291791</v>
      </c>
      <c r="H10" s="22" t="n">
        <f aca="false">D10/SUM($D$7:$D$22)*$D$23+D10</f>
        <v>160074.958480383</v>
      </c>
      <c r="I10" s="19"/>
      <c r="J10" s="26" t="s">
        <v>28</v>
      </c>
      <c r="K10" s="24" t="n">
        <f aca="false">-G10/SUM($G$7:$H$22)</f>
        <v>-0.0451957654450017</v>
      </c>
      <c r="L10" s="25" t="n">
        <f aca="false">H10/SUM($G$7:$H$22)</f>
        <v>0.0450081900391733</v>
      </c>
    </row>
    <row r="11" customFormat="false" ht="14.4" hidden="false" customHeight="false" outlineLevel="0" collapsed="false">
      <c r="B11" s="26" t="s">
        <v>29</v>
      </c>
      <c r="C11" s="27" t="n">
        <v>154375</v>
      </c>
      <c r="D11" s="28" t="n">
        <v>156363</v>
      </c>
      <c r="E11" s="19"/>
      <c r="F11" s="29" t="s">
        <v>29</v>
      </c>
      <c r="G11" s="21" t="n">
        <f aca="false">C11/SUM($C$7:$C$22)*$C$23+C11</f>
        <v>154442.337573101</v>
      </c>
      <c r="H11" s="22" t="n">
        <f aca="false">D11/SUM($D$7:$D$22)*$D$23+D11</f>
        <v>156429.410793703</v>
      </c>
      <c r="I11" s="19"/>
      <c r="J11" s="26" t="s">
        <v>29</v>
      </c>
      <c r="K11" s="24" t="n">
        <f aca="false">-G11/SUM($G$7:$H$22)</f>
        <v>-0.0434244690460823</v>
      </c>
      <c r="L11" s="25" t="n">
        <f aca="false">H11/SUM($G$7:$H$22)</f>
        <v>0.043983173355511</v>
      </c>
    </row>
    <row r="12" customFormat="false" ht="14.4" hidden="false" customHeight="false" outlineLevel="0" collapsed="false">
      <c r="B12" s="26" t="s">
        <v>30</v>
      </c>
      <c r="C12" s="27" t="n">
        <v>131676</v>
      </c>
      <c r="D12" s="28" t="n">
        <v>137489</v>
      </c>
      <c r="E12" s="19"/>
      <c r="F12" s="29" t="s">
        <v>30</v>
      </c>
      <c r="G12" s="21" t="n">
        <f aca="false">C12/SUM($C$7:$C$22)*$C$23+C12</f>
        <v>131733.436387211</v>
      </c>
      <c r="H12" s="22" t="n">
        <f aca="false">D12/SUM($D$7:$D$22)*$D$23+D12</f>
        <v>137547.39459217</v>
      </c>
      <c r="I12" s="19"/>
      <c r="J12" s="26" t="s">
        <v>30</v>
      </c>
      <c r="K12" s="24" t="n">
        <f aca="false">-G12/SUM($G$7:$H$22)</f>
        <v>-0.0370394195051785</v>
      </c>
      <c r="L12" s="25" t="n">
        <f aca="false">H12/SUM($G$7:$H$22)</f>
        <v>0.0386741270087927</v>
      </c>
    </row>
    <row r="13" customFormat="false" ht="14.4" hidden="false" customHeight="false" outlineLevel="0" collapsed="false">
      <c r="B13" s="26" t="s">
        <v>31</v>
      </c>
      <c r="C13" s="27" t="n">
        <v>125898</v>
      </c>
      <c r="D13" s="28" t="n">
        <v>133113</v>
      </c>
      <c r="E13" s="19"/>
      <c r="F13" s="29" t="s">
        <v>31</v>
      </c>
      <c r="G13" s="21" t="n">
        <f aca="false">C13/SUM($C$7:$C$22)*$C$23+C13</f>
        <v>125952.916053625</v>
      </c>
      <c r="H13" s="22" t="n">
        <f aca="false">D13/SUM($D$7:$D$22)*$D$23+D13</f>
        <v>133169.536009044</v>
      </c>
      <c r="I13" s="19"/>
      <c r="J13" s="26" t="s">
        <v>31</v>
      </c>
      <c r="K13" s="24" t="n">
        <f aca="false">-G13/SUM($G$7:$H$22)</f>
        <v>-0.0354141137098861</v>
      </c>
      <c r="L13" s="25" t="n">
        <f aca="false">H13/SUM($G$7:$H$22)</f>
        <v>0.0374432068639777</v>
      </c>
    </row>
    <row r="14" customFormat="false" ht="14.4" hidden="false" customHeight="false" outlineLevel="0" collapsed="false">
      <c r="B14" s="26" t="s">
        <v>32</v>
      </c>
      <c r="C14" s="27" t="n">
        <v>123952</v>
      </c>
      <c r="D14" s="28" t="n">
        <v>131505</v>
      </c>
      <c r="E14" s="19"/>
      <c r="F14" s="29" t="s">
        <v>32</v>
      </c>
      <c r="G14" s="21" t="n">
        <f aca="false">C14/SUM($C$7:$C$22)*$C$23+C14</f>
        <v>124006.067218533</v>
      </c>
      <c r="H14" s="22" t="n">
        <f aca="false">D14/SUM($D$7:$D$22)*$D$23+D14</f>
        <v>131560.853056196</v>
      </c>
      <c r="I14" s="19"/>
      <c r="J14" s="26" t="s">
        <v>32</v>
      </c>
      <c r="K14" s="24" t="n">
        <f aca="false">-G14/SUM($G$7:$H$22)</f>
        <v>-0.0348667192693117</v>
      </c>
      <c r="L14" s="25" t="n">
        <f aca="false">H14/SUM($G$7:$H$22)</f>
        <v>0.0369908943427568</v>
      </c>
    </row>
    <row r="15" customFormat="false" ht="14.4" hidden="false" customHeight="false" outlineLevel="0" collapsed="false">
      <c r="B15" s="26" t="s">
        <v>33</v>
      </c>
      <c r="C15" s="27" t="n">
        <v>123035</v>
      </c>
      <c r="D15" s="28" t="n">
        <v>129608</v>
      </c>
      <c r="E15" s="19"/>
      <c r="F15" s="29" t="s">
        <v>33</v>
      </c>
      <c r="G15" s="21" t="n">
        <f aca="false">C15/SUM($C$7:$C$22)*$C$23+C15</f>
        <v>123088.667227896</v>
      </c>
      <c r="H15" s="22" t="n">
        <f aca="false">D15/SUM($D$7:$D$22)*$D$23+D15</f>
        <v>129663.047358712</v>
      </c>
      <c r="I15" s="19"/>
      <c r="J15" s="26" t="s">
        <v>33</v>
      </c>
      <c r="K15" s="24" t="n">
        <f aca="false">-G15/SUM($G$7:$H$22)</f>
        <v>-0.0346087744070266</v>
      </c>
      <c r="L15" s="25" t="n">
        <f aca="false">H15/SUM($G$7:$H$22)</f>
        <v>0.0364572893348239</v>
      </c>
    </row>
    <row r="16" customFormat="false" ht="14.4" hidden="false" customHeight="false" outlineLevel="0" collapsed="false">
      <c r="B16" s="26" t="s">
        <v>34</v>
      </c>
      <c r="C16" s="27" t="n">
        <v>106462</v>
      </c>
      <c r="D16" s="28" t="n">
        <v>111970</v>
      </c>
      <c r="E16" s="19"/>
      <c r="F16" s="29" t="s">
        <v>34</v>
      </c>
      <c r="G16" s="21" t="n">
        <f aca="false">C16/SUM($C$7:$C$22)*$C$23+C16</f>
        <v>106508.438171385</v>
      </c>
      <c r="H16" s="22" t="n">
        <f aca="false">D16/SUM($D$7:$D$22)*$D$23+D16</f>
        <v>112017.556113473</v>
      </c>
      <c r="I16" s="19"/>
      <c r="J16" s="26" t="s">
        <v>34</v>
      </c>
      <c r="K16" s="24" t="n">
        <f aca="false">-G16/SUM($G$7:$H$22)</f>
        <v>-0.0299469203147143</v>
      </c>
      <c r="L16" s="25" t="n">
        <f aca="false">H16/SUM($G$7:$H$22)</f>
        <v>0.031495916045462</v>
      </c>
    </row>
    <row r="17" customFormat="false" ht="14.4" hidden="false" customHeight="false" outlineLevel="0" collapsed="false">
      <c r="B17" s="26" t="s">
        <v>35</v>
      </c>
      <c r="C17" s="27" t="n">
        <v>88215</v>
      </c>
      <c r="D17" s="28" t="n">
        <v>95024</v>
      </c>
      <c r="E17" s="19"/>
      <c r="F17" s="29" t="s">
        <v>35</v>
      </c>
      <c r="G17" s="21" t="n">
        <f aca="false">C17/SUM($C$7:$C$22)*$C$23+C17</f>
        <v>88253.4789247684</v>
      </c>
      <c r="H17" s="22" t="n">
        <f aca="false">D17/SUM($D$7:$D$22)*$D$23+D17</f>
        <v>95064.3587758028</v>
      </c>
      <c r="I17" s="19"/>
      <c r="J17" s="26" t="s">
        <v>35</v>
      </c>
      <c r="K17" s="24" t="n">
        <f aca="false">-G17/SUM($G$7:$H$22)</f>
        <v>-0.0248141832349807</v>
      </c>
      <c r="L17" s="25" t="n">
        <f aca="false">H17/SUM($G$7:$H$22)</f>
        <v>0.0267291946619985</v>
      </c>
    </row>
    <row r="18" customFormat="false" ht="14.4" hidden="false" customHeight="false" outlineLevel="0" collapsed="false">
      <c r="B18" s="26" t="s">
        <v>36</v>
      </c>
      <c r="C18" s="27" t="n">
        <v>68707</v>
      </c>
      <c r="D18" s="28" t="n">
        <v>74582</v>
      </c>
      <c r="E18" s="19"/>
      <c r="F18" s="29" t="s">
        <v>36</v>
      </c>
      <c r="G18" s="21" t="n">
        <f aca="false">C18/SUM($C$7:$C$22)*$C$23+C18</f>
        <v>68736.9696365024</v>
      </c>
      <c r="H18" s="22" t="n">
        <f aca="false">D18/SUM($D$7:$D$22)*$D$23+D18</f>
        <v>74613.6766102977</v>
      </c>
      <c r="I18" s="19"/>
      <c r="J18" s="26" t="s">
        <v>36</v>
      </c>
      <c r="K18" s="24" t="n">
        <f aca="false">-G18/SUM($G$7:$H$22)</f>
        <v>-0.0193267368080918</v>
      </c>
      <c r="L18" s="25" t="n">
        <f aca="false">H18/SUM($G$7:$H$22)</f>
        <v>0.0209790873493136</v>
      </c>
    </row>
    <row r="19" customFormat="false" ht="14.4" hidden="false" customHeight="false" outlineLevel="0" collapsed="false">
      <c r="B19" s="26" t="s">
        <v>37</v>
      </c>
      <c r="C19" s="27" t="n">
        <v>52790</v>
      </c>
      <c r="D19" s="28" t="n">
        <v>57380</v>
      </c>
      <c r="E19" s="19"/>
      <c r="F19" s="29" t="s">
        <v>37</v>
      </c>
      <c r="G19" s="21" t="n">
        <f aca="false">C19/SUM($C$7:$C$22)*$C$23+C19</f>
        <v>52813.0267237831</v>
      </c>
      <c r="H19" s="22" t="n">
        <f aca="false">D19/SUM($D$7:$D$22)*$D$23+D19</f>
        <v>57404.3705438159</v>
      </c>
      <c r="I19" s="19"/>
      <c r="J19" s="26" t="s">
        <v>37</v>
      </c>
      <c r="K19" s="24" t="n">
        <f aca="false">-G19/SUM($G$7:$H$22)</f>
        <v>-0.0148494103380903</v>
      </c>
      <c r="L19" s="25" t="n">
        <f aca="false">H19/SUM($G$7:$H$22)</f>
        <v>0.016140356012223</v>
      </c>
    </row>
    <row r="20" customFormat="false" ht="14.4" hidden="false" customHeight="false" outlineLevel="0" collapsed="false">
      <c r="B20" s="26" t="s">
        <v>38</v>
      </c>
      <c r="C20" s="27" t="n">
        <v>40073</v>
      </c>
      <c r="D20" s="28" t="n">
        <v>45708</v>
      </c>
      <c r="E20" s="19"/>
      <c r="F20" s="29" t="s">
        <v>38</v>
      </c>
      <c r="G20" s="21" t="n">
        <f aca="false">C20/SUM($C$7:$C$22)*$C$23+C20</f>
        <v>40090.4796344414</v>
      </c>
      <c r="H20" s="22" t="n">
        <f aca="false">D20/SUM($D$7:$D$22)*$D$23+D20</f>
        <v>45727.4131895563</v>
      </c>
      <c r="I20" s="19"/>
      <c r="J20" s="26" t="s">
        <v>38</v>
      </c>
      <c r="K20" s="24" t="n">
        <f aca="false">-G20/SUM($G$7:$H$22)</f>
        <v>-0.0112722186110682</v>
      </c>
      <c r="L20" s="25" t="n">
        <f aca="false">H20/SUM($G$7:$H$22)</f>
        <v>0.0128571521890326</v>
      </c>
    </row>
    <row r="21" customFormat="false" ht="14.4" hidden="false" customHeight="false" outlineLevel="0" collapsed="false">
      <c r="B21" s="26" t="s">
        <v>39</v>
      </c>
      <c r="C21" s="27" t="n">
        <v>29831</v>
      </c>
      <c r="D21" s="28" t="n">
        <v>33651</v>
      </c>
      <c r="E21" s="19"/>
      <c r="F21" s="29" t="s">
        <v>39</v>
      </c>
      <c r="G21" s="21" t="n">
        <f aca="false">C21/SUM($C$7:$C$22)*$C$23+C21</f>
        <v>29844.0121272433</v>
      </c>
      <c r="H21" s="22" t="n">
        <f aca="false">D21/SUM($D$7:$D$22)*$D$23+D21</f>
        <v>33665.2923173571</v>
      </c>
      <c r="I21" s="19"/>
      <c r="J21" s="26" t="s">
        <v>39</v>
      </c>
      <c r="K21" s="24" t="n">
        <f aca="false">-G21/SUM($G$7:$H$22)</f>
        <v>-0.00839122484931939</v>
      </c>
      <c r="L21" s="25" t="n">
        <f aca="false">H21/SUM($G$7:$H$22)</f>
        <v>0.00946565214651996</v>
      </c>
    </row>
    <row r="22" customFormat="false" ht="14.4" hidden="false" customHeight="false" outlineLevel="0" collapsed="false">
      <c r="B22" s="26" t="s">
        <v>40</v>
      </c>
      <c r="C22" s="27" t="n">
        <v>38719</v>
      </c>
      <c r="D22" s="28" t="n">
        <v>43801</v>
      </c>
      <c r="E22" s="19"/>
      <c r="F22" s="29" t="s">
        <v>40</v>
      </c>
      <c r="G22" s="21" t="n">
        <f aca="false">C22/SUM($C$7:$C$22)*$C$23+C22</f>
        <v>38735.8890266747</v>
      </c>
      <c r="H22" s="22" t="n">
        <f aca="false">D22/SUM($D$7:$D$22)*$D$23+D22</f>
        <v>43819.6032448533</v>
      </c>
      <c r="I22" s="19"/>
      <c r="J22" s="26" t="s">
        <v>40</v>
      </c>
      <c r="K22" s="24" t="n">
        <f aca="false">-G22/SUM($G$7:$H$22)</f>
        <v>-0.010891349097945</v>
      </c>
      <c r="L22" s="25" t="n">
        <f aca="false">H22/SUM($G$7:$H$22)</f>
        <v>0.0123207342922861</v>
      </c>
    </row>
    <row r="23" customFormat="false" ht="24.6" hidden="false" customHeight="false" outlineLevel="0" collapsed="false">
      <c r="B23" s="30" t="s">
        <v>20</v>
      </c>
      <c r="C23" s="31" t="n">
        <v>764</v>
      </c>
      <c r="D23" s="32" t="n">
        <v>766</v>
      </c>
      <c r="E23" s="8"/>
      <c r="F23" s="8"/>
      <c r="G23" s="8"/>
      <c r="H23" s="8"/>
      <c r="I23" s="8"/>
      <c r="J23" s="8"/>
      <c r="K23" s="8"/>
      <c r="L23" s="8"/>
    </row>
  </sheetData>
  <mergeCells count="3">
    <mergeCell ref="B1:D3"/>
    <mergeCell ref="F5:H5"/>
    <mergeCell ref="J5:L5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V41"/>
  <sheetViews>
    <sheetView windowProtection="false" showFormulas="false" showGridLines="true" showRowColHeaders="true" showZeros="true" rightToLeft="false" tabSelected="false" showOutlineSymbols="true" defaultGridColor="true" view="normal" topLeftCell="F1" colorId="64" zoomScale="75" zoomScaleNormal="75" zoomScalePageLayoutView="100" workbookViewId="0">
      <selection pane="topLeft" activeCell="O7" activeCellId="0" sqref="O7"/>
    </sheetView>
  </sheetViews>
  <sheetFormatPr defaultRowHeight="14.4"/>
  <cols>
    <col collapsed="false" hidden="false" max="1025" min="1" style="0" width="10.3928571428571"/>
  </cols>
  <sheetData>
    <row r="1" customFormat="false" ht="14.4" hidden="false" customHeight="false" outlineLevel="0" collapsed="false">
      <c r="A1" s="33" t="s">
        <v>41</v>
      </c>
      <c r="B1" s="34"/>
      <c r="C1" s="34"/>
      <c r="D1" s="34"/>
      <c r="E1" s="34"/>
      <c r="F1" s="34"/>
    </row>
    <row r="2" customFormat="false" ht="14.4" hidden="false" customHeight="false" outlineLevel="0" collapsed="false">
      <c r="A2" s="35" t="s">
        <v>42</v>
      </c>
      <c r="B2" s="34"/>
      <c r="C2" s="34"/>
      <c r="D2" s="34"/>
      <c r="E2" s="34"/>
      <c r="F2" s="34"/>
    </row>
    <row r="3" customFormat="false" ht="14.4" hidden="false" customHeight="false" outlineLevel="0" collapsed="false">
      <c r="A3" s="35"/>
      <c r="B3" s="34"/>
      <c r="C3" s="34"/>
      <c r="D3" s="34"/>
      <c r="E3" s="34"/>
      <c r="F3" s="34"/>
    </row>
    <row r="4" customFormat="false" ht="14.4" hidden="false" customHeight="true" outlineLevel="0" collapsed="false">
      <c r="A4" s="36" t="s">
        <v>43</v>
      </c>
      <c r="B4" s="37" t="s">
        <v>44</v>
      </c>
      <c r="C4" s="37"/>
      <c r="D4" s="37"/>
      <c r="E4" s="37"/>
      <c r="F4" s="37"/>
    </row>
    <row r="5" customFormat="false" ht="15" hidden="false" customHeight="false" outlineLevel="0" collapsed="false">
      <c r="A5" s="36"/>
      <c r="B5" s="37" t="s">
        <v>45</v>
      </c>
      <c r="C5" s="37" t="s">
        <v>46</v>
      </c>
      <c r="D5" s="37" t="s">
        <v>47</v>
      </c>
      <c r="E5" s="37" t="s">
        <v>48</v>
      </c>
      <c r="F5" s="38" t="s">
        <v>49</v>
      </c>
    </row>
    <row r="6" customFormat="false" ht="15" hidden="false" customHeight="false" outlineLevel="0" collapsed="false">
      <c r="A6" s="36"/>
      <c r="B6" s="37" t="s">
        <v>50</v>
      </c>
      <c r="C6" s="37"/>
      <c r="D6" s="37"/>
      <c r="E6" s="37"/>
      <c r="F6" s="37"/>
      <c r="H6" s="10" t="s">
        <v>24</v>
      </c>
      <c r="I6" s="11" t="s">
        <v>2</v>
      </c>
      <c r="J6" s="12" t="s">
        <v>3</v>
      </c>
      <c r="K6" s="39" t="s">
        <v>51</v>
      </c>
      <c r="N6" s="40" t="s">
        <v>24</v>
      </c>
      <c r="O6" s="41" t="s">
        <v>52</v>
      </c>
      <c r="Q6" s="40" t="s">
        <v>24</v>
      </c>
      <c r="R6" s="41" t="s">
        <v>52</v>
      </c>
      <c r="T6" s="40" t="s">
        <v>24</v>
      </c>
      <c r="U6" s="41" t="s">
        <v>52</v>
      </c>
    </row>
    <row r="7" customFormat="false" ht="14.4" hidden="false" customHeight="false" outlineLevel="0" collapsed="false">
      <c r="A7" s="42" t="s">
        <v>53</v>
      </c>
      <c r="B7" s="43" t="n">
        <v>0.3333</v>
      </c>
      <c r="C7" s="44" t="n">
        <v>-0.1636</v>
      </c>
      <c r="D7" s="44" t="n">
        <v>-0.021</v>
      </c>
      <c r="E7" s="44" t="n">
        <v>0.0796</v>
      </c>
      <c r="F7" s="45" t="n">
        <v>-0.0283</v>
      </c>
      <c r="H7" s="46" t="s">
        <v>25</v>
      </c>
      <c r="I7" s="47" t="n">
        <v>158341.037424258</v>
      </c>
      <c r="J7" s="48" t="n">
        <v>157120.704276551</v>
      </c>
      <c r="K7" s="49" t="n">
        <f aca="false">I7+J7</f>
        <v>315461.741700809</v>
      </c>
      <c r="N7" s="50" t="n">
        <v>0</v>
      </c>
      <c r="O7" s="51" t="n">
        <f aca="false" t="array" ref="O7:O11">MMULT($B$7:$F$11,K7:K11)</f>
        <v>58886.477071285</v>
      </c>
      <c r="P7" s="52" t="n">
        <f aca="false">SUM(O7:O11)</f>
        <v>315461.741700809</v>
      </c>
      <c r="Q7" s="50" t="n">
        <v>35</v>
      </c>
      <c r="R7" s="51" t="n">
        <f aca="false" t="array" ref="R7:R11">MMULT($B$19:$F$23,K12:$K$16)</f>
        <v>51218.7373968217</v>
      </c>
      <c r="S7" s="52" t="n">
        <f aca="false">SUM(R7:R11)</f>
        <v>255566.920274729</v>
      </c>
      <c r="T7" s="50" t="n">
        <v>70</v>
      </c>
      <c r="U7" s="51" t="n">
        <f aca="false" t="array" ref="U7:U11">MMULT(B31:F35,K17:K21)</f>
        <v>14438.312175191</v>
      </c>
      <c r="V7" s="52" t="n">
        <f aca="false">SUM(U7:U11)</f>
        <v>63509.3044446004</v>
      </c>
    </row>
    <row r="8" customFormat="false" ht="14.4" hidden="false" customHeight="false" outlineLevel="0" collapsed="false">
      <c r="A8" s="53" t="s">
        <v>54</v>
      </c>
      <c r="B8" s="54" t="n">
        <v>0.2595</v>
      </c>
      <c r="C8" s="55" t="n">
        <v>-0.078</v>
      </c>
      <c r="D8" s="55" t="n">
        <v>0.013</v>
      </c>
      <c r="E8" s="55" t="n">
        <v>0.01</v>
      </c>
      <c r="F8" s="56" t="n">
        <v>-0.0045</v>
      </c>
      <c r="H8" s="29" t="s">
        <v>26</v>
      </c>
      <c r="I8" s="57" t="n">
        <v>173378.59386838</v>
      </c>
      <c r="J8" s="58" t="n">
        <v>167454.091229271</v>
      </c>
      <c r="K8" s="59" t="n">
        <f aca="false">I8+J8</f>
        <v>340832.68509765</v>
      </c>
      <c r="N8" s="60" t="n">
        <v>1</v>
      </c>
      <c r="O8" s="61" t="n">
        <v>61566.0859823642</v>
      </c>
      <c r="P8" s="52"/>
      <c r="Q8" s="60" t="n">
        <v>36</v>
      </c>
      <c r="R8" s="61" t="n">
        <v>51033.2074137291</v>
      </c>
      <c r="S8" s="52"/>
      <c r="T8" s="60" t="n">
        <v>71</v>
      </c>
      <c r="U8" s="61" t="n">
        <v>13540.1077602291</v>
      </c>
      <c r="V8" s="52"/>
    </row>
    <row r="9" customFormat="false" ht="14.4" hidden="false" customHeight="false" outlineLevel="0" collapsed="false">
      <c r="A9" s="53" t="s">
        <v>55</v>
      </c>
      <c r="B9" s="54" t="n">
        <v>0.1924</v>
      </c>
      <c r="C9" s="55" t="n">
        <v>0.0064</v>
      </c>
      <c r="D9" s="55" t="n">
        <v>0.0184</v>
      </c>
      <c r="E9" s="55" t="n">
        <v>-0.0256</v>
      </c>
      <c r="F9" s="56" t="n">
        <v>0.0084</v>
      </c>
      <c r="H9" s="29" t="s">
        <v>27</v>
      </c>
      <c r="I9" s="57" t="n">
        <v>175607.565710407</v>
      </c>
      <c r="J9" s="58" t="n">
        <v>168966.733408815</v>
      </c>
      <c r="K9" s="59" t="n">
        <f aca="false">I9+J9</f>
        <v>344574.299119221</v>
      </c>
      <c r="N9" s="60" t="n">
        <v>2</v>
      </c>
      <c r="O9" s="61" t="n">
        <v>63614.7417829678</v>
      </c>
      <c r="P9" s="52"/>
      <c r="Q9" s="50" t="n">
        <v>37</v>
      </c>
      <c r="R9" s="61" t="n">
        <v>50976.0198477248</v>
      </c>
      <c r="S9" s="52"/>
      <c r="T9" s="50" t="n">
        <v>72</v>
      </c>
      <c r="U9" s="61" t="n">
        <v>12666.5180917052</v>
      </c>
      <c r="V9" s="52"/>
    </row>
    <row r="10" customFormat="false" ht="14.4" hidden="false" customHeight="false" outlineLevel="0" collapsed="false">
      <c r="A10" s="53" t="s">
        <v>56</v>
      </c>
      <c r="B10" s="54" t="n">
        <v>0.1329</v>
      </c>
      <c r="C10" s="55" t="n">
        <v>0.0844</v>
      </c>
      <c r="D10" s="55" t="n">
        <v>0.0054</v>
      </c>
      <c r="E10" s="55" t="n">
        <v>-0.0356</v>
      </c>
      <c r="F10" s="56" t="n">
        <v>0.0129</v>
      </c>
      <c r="H10" s="29" t="s">
        <v>28</v>
      </c>
      <c r="I10" s="57" t="n">
        <v>160742.084291791</v>
      </c>
      <c r="J10" s="58" t="n">
        <v>160074.958480383</v>
      </c>
      <c r="K10" s="59" t="n">
        <f aca="false">I10+J10</f>
        <v>320817.042772174</v>
      </c>
      <c r="N10" s="60" t="n">
        <v>3</v>
      </c>
      <c r="O10" s="61" t="n">
        <v>65141.0041407654</v>
      </c>
      <c r="P10" s="52"/>
      <c r="Q10" s="60" t="n">
        <v>38</v>
      </c>
      <c r="R10" s="61" t="n">
        <v>51082.4848086259</v>
      </c>
      <c r="S10" s="52"/>
      <c r="T10" s="60" t="n">
        <v>73</v>
      </c>
      <c r="U10" s="61" t="n">
        <v>11828.2712203962</v>
      </c>
      <c r="V10" s="52"/>
    </row>
    <row r="11" customFormat="false" ht="14.4" hidden="false" customHeight="false" outlineLevel="0" collapsed="false">
      <c r="A11" s="53" t="s">
        <v>57</v>
      </c>
      <c r="B11" s="62" t="n">
        <v>0.0819</v>
      </c>
      <c r="C11" s="63" t="n">
        <v>0.1508</v>
      </c>
      <c r="D11" s="63" t="n">
        <v>-0.0158</v>
      </c>
      <c r="E11" s="63" t="n">
        <v>-0.0284</v>
      </c>
      <c r="F11" s="64" t="n">
        <v>0.0115</v>
      </c>
      <c r="H11" s="29" t="s">
        <v>29</v>
      </c>
      <c r="I11" s="57" t="n">
        <v>154442.337573101</v>
      </c>
      <c r="J11" s="58" t="n">
        <v>156429.410793703</v>
      </c>
      <c r="K11" s="59" t="n">
        <f aca="false">I11+J11</f>
        <v>310871.748366804</v>
      </c>
      <c r="N11" s="60" t="n">
        <v>4</v>
      </c>
      <c r="O11" s="61" t="n">
        <v>66253.4327234267</v>
      </c>
      <c r="P11" s="52"/>
      <c r="Q11" s="50" t="n">
        <v>39</v>
      </c>
      <c r="R11" s="61" t="n">
        <v>51256.4708078274</v>
      </c>
      <c r="S11" s="52"/>
      <c r="T11" s="50" t="n">
        <v>74</v>
      </c>
      <c r="U11" s="61" t="n">
        <v>11036.0951970789</v>
      </c>
      <c r="V11" s="52"/>
    </row>
    <row r="12" customFormat="false" ht="15" hidden="false" customHeight="false" outlineLevel="0" collapsed="false">
      <c r="A12" s="53"/>
      <c r="B12" s="37" t="s">
        <v>58</v>
      </c>
      <c r="C12" s="37"/>
      <c r="D12" s="37"/>
      <c r="E12" s="37"/>
      <c r="F12" s="37"/>
      <c r="H12" s="29" t="s">
        <v>30</v>
      </c>
      <c r="I12" s="57" t="n">
        <v>131733.436387211</v>
      </c>
      <c r="J12" s="58" t="n">
        <v>137547.39459217</v>
      </c>
      <c r="K12" s="59" t="n">
        <f aca="false">I12+J12</f>
        <v>269280.830979381</v>
      </c>
      <c r="N12" s="60" t="n">
        <v>5</v>
      </c>
      <c r="O12" s="51" t="n">
        <f aca="false" t="array" ref="O12:O16">MMULT($B$13:$F$17,K7:K11)</f>
        <v>67065.3052359519</v>
      </c>
      <c r="P12" s="52" t="n">
        <f aca="false">SUM(O12:O16)</f>
        <v>340832.68509765</v>
      </c>
      <c r="Q12" s="60" t="n">
        <v>40</v>
      </c>
      <c r="R12" s="51" t="n">
        <f aca="false" t="array" ref="R12:R16">MMULT($B$19:$F$23,$K$13:$K$17)</f>
        <v>51486.686815154</v>
      </c>
      <c r="S12" s="52" t="n">
        <f aca="false">SUM(R12:R16)</f>
        <v>252751.714586608</v>
      </c>
      <c r="T12" s="65" t="s">
        <v>59</v>
      </c>
      <c r="U12" s="66" t="n">
        <f aca="false">K22</f>
        <v>82555.492271528</v>
      </c>
      <c r="V12" s="52" t="n">
        <f aca="false">U12</f>
        <v>82555.492271528</v>
      </c>
    </row>
    <row r="13" customFormat="false" ht="14.4" hidden="false" customHeight="false" outlineLevel="0" collapsed="false">
      <c r="A13" s="53" t="s">
        <v>60</v>
      </c>
      <c r="B13" s="67" t="n">
        <v>0.0404</v>
      </c>
      <c r="C13" s="68" t="n">
        <v>0.2</v>
      </c>
      <c r="D13" s="68" t="n">
        <v>-0.0344</v>
      </c>
      <c r="E13" s="68" t="n">
        <v>-0.0128</v>
      </c>
      <c r="F13" s="69" t="n">
        <v>0.0068</v>
      </c>
      <c r="H13" s="29" t="s">
        <v>31</v>
      </c>
      <c r="I13" s="57" t="n">
        <v>125952.916053625</v>
      </c>
      <c r="J13" s="58" t="n">
        <v>133169.536009044</v>
      </c>
      <c r="K13" s="59" t="n">
        <f aca="false">I13+J13</f>
        <v>259122.452062669</v>
      </c>
      <c r="N13" s="60" t="n">
        <v>6</v>
      </c>
      <c r="O13" s="61" t="n">
        <v>67685.1813460108</v>
      </c>
      <c r="P13" s="52"/>
      <c r="Q13" s="50" t="n">
        <v>41</v>
      </c>
      <c r="R13" s="61" t="n">
        <v>51535.0702841332</v>
      </c>
      <c r="S13" s="52"/>
      <c r="T13" s="70"/>
      <c r="U13" s="71"/>
      <c r="V13" s="52"/>
    </row>
    <row r="14" customFormat="false" ht="14.4" hidden="false" customHeight="false" outlineLevel="0" collapsed="false">
      <c r="A14" s="53" t="s">
        <v>61</v>
      </c>
      <c r="B14" s="72" t="n">
        <v>0.0093</v>
      </c>
      <c r="C14" s="73" t="n">
        <v>0.2268</v>
      </c>
      <c r="D14" s="73" t="n">
        <v>-0.0402</v>
      </c>
      <c r="E14" s="73" t="n">
        <v>0.0028</v>
      </c>
      <c r="F14" s="74" t="n">
        <v>0.0013</v>
      </c>
      <c r="H14" s="29" t="s">
        <v>32</v>
      </c>
      <c r="I14" s="57" t="n">
        <v>124006.067218533</v>
      </c>
      <c r="J14" s="58" t="n">
        <v>131560.853056196</v>
      </c>
      <c r="K14" s="59" t="n">
        <f aca="false">I14+J14</f>
        <v>255566.920274729</v>
      </c>
      <c r="N14" s="60" t="n">
        <v>7</v>
      </c>
      <c r="O14" s="61" t="n">
        <v>68207.466609282</v>
      </c>
      <c r="P14" s="52"/>
      <c r="Q14" s="60" t="n">
        <v>42</v>
      </c>
      <c r="R14" s="61" t="n">
        <v>51114.5216294534</v>
      </c>
      <c r="S14" s="52"/>
      <c r="T14" s="70"/>
      <c r="U14" s="71"/>
      <c r="V14" s="52"/>
    </row>
    <row r="15" customFormat="false" ht="14.4" hidden="false" customHeight="false" outlineLevel="0" collapsed="false">
      <c r="A15" s="53" t="s">
        <v>62</v>
      </c>
      <c r="B15" s="72" t="n">
        <v>-0.0108</v>
      </c>
      <c r="C15" s="73" t="n">
        <v>0.2272</v>
      </c>
      <c r="D15" s="73" t="n">
        <v>-0.0248</v>
      </c>
      <c r="E15" s="73" t="n">
        <v>0.0112</v>
      </c>
      <c r="F15" s="74" t="n">
        <v>-0.0028</v>
      </c>
      <c r="H15" s="29" t="s">
        <v>33</v>
      </c>
      <c r="I15" s="57" t="n">
        <v>123088.667227896</v>
      </c>
      <c r="J15" s="58" t="n">
        <v>129663.047358712</v>
      </c>
      <c r="K15" s="59" t="n">
        <f aca="false">I15+J15</f>
        <v>252751.714586608</v>
      </c>
      <c r="N15" s="60" t="n">
        <v>8</v>
      </c>
      <c r="O15" s="61" t="n">
        <v>68702.9763947923</v>
      </c>
      <c r="P15" s="52"/>
      <c r="Q15" s="50" t="n">
        <v>43</v>
      </c>
      <c r="R15" s="61" t="n">
        <v>50067.2153435972</v>
      </c>
      <c r="S15" s="52"/>
      <c r="T15" s="70"/>
      <c r="U15" s="71"/>
      <c r="V15" s="52"/>
    </row>
    <row r="16" customFormat="false" ht="14.4" hidden="false" customHeight="false" outlineLevel="0" collapsed="false">
      <c r="A16" s="53" t="s">
        <v>63</v>
      </c>
      <c r="B16" s="72" t="n">
        <v>-0.0198</v>
      </c>
      <c r="C16" s="73" t="n">
        <v>0.1992</v>
      </c>
      <c r="D16" s="73" t="n">
        <v>0.0172</v>
      </c>
      <c r="E16" s="73" t="n">
        <v>0.0072</v>
      </c>
      <c r="F16" s="74" t="n">
        <v>-0.0038</v>
      </c>
      <c r="H16" s="29" t="s">
        <v>34</v>
      </c>
      <c r="I16" s="57" t="n">
        <v>106508.438171385</v>
      </c>
      <c r="J16" s="58" t="n">
        <v>112017.556113473</v>
      </c>
      <c r="K16" s="59" t="n">
        <f aca="false">I16+J16</f>
        <v>218525.994284857</v>
      </c>
      <c r="N16" s="60" t="n">
        <v>9</v>
      </c>
      <c r="O16" s="61" t="n">
        <v>69171.7555116131</v>
      </c>
      <c r="P16" s="52"/>
      <c r="Q16" s="60" t="n">
        <v>44</v>
      </c>
      <c r="R16" s="61" t="n">
        <v>48548.2205142702</v>
      </c>
      <c r="S16" s="52"/>
      <c r="T16" s="70"/>
      <c r="U16" s="71"/>
      <c r="V16" s="52"/>
    </row>
    <row r="17" customFormat="false" ht="14.4" hidden="false" customHeight="false" outlineLevel="0" collapsed="false">
      <c r="A17" s="53" t="s">
        <v>64</v>
      </c>
      <c r="B17" s="75" t="n">
        <v>-0.0191</v>
      </c>
      <c r="C17" s="76" t="n">
        <v>0.1468</v>
      </c>
      <c r="D17" s="76" t="n">
        <v>0.0822</v>
      </c>
      <c r="E17" s="76" t="n">
        <v>-0.0084</v>
      </c>
      <c r="F17" s="77" t="n">
        <v>-0.0015</v>
      </c>
      <c r="H17" s="29" t="s">
        <v>35</v>
      </c>
      <c r="I17" s="57" t="n">
        <v>88253.4789247684</v>
      </c>
      <c r="J17" s="58" t="n">
        <v>95064.3587758028</v>
      </c>
      <c r="K17" s="59" t="n">
        <f aca="false">I17+J17</f>
        <v>183317.837700571</v>
      </c>
      <c r="N17" s="60" t="n">
        <v>10</v>
      </c>
      <c r="O17" s="51" t="n">
        <f aca="false" t="array" ref="O17:O21">MMULT($B$19:$F$23,$K$7:$K$11)</f>
        <v>69538.3601715299</v>
      </c>
      <c r="P17" s="52" t="n">
        <f aca="false">SUM(O17:O21)</f>
        <v>344574.299119221</v>
      </c>
      <c r="Q17" s="50" t="n">
        <v>45</v>
      </c>
      <c r="R17" s="51" t="n">
        <f aca="false" t="array" ref="R17:R21">MMULT($B$19:$F$23,$K$14:$K$18)</f>
        <v>46820.5061424417</v>
      </c>
      <c r="S17" s="52" t="n">
        <f aca="false">SUM(R17:R21)</f>
        <v>218525.994284857</v>
      </c>
    </row>
    <row r="18" customFormat="false" ht="14.4" hidden="false" customHeight="false" outlineLevel="0" collapsed="false">
      <c r="A18" s="53"/>
      <c r="B18" s="37" t="s">
        <v>65</v>
      </c>
      <c r="C18" s="37"/>
      <c r="D18" s="37"/>
      <c r="E18" s="37"/>
      <c r="F18" s="37"/>
      <c r="H18" s="29" t="s">
        <v>36</v>
      </c>
      <c r="I18" s="57" t="n">
        <v>68736.9696365024</v>
      </c>
      <c r="J18" s="58" t="n">
        <v>74613.6766102977</v>
      </c>
      <c r="K18" s="59" t="n">
        <f aca="false">I18+J18</f>
        <v>143350.6462468</v>
      </c>
      <c r="N18" s="60" t="n">
        <v>11</v>
      </c>
      <c r="O18" s="61" t="n">
        <v>69661.2940637033</v>
      </c>
      <c r="P18" s="52"/>
      <c r="Q18" s="60" t="n">
        <v>46</v>
      </c>
      <c r="R18" s="61" t="n">
        <v>45136.0027049628</v>
      </c>
      <c r="S18" s="52"/>
    </row>
    <row r="19" customFormat="false" ht="14.4" hidden="false" customHeight="false" outlineLevel="0" collapsed="false">
      <c r="A19" s="53" t="s">
        <v>66</v>
      </c>
      <c r="B19" s="67" t="n">
        <v>-0.0117</v>
      </c>
      <c r="C19" s="68" t="n">
        <v>0.0804</v>
      </c>
      <c r="D19" s="68" t="n">
        <v>0.157</v>
      </c>
      <c r="E19" s="68" t="n">
        <v>-0.0284</v>
      </c>
      <c r="F19" s="69" t="n">
        <v>0.0027</v>
      </c>
      <c r="H19" s="29" t="s">
        <v>37</v>
      </c>
      <c r="I19" s="57" t="n">
        <v>52813.0267237831</v>
      </c>
      <c r="J19" s="58" t="n">
        <v>57404.3705438159</v>
      </c>
      <c r="K19" s="59" t="n">
        <f aca="false">I19+J19</f>
        <v>110217.397267599</v>
      </c>
      <c r="N19" s="60" t="n">
        <v>12</v>
      </c>
      <c r="O19" s="61" t="n">
        <v>69370.7526533114</v>
      </c>
      <c r="P19" s="52"/>
      <c r="Q19" s="50" t="n">
        <v>47</v>
      </c>
      <c r="R19" s="61" t="n">
        <v>43542.0349626415</v>
      </c>
      <c r="S19" s="52"/>
    </row>
    <row r="20" customFormat="false" ht="14.4" hidden="false" customHeight="false" outlineLevel="0" collapsed="false">
      <c r="A20" s="53" t="s">
        <v>67</v>
      </c>
      <c r="B20" s="72" t="n">
        <v>-0.002</v>
      </c>
      <c r="C20" s="73" t="n">
        <v>0.016</v>
      </c>
      <c r="D20" s="73" t="n">
        <v>0.22</v>
      </c>
      <c r="E20" s="73" t="n">
        <v>-0.04</v>
      </c>
      <c r="F20" s="74" t="n">
        <v>0.006</v>
      </c>
      <c r="H20" s="29" t="s">
        <v>38</v>
      </c>
      <c r="I20" s="57" t="n">
        <v>40090.4796344414</v>
      </c>
      <c r="J20" s="58" t="n">
        <v>45727.4131895563</v>
      </c>
      <c r="K20" s="59" t="n">
        <f aca="false">I20+J20</f>
        <v>85817.8928239976</v>
      </c>
      <c r="N20" s="60" t="n">
        <v>13</v>
      </c>
      <c r="O20" s="61" t="n">
        <v>68577.1380401487</v>
      </c>
      <c r="P20" s="52"/>
      <c r="Q20" s="60" t="n">
        <v>48</v>
      </c>
      <c r="R20" s="61" t="n">
        <v>42145.4357915681</v>
      </c>
      <c r="S20" s="52"/>
    </row>
    <row r="21" customFormat="false" ht="14.4" hidden="false" customHeight="false" outlineLevel="0" collapsed="false">
      <c r="A21" s="53" t="s">
        <v>68</v>
      </c>
      <c r="B21" s="72" t="n">
        <v>0.005</v>
      </c>
      <c r="C21" s="73" t="n">
        <v>-0.028</v>
      </c>
      <c r="D21" s="73" t="n">
        <v>0.246</v>
      </c>
      <c r="E21" s="73" t="n">
        <v>-0.028</v>
      </c>
      <c r="F21" s="74" t="n">
        <v>0.005</v>
      </c>
      <c r="H21" s="29" t="s">
        <v>39</v>
      </c>
      <c r="I21" s="57" t="n">
        <v>29844.0121272433</v>
      </c>
      <c r="J21" s="58" t="n">
        <v>33665.2923173571</v>
      </c>
      <c r="K21" s="59" t="n">
        <f aca="false">I21+J21</f>
        <v>63509.3044446004</v>
      </c>
      <c r="N21" s="60" t="n">
        <v>14</v>
      </c>
      <c r="O21" s="61" t="n">
        <v>67426.7541905278</v>
      </c>
      <c r="P21" s="52"/>
      <c r="Q21" s="50" t="n">
        <v>49</v>
      </c>
      <c r="R21" s="61" t="n">
        <v>40882.014683243</v>
      </c>
      <c r="S21" s="52"/>
    </row>
    <row r="22" customFormat="false" ht="15" hidden="false" customHeight="false" outlineLevel="0" collapsed="false">
      <c r="A22" s="53" t="s">
        <v>69</v>
      </c>
      <c r="B22" s="72" t="n">
        <v>0.006</v>
      </c>
      <c r="C22" s="73" t="n">
        <v>-0.04</v>
      </c>
      <c r="D22" s="73" t="n">
        <v>0.22</v>
      </c>
      <c r="E22" s="73" t="n">
        <v>0.016</v>
      </c>
      <c r="F22" s="74" t="n">
        <v>-0.002</v>
      </c>
      <c r="H22" s="78" t="s">
        <v>40</v>
      </c>
      <c r="I22" s="79" t="n">
        <v>38735.8890266747</v>
      </c>
      <c r="J22" s="80" t="n">
        <v>43819.6032448533</v>
      </c>
      <c r="K22" s="81" t="n">
        <f aca="false">I22+J22</f>
        <v>82555.492271528</v>
      </c>
      <c r="N22" s="60" t="n">
        <v>15</v>
      </c>
      <c r="O22" s="51" t="n">
        <f aca="false" t="array" ref="O22:O26">MMULT($B$19:$F$23,$K$8:$K$12)</f>
        <v>65982.6075388013</v>
      </c>
      <c r="P22" s="52" t="n">
        <f aca="false">SUM(O22:O26)</f>
        <v>320817.042772174</v>
      </c>
      <c r="Q22" s="60" t="n">
        <v>50</v>
      </c>
      <c r="R22" s="51" t="n">
        <f aca="false" t="array" ref="R22:R26">MMULT($B$19:$F$23,$K$15:$K$19)</f>
        <v>39619.6240180422</v>
      </c>
      <c r="S22" s="52" t="n">
        <f aca="false">SUM(R22:R26)</f>
        <v>183317.837700571</v>
      </c>
    </row>
    <row r="23" customFormat="false" ht="14.4" hidden="false" customHeight="false" outlineLevel="0" collapsed="false">
      <c r="A23" s="53" t="s">
        <v>70</v>
      </c>
      <c r="B23" s="75" t="n">
        <v>0.0027</v>
      </c>
      <c r="C23" s="76" t="n">
        <v>-0.0284</v>
      </c>
      <c r="D23" s="76" t="n">
        <v>0.157</v>
      </c>
      <c r="E23" s="76" t="n">
        <v>0.0804</v>
      </c>
      <c r="F23" s="77" t="n">
        <v>-0.0117</v>
      </c>
      <c r="N23" s="60" t="n">
        <v>16</v>
      </c>
      <c r="O23" s="61" t="n">
        <v>64592.0878767946</v>
      </c>
      <c r="P23" s="52"/>
      <c r="Q23" s="50" t="n">
        <v>51</v>
      </c>
      <c r="R23" s="61" t="n">
        <v>38248.1153072437</v>
      </c>
      <c r="S23" s="52"/>
    </row>
    <row r="24" customFormat="false" ht="14.4" hidden="false" customHeight="false" outlineLevel="0" collapsed="false">
      <c r="A24" s="53"/>
      <c r="B24" s="37" t="s">
        <v>71</v>
      </c>
      <c r="C24" s="37"/>
      <c r="D24" s="37"/>
      <c r="E24" s="37"/>
      <c r="F24" s="37"/>
      <c r="N24" s="60" t="n">
        <v>17</v>
      </c>
      <c r="O24" s="61" t="n">
        <v>63619.0707727313</v>
      </c>
      <c r="P24" s="52"/>
      <c r="Q24" s="60" t="n">
        <v>52</v>
      </c>
      <c r="R24" s="61" t="n">
        <v>36778.4876987251</v>
      </c>
      <c r="S24" s="52"/>
    </row>
    <row r="25" customFormat="false" ht="14.4" hidden="false" customHeight="false" outlineLevel="0" collapsed="false">
      <c r="A25" s="53" t="s">
        <v>72</v>
      </c>
      <c r="B25" s="67" t="n">
        <v>-0.0015</v>
      </c>
      <c r="C25" s="68" t="n">
        <v>-0.0084</v>
      </c>
      <c r="D25" s="68" t="n">
        <v>0.0822</v>
      </c>
      <c r="E25" s="68" t="n">
        <v>0.1468</v>
      </c>
      <c r="F25" s="69" t="n">
        <v>-0.0191</v>
      </c>
      <c r="N25" s="60" t="n">
        <v>18</v>
      </c>
      <c r="O25" s="61" t="n">
        <v>63277.1598676055</v>
      </c>
      <c r="P25" s="52"/>
      <c r="Q25" s="50" t="n">
        <v>53</v>
      </c>
      <c r="R25" s="61" t="n">
        <v>35178.5703556646</v>
      </c>
      <c r="S25" s="52"/>
    </row>
    <row r="26" customFormat="false" ht="14.4" hidden="false" customHeight="false" outlineLevel="0" collapsed="false">
      <c r="A26" s="53" t="s">
        <v>73</v>
      </c>
      <c r="B26" s="72" t="n">
        <v>-0.0038</v>
      </c>
      <c r="C26" s="73" t="n">
        <v>0.0072</v>
      </c>
      <c r="D26" s="73" t="n">
        <v>0.0172</v>
      </c>
      <c r="E26" s="73" t="n">
        <v>0.1992</v>
      </c>
      <c r="F26" s="74" t="n">
        <v>-0.0198</v>
      </c>
      <c r="N26" s="60" t="n">
        <v>19</v>
      </c>
      <c r="O26" s="61" t="n">
        <v>63346.1167162414</v>
      </c>
      <c r="P26" s="52"/>
      <c r="Q26" s="60" t="n">
        <v>54</v>
      </c>
      <c r="R26" s="61" t="n">
        <v>33493.0403208954</v>
      </c>
      <c r="S26" s="52"/>
    </row>
    <row r="27" customFormat="false" ht="14.4" hidden="false" customHeight="false" outlineLevel="0" collapsed="false">
      <c r="A27" s="53" t="s">
        <v>74</v>
      </c>
      <c r="B27" s="72" t="n">
        <v>-0.0028</v>
      </c>
      <c r="C27" s="73" t="n">
        <v>0.0112</v>
      </c>
      <c r="D27" s="73" t="n">
        <v>-0.0248</v>
      </c>
      <c r="E27" s="73" t="n">
        <v>0.2272</v>
      </c>
      <c r="F27" s="74" t="n">
        <v>-0.0108</v>
      </c>
      <c r="N27" s="60" t="n">
        <v>20</v>
      </c>
      <c r="O27" s="51" t="n">
        <f aca="false" t="array" ref="O27:O31">MMULT($B$19:$F$23,$K$9:$K$13)</f>
        <v>63621.0904535309</v>
      </c>
      <c r="P27" s="52" t="n">
        <f aca="false">SUM(O27:O31)</f>
        <v>310871.748366804</v>
      </c>
      <c r="Q27" s="50" t="n">
        <v>55</v>
      </c>
      <c r="R27" s="51" t="n">
        <f aca="false" t="array" ref="R27:R31">MMULT($B$19:$F$23,$K$16:$K$20)</f>
        <v>31789.5857069657</v>
      </c>
      <c r="S27" s="52" t="n">
        <f aca="false">SUM(R27:R31)</f>
        <v>143350.6462468</v>
      </c>
    </row>
    <row r="28" customFormat="false" ht="14.4" hidden="false" customHeight="false" outlineLevel="0" collapsed="false">
      <c r="A28" s="53" t="s">
        <v>75</v>
      </c>
      <c r="B28" s="72" t="n">
        <v>0.0013</v>
      </c>
      <c r="C28" s="73" t="n">
        <v>0.0028</v>
      </c>
      <c r="D28" s="73" t="n">
        <v>-0.0402</v>
      </c>
      <c r="E28" s="73" t="n">
        <v>0.2268</v>
      </c>
      <c r="F28" s="74" t="n">
        <v>0.0093</v>
      </c>
      <c r="N28" s="60" t="n">
        <v>21</v>
      </c>
      <c r="O28" s="61" t="n">
        <v>63619.210200014</v>
      </c>
      <c r="P28" s="52"/>
      <c r="Q28" s="60" t="n">
        <v>56</v>
      </c>
      <c r="R28" s="61" t="n">
        <v>30139.3870551754</v>
      </c>
      <c r="S28" s="52"/>
    </row>
    <row r="29" customFormat="false" ht="14.4" hidden="false" customHeight="false" outlineLevel="0" collapsed="false">
      <c r="A29" s="53" t="s">
        <v>76</v>
      </c>
      <c r="B29" s="75" t="n">
        <v>0.0068</v>
      </c>
      <c r="C29" s="76" t="n">
        <v>-0.0128</v>
      </c>
      <c r="D29" s="76" t="n">
        <v>-0.0344</v>
      </c>
      <c r="E29" s="76" t="n">
        <v>0.2</v>
      </c>
      <c r="F29" s="77" t="n">
        <v>0.0404</v>
      </c>
      <c r="N29" s="60" t="n">
        <v>22</v>
      </c>
      <c r="O29" s="61" t="n">
        <v>62970.1933890997</v>
      </c>
      <c r="P29" s="52"/>
      <c r="Q29" s="50" t="n">
        <v>57</v>
      </c>
      <c r="R29" s="61" t="n">
        <v>28566.9918331483</v>
      </c>
      <c r="S29" s="52"/>
    </row>
    <row r="30" customFormat="false" ht="14.4" hidden="false" customHeight="false" outlineLevel="0" collapsed="false">
      <c r="A30" s="53"/>
      <c r="B30" s="37" t="s">
        <v>77</v>
      </c>
      <c r="C30" s="37"/>
      <c r="D30" s="37"/>
      <c r="E30" s="37"/>
      <c r="F30" s="37"/>
      <c r="N30" s="60" t="n">
        <v>23</v>
      </c>
      <c r="O30" s="61" t="n">
        <v>61416.79711607</v>
      </c>
      <c r="P30" s="52"/>
      <c r="Q30" s="60" t="n">
        <v>58</v>
      </c>
      <c r="R30" s="61" t="n">
        <v>27107.4272026159</v>
      </c>
      <c r="S30" s="52"/>
    </row>
    <row r="31" customFormat="false" ht="14.4" hidden="false" customHeight="false" outlineLevel="0" collapsed="false">
      <c r="A31" s="53" t="s">
        <v>78</v>
      </c>
      <c r="B31" s="67" t="n">
        <v>0.0115</v>
      </c>
      <c r="C31" s="68" t="n">
        <v>-0.0284</v>
      </c>
      <c r="D31" s="68" t="n">
        <v>-0.0158</v>
      </c>
      <c r="E31" s="68" t="n">
        <v>0.1508</v>
      </c>
      <c r="F31" s="69" t="n">
        <v>0.0819</v>
      </c>
      <c r="N31" s="60" t="n">
        <v>24</v>
      </c>
      <c r="O31" s="61" t="n">
        <v>59244.4572080894</v>
      </c>
      <c r="P31" s="52"/>
      <c r="Q31" s="50" t="n">
        <v>59</v>
      </c>
      <c r="R31" s="61" t="n">
        <v>25747.2544488947</v>
      </c>
      <c r="S31" s="52"/>
    </row>
    <row r="32" customFormat="false" ht="14.4" hidden="false" customHeight="false" outlineLevel="0" collapsed="false">
      <c r="A32" s="53" t="s">
        <v>79</v>
      </c>
      <c r="B32" s="72" t="n">
        <v>0.0129</v>
      </c>
      <c r="C32" s="73" t="n">
        <v>-0.0356</v>
      </c>
      <c r="D32" s="73" t="n">
        <v>0.0054</v>
      </c>
      <c r="E32" s="73" t="n">
        <v>0.0844</v>
      </c>
      <c r="F32" s="74" t="n">
        <v>0.1329</v>
      </c>
      <c r="N32" s="60" t="n">
        <v>25</v>
      </c>
      <c r="O32" s="51" t="n">
        <f aca="false" t="array" ref="O32:O36">MMULT($B$19:$F$23,$K$10:$K$14)</f>
        <v>56848.5726781814</v>
      </c>
      <c r="P32" s="52" t="n">
        <f aca="false">SUM(O32:O36)</f>
        <v>269280.830979381</v>
      </c>
      <c r="Q32" s="60" t="n">
        <v>60</v>
      </c>
      <c r="R32" s="51" t="n">
        <f aca="false" t="array" ref="R32:R36">MMULT($B$19:$F$23,$K$17:$K$21)</f>
        <v>24418.951593958</v>
      </c>
      <c r="S32" s="52" t="n">
        <f aca="false">SUM(R32:R36)</f>
        <v>110217.397267599</v>
      </c>
    </row>
    <row r="33" customFormat="false" ht="14.4" hidden="false" customHeight="false" outlineLevel="0" collapsed="false">
      <c r="A33" s="53" t="s">
        <v>80</v>
      </c>
      <c r="B33" s="72" t="n">
        <v>0.0084</v>
      </c>
      <c r="C33" s="73" t="n">
        <v>-0.0256</v>
      </c>
      <c r="D33" s="73" t="n">
        <v>0.0184</v>
      </c>
      <c r="E33" s="73" t="n">
        <v>0.0064</v>
      </c>
      <c r="F33" s="74" t="n">
        <v>0.1924</v>
      </c>
      <c r="N33" s="60" t="n">
        <v>26</v>
      </c>
      <c r="O33" s="61" t="n">
        <v>54742.60014293</v>
      </c>
      <c r="P33" s="52"/>
      <c r="Q33" s="50" t="n">
        <v>61</v>
      </c>
      <c r="R33" s="61" t="n">
        <v>23123.1421771271</v>
      </c>
      <c r="S33" s="52"/>
    </row>
    <row r="34" customFormat="false" ht="14.4" hidden="false" customHeight="false" outlineLevel="0" collapsed="false">
      <c r="A34" s="53" t="s">
        <v>81</v>
      </c>
      <c r="B34" s="72" t="n">
        <v>-0.0045</v>
      </c>
      <c r="C34" s="73" t="n">
        <v>0.01</v>
      </c>
      <c r="D34" s="73" t="n">
        <v>0.013</v>
      </c>
      <c r="E34" s="73" t="n">
        <v>-0.078</v>
      </c>
      <c r="F34" s="74" t="n">
        <v>0.2595</v>
      </c>
      <c r="N34" s="60" t="n">
        <v>27</v>
      </c>
      <c r="O34" s="61" t="n">
        <v>53165.166624137</v>
      </c>
      <c r="P34" s="52"/>
      <c r="Q34" s="60" t="n">
        <v>62</v>
      </c>
      <c r="R34" s="61" t="n">
        <v>21930.8963445729</v>
      </c>
      <c r="S34" s="52"/>
    </row>
    <row r="35" customFormat="false" ht="14.4" hidden="false" customHeight="false" outlineLevel="0" collapsed="false">
      <c r="A35" s="82" t="s">
        <v>82</v>
      </c>
      <c r="B35" s="75" t="n">
        <v>-0.0283</v>
      </c>
      <c r="C35" s="76" t="n">
        <v>0.0796</v>
      </c>
      <c r="D35" s="76" t="n">
        <v>-0.021</v>
      </c>
      <c r="E35" s="76" t="n">
        <v>-0.1636</v>
      </c>
      <c r="F35" s="77" t="n">
        <v>0.3333</v>
      </c>
      <c r="N35" s="60" t="n">
        <v>28</v>
      </c>
      <c r="O35" s="61" t="n">
        <v>52366.6405298779</v>
      </c>
      <c r="P35" s="52"/>
      <c r="Q35" s="50" t="n">
        <v>63</v>
      </c>
      <c r="R35" s="61" t="n">
        <v>20859.776251498</v>
      </c>
      <c r="S35" s="52"/>
    </row>
    <row r="36" customFormat="false" ht="14.4" hidden="false" customHeight="true" outlineLevel="0" collapsed="false">
      <c r="A36" s="83" t="s">
        <v>83</v>
      </c>
      <c r="B36" s="83"/>
      <c r="C36" s="83"/>
      <c r="D36" s="83"/>
      <c r="E36" s="83"/>
      <c r="F36" s="83"/>
      <c r="N36" s="60" t="n">
        <v>29</v>
      </c>
      <c r="O36" s="61" t="n">
        <v>52157.8510042547</v>
      </c>
      <c r="P36" s="52"/>
      <c r="Q36" s="60" t="n">
        <v>64</v>
      </c>
      <c r="R36" s="61" t="n">
        <v>19884.630900443</v>
      </c>
      <c r="S36" s="52"/>
    </row>
    <row r="37" customFormat="false" ht="14.4" hidden="false" customHeight="false" outlineLevel="0" collapsed="false">
      <c r="A37" s="83"/>
      <c r="B37" s="83"/>
      <c r="C37" s="83"/>
      <c r="D37" s="83"/>
      <c r="E37" s="83"/>
      <c r="F37" s="83"/>
      <c r="N37" s="60" t="n">
        <v>30</v>
      </c>
      <c r="O37" s="51" t="n">
        <f aca="false" t="array" ref="O37:O41">MMULT($B$19:$F$23,$K$11:$K$15)</f>
        <v>52119.5334222712</v>
      </c>
      <c r="P37" s="52" t="n">
        <f aca="false">SUM(O37:O41)</f>
        <v>259122.452062669</v>
      </c>
      <c r="Q37" s="50" t="n">
        <v>65</v>
      </c>
      <c r="R37" s="51" t="n">
        <f aca="false" t="array" ref="R37:R41">MMULT($B$25:$F$29,$K$17:$K$21)</f>
        <v>18965.7868220436</v>
      </c>
      <c r="S37" s="52" t="n">
        <f aca="false">SUM(R37:R41)</f>
        <v>85817.8928239976</v>
      </c>
    </row>
    <row r="38" customFormat="false" ht="14.4" hidden="false" customHeight="false" outlineLevel="0" collapsed="false">
      <c r="A38" s="83"/>
      <c r="B38" s="83"/>
      <c r="C38" s="83"/>
      <c r="D38" s="83"/>
      <c r="E38" s="83"/>
      <c r="F38" s="83"/>
      <c r="N38" s="60" t="n">
        <v>31</v>
      </c>
      <c r="O38" s="61" t="n">
        <v>51987.5227292542</v>
      </c>
      <c r="Q38" s="60" t="n">
        <v>66</v>
      </c>
      <c r="R38" s="61" t="n">
        <v>18068.6961252547</v>
      </c>
    </row>
    <row r="39" customFormat="false" ht="14.4" hidden="false" customHeight="false" outlineLevel="0" collapsed="false">
      <c r="A39" s="83"/>
      <c r="B39" s="83"/>
      <c r="C39" s="83"/>
      <c r="D39" s="83"/>
      <c r="E39" s="83"/>
      <c r="F39" s="83"/>
      <c r="N39" s="60" t="n">
        <v>32</v>
      </c>
      <c r="O39" s="61" t="n">
        <v>51866.5034870686</v>
      </c>
      <c r="Q39" s="50" t="n">
        <v>67</v>
      </c>
      <c r="R39" s="61" t="n">
        <v>17170.7706017767</v>
      </c>
    </row>
    <row r="40" customFormat="false" ht="14.4" hidden="false" customHeight="false" outlineLevel="0" collapsed="false">
      <c r="N40" s="60" t="n">
        <v>33</v>
      </c>
      <c r="O40" s="61" t="n">
        <v>51684.5040000352</v>
      </c>
      <c r="Q40" s="60" t="n">
        <v>68</v>
      </c>
      <c r="R40" s="61" t="n">
        <v>16263.0902521617</v>
      </c>
    </row>
    <row r="41" customFormat="false" ht="15" hidden="false" customHeight="false" outlineLevel="0" collapsed="false">
      <c r="N41" s="65" t="n">
        <v>34</v>
      </c>
      <c r="O41" s="61" t="n">
        <v>51464.3884240399</v>
      </c>
      <c r="Q41" s="84" t="n">
        <v>69</v>
      </c>
      <c r="R41" s="85" t="n">
        <v>15349.5490227608</v>
      </c>
    </row>
  </sheetData>
  <mergeCells count="8">
    <mergeCell ref="A4:A6"/>
    <mergeCell ref="B4:F4"/>
    <mergeCell ref="B6:F6"/>
    <mergeCell ref="B12:F12"/>
    <mergeCell ref="B18:F18"/>
    <mergeCell ref="B24:F24"/>
    <mergeCell ref="B30:F30"/>
    <mergeCell ref="A36:F39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B2:G8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75" zoomScaleNormal="75" zoomScalePageLayoutView="100" workbookViewId="0">
      <selection pane="topLeft" activeCell="G8" activeCellId="0" sqref="G8"/>
    </sheetView>
  </sheetViews>
  <sheetFormatPr defaultRowHeight="14.4"/>
  <cols>
    <col collapsed="false" hidden="false" max="1025" min="1" style="0" width="10.3928571428571"/>
  </cols>
  <sheetData>
    <row r="2" customFormat="false" ht="14.4" hidden="false" customHeight="true" outlineLevel="0" collapsed="false">
      <c r="B2" s="86" t="s">
        <v>84</v>
      </c>
      <c r="C2" s="86"/>
      <c r="F2" s="86" t="s">
        <v>85</v>
      </c>
      <c r="G2" s="86"/>
    </row>
    <row r="3" customFormat="false" ht="14.4" hidden="false" customHeight="false" outlineLevel="0" collapsed="false">
      <c r="B3" s="86"/>
      <c r="C3" s="86"/>
      <c r="F3" s="86"/>
      <c r="G3" s="86"/>
    </row>
    <row r="4" customFormat="false" ht="15" hidden="false" customHeight="false" outlineLevel="0" collapsed="false"/>
    <row r="5" customFormat="false" ht="14.4" hidden="false" customHeight="false" outlineLevel="0" collapsed="false">
      <c r="B5" s="87" t="s">
        <v>24</v>
      </c>
      <c r="C5" s="88" t="s">
        <v>52</v>
      </c>
      <c r="F5" s="87" t="s">
        <v>24</v>
      </c>
      <c r="G5" s="88" t="s">
        <v>52</v>
      </c>
    </row>
    <row r="6" customFormat="false" ht="14.4" hidden="false" customHeight="false" outlineLevel="0" collapsed="false">
      <c r="B6" s="60" t="n">
        <v>0</v>
      </c>
      <c r="C6" s="89" t="n">
        <v>58886.4770712848</v>
      </c>
      <c r="F6" s="60" t="n">
        <v>0</v>
      </c>
      <c r="G6" s="89" t="n">
        <v>58886.4770712848</v>
      </c>
    </row>
    <row r="7" customFormat="false" ht="14.4" hidden="false" customHeight="false" outlineLevel="0" collapsed="false">
      <c r="B7" s="60" t="n">
        <v>1</v>
      </c>
      <c r="C7" s="89" t="n">
        <v>61566.0859823641</v>
      </c>
      <c r="F7" s="60" t="n">
        <v>1</v>
      </c>
      <c r="G7" s="89" t="n">
        <v>61566.0859823641</v>
      </c>
    </row>
    <row r="8" customFormat="false" ht="14.4" hidden="false" customHeight="false" outlineLevel="0" collapsed="false">
      <c r="B8" s="60" t="n">
        <v>2</v>
      </c>
      <c r="C8" s="89" t="n">
        <v>63614.7417829677</v>
      </c>
      <c r="F8" s="60" t="n">
        <v>2</v>
      </c>
      <c r="G8" s="89" t="n">
        <f aca="false">(-C6+4*C7+10*C8+4*C9-C10)/16</f>
        <v>63614.7417829677</v>
      </c>
    </row>
    <row r="9" customFormat="false" ht="14.4" hidden="false" customHeight="false" outlineLevel="0" collapsed="false">
      <c r="B9" s="60" t="n">
        <v>3</v>
      </c>
      <c r="C9" s="89" t="n">
        <v>65141.0041407654</v>
      </c>
      <c r="F9" s="60" t="n">
        <v>3</v>
      </c>
      <c r="G9" s="89" t="n">
        <f aca="false">(-C7+4*C8+10*C9+4*C10-C11)/16</f>
        <v>65140.7092634322</v>
      </c>
    </row>
    <row r="10" customFormat="false" ht="14.4" hidden="false" customHeight="false" outlineLevel="0" collapsed="false">
      <c r="B10" s="60" t="n">
        <v>4</v>
      </c>
      <c r="C10" s="89" t="n">
        <v>66253.4327234267</v>
      </c>
      <c r="F10" s="60" t="n">
        <v>4</v>
      </c>
      <c r="G10" s="89" t="n">
        <f aca="false">(-C8+4*C9+10*C10+4*C11-C12)/16</f>
        <v>66253.7276007599</v>
      </c>
    </row>
    <row r="11" customFormat="false" ht="14.4" hidden="false" customHeight="false" outlineLevel="0" collapsed="false">
      <c r="B11" s="60" t="n">
        <v>5</v>
      </c>
      <c r="C11" s="89" t="n">
        <v>67065.305235952</v>
      </c>
      <c r="F11" s="60" t="n">
        <v>5</v>
      </c>
      <c r="G11" s="89" t="n">
        <f aca="false">(-C9+4*C10+10*C11+4*C12-C13)/16</f>
        <v>67066.1898679514</v>
      </c>
    </row>
    <row r="12" customFormat="false" ht="14.4" hidden="false" customHeight="false" outlineLevel="0" collapsed="false">
      <c r="B12" s="60" t="n">
        <v>6</v>
      </c>
      <c r="C12" s="89" t="n">
        <v>67685.1813460109</v>
      </c>
      <c r="F12" s="60" t="n">
        <v>6</v>
      </c>
      <c r="G12" s="89" t="n">
        <f aca="false">(-C10+4*C11+10*C12+4*C13-C14)/16</f>
        <v>67686.6557326766</v>
      </c>
    </row>
    <row r="13" customFormat="false" ht="14.4" hidden="false" customHeight="false" outlineLevel="0" collapsed="false">
      <c r="B13" s="60" t="n">
        <v>7</v>
      </c>
      <c r="C13" s="89" t="n">
        <v>68207.4666092821</v>
      </c>
      <c r="F13" s="60" t="n">
        <v>7</v>
      </c>
      <c r="G13" s="89" t="n">
        <f aca="false">(-C11+4*C12+10*C13+4*C14-C15)/16</f>
        <v>68211.8897692793</v>
      </c>
    </row>
    <row r="14" customFormat="false" ht="14.4" hidden="false" customHeight="false" outlineLevel="0" collapsed="false">
      <c r="B14" s="60" t="n">
        <v>8</v>
      </c>
      <c r="C14" s="89" t="n">
        <v>68702.9763947924</v>
      </c>
      <c r="F14" s="60" t="n">
        <v>8</v>
      </c>
      <c r="G14" s="89" t="n">
        <f aca="false">(-C12+4*C13+10*C14+4*C15-C16)/16</f>
        <v>68707.6944321228</v>
      </c>
    </row>
    <row r="15" customFormat="false" ht="14.4" hidden="false" customHeight="false" outlineLevel="0" collapsed="false">
      <c r="B15" s="60" t="n">
        <v>9</v>
      </c>
      <c r="C15" s="89" t="n">
        <v>69171.7555116132</v>
      </c>
      <c r="F15" s="60" t="n">
        <v>9</v>
      </c>
      <c r="G15" s="89" t="n">
        <f aca="false">(-C13+4*C14+10*C15+4*C16-C17)/16</f>
        <v>69175.8837942773</v>
      </c>
    </row>
    <row r="16" customFormat="false" ht="14.4" hidden="false" customHeight="false" outlineLevel="0" collapsed="false">
      <c r="B16" s="60" t="n">
        <v>10</v>
      </c>
      <c r="C16" s="89" t="n">
        <v>69538.36017153</v>
      </c>
      <c r="F16" s="60" t="n">
        <v>10</v>
      </c>
      <c r="G16" s="89" t="n">
        <f aca="false">(-C14+4*C15+10*C16+4*C17-C18)/16</f>
        <v>69540.1294355289</v>
      </c>
    </row>
    <row r="17" customFormat="false" ht="14.4" hidden="false" customHeight="false" outlineLevel="0" collapsed="false">
      <c r="B17" s="60" t="n">
        <v>11</v>
      </c>
      <c r="C17" s="89" t="n">
        <v>69661.2940637034</v>
      </c>
      <c r="F17" s="60" t="n">
        <v>11</v>
      </c>
      <c r="G17" s="89" t="n">
        <f aca="false">(-C15+4*C16+10*C17+4*C18-C19)/16</f>
        <v>69656.2811490399</v>
      </c>
    </row>
    <row r="18" customFormat="false" ht="14.4" hidden="false" customHeight="false" outlineLevel="0" collapsed="false">
      <c r="B18" s="60" t="n">
        <v>12</v>
      </c>
      <c r="C18" s="89" t="n">
        <v>69370.7526533114</v>
      </c>
      <c r="F18" s="60" t="n">
        <v>12</v>
      </c>
      <c r="G18" s="89" t="n">
        <f aca="false">(-C16+4*C17+10*C18+4*C19-C20)/16</f>
        <v>69356.008786654</v>
      </c>
    </row>
    <row r="19" customFormat="false" ht="14.4" hidden="false" customHeight="false" outlineLevel="0" collapsed="false">
      <c r="B19" s="60" t="n">
        <v>13</v>
      </c>
      <c r="C19" s="89" t="n">
        <v>68577.1380401487</v>
      </c>
      <c r="F19" s="60" t="n">
        <v>13</v>
      </c>
      <c r="G19" s="89" t="n">
        <f aca="false">(-C17+4*C18+10*C19+4*C20-C21)/16</f>
        <v>68582.3441358962</v>
      </c>
    </row>
    <row r="20" customFormat="false" ht="14.4" hidden="false" customHeight="false" outlineLevel="0" collapsed="false">
      <c r="B20" s="60" t="n">
        <v>14</v>
      </c>
      <c r="C20" s="89" t="n">
        <v>67426.7541905279</v>
      </c>
      <c r="F20" s="60" t="n">
        <v>14</v>
      </c>
      <c r="G20" s="89" t="n">
        <f aca="false">(-C18+4*C19+10*C20+4*C21-C22)/16</f>
        <v>67408.9802306858</v>
      </c>
    </row>
    <row r="21" customFormat="false" ht="14.4" hidden="false" customHeight="false" outlineLevel="0" collapsed="false">
      <c r="B21" s="60" t="n">
        <v>15</v>
      </c>
      <c r="C21" s="89" t="n">
        <v>65982.6075388013</v>
      </c>
      <c r="F21" s="60" t="n">
        <v>15</v>
      </c>
      <c r="G21" s="89" t="n">
        <f aca="false">(-C19+4*C20+10*C21+4*C22-C23)/16</f>
        <v>65981.5771777765</v>
      </c>
    </row>
    <row r="22" customFormat="false" ht="14.4" hidden="false" customHeight="false" outlineLevel="0" collapsed="false">
      <c r="B22" s="60" t="n">
        <v>16</v>
      </c>
      <c r="C22" s="89" t="n">
        <v>64592.0878767947</v>
      </c>
      <c r="F22" s="60" t="n">
        <v>16</v>
      </c>
      <c r="G22" s="89" t="n">
        <f aca="false">(-C20+4*C21+10*C22+4*C23-C24)/16</f>
        <v>64601.4798722465</v>
      </c>
    </row>
    <row r="23" customFormat="false" ht="14.4" hidden="false" customHeight="false" outlineLevel="0" collapsed="false">
      <c r="B23" s="60" t="n">
        <v>17</v>
      </c>
      <c r="C23" s="89" t="n">
        <v>63619.0707727313</v>
      </c>
      <c r="F23" s="60" t="n">
        <v>17</v>
      </c>
      <c r="G23" s="89" t="n">
        <f aca="false">(-C21+4*C22+10*C23+4*C24-C25)/16</f>
        <v>63646.1859031169</v>
      </c>
    </row>
    <row r="24" customFormat="false" ht="14.4" hidden="false" customHeight="false" outlineLevel="0" collapsed="false">
      <c r="B24" s="60" t="n">
        <v>18</v>
      </c>
      <c r="C24" s="89" t="n">
        <v>63277.1598676055</v>
      </c>
      <c r="F24" s="60" t="n">
        <v>18</v>
      </c>
      <c r="G24" s="89" t="n">
        <f aca="false">(-C22+4*C23+10*C24+4*C25-C26)/16</f>
        <v>63276.1981438512</v>
      </c>
    </row>
    <row r="25" customFormat="false" ht="14.4" hidden="false" customHeight="false" outlineLevel="0" collapsed="false">
      <c r="B25" s="60" t="n">
        <v>19</v>
      </c>
      <c r="C25" s="89" t="n">
        <v>63346.1167162414</v>
      </c>
      <c r="F25" s="60" t="n">
        <v>19</v>
      </c>
      <c r="G25" s="89" t="n">
        <f aca="false">(-C23+4*C24+10*C25+4*C26-C27)/16</f>
        <v>63363.4929671384</v>
      </c>
    </row>
    <row r="26" customFormat="false" ht="14.4" hidden="false" customHeight="false" outlineLevel="0" collapsed="false">
      <c r="B26" s="60" t="n">
        <v>20</v>
      </c>
      <c r="C26" s="89" t="n">
        <v>63621.090453531</v>
      </c>
      <c r="F26" s="60" t="n">
        <v>20</v>
      </c>
      <c r="G26" s="89" t="n">
        <f aca="false">(-C24+4*C25+10*C26+4*C27-C28)/16</f>
        <v>63614.0536839767</v>
      </c>
    </row>
    <row r="27" customFormat="false" ht="14.4" hidden="false" customHeight="false" outlineLevel="0" collapsed="false">
      <c r="B27" s="60" t="n">
        <v>21</v>
      </c>
      <c r="C27" s="89" t="n">
        <v>63619.2102000141</v>
      </c>
      <c r="F27" s="60" t="n">
        <v>21</v>
      </c>
      <c r="G27" s="89" t="n">
        <f aca="false">(-C25+4*C26+10*C27+4*C28-C29)/16</f>
        <v>63612.1452211471</v>
      </c>
    </row>
    <row r="28" customFormat="false" ht="14.4" hidden="false" customHeight="false" outlineLevel="0" collapsed="false">
      <c r="B28" s="60" t="n">
        <v>22</v>
      </c>
      <c r="C28" s="89" t="n">
        <v>62970.1933890998</v>
      </c>
      <c r="F28" s="60" t="n">
        <v>22</v>
      </c>
      <c r="G28" s="89" t="n">
        <f aca="false">(-C26+4*C27+10*C28+4*C29-C30)/16</f>
        <v>62936.2759683572</v>
      </c>
    </row>
    <row r="29" customFormat="false" ht="14.4" hidden="false" customHeight="false" outlineLevel="0" collapsed="false">
      <c r="B29" s="60" t="n">
        <v>23</v>
      </c>
      <c r="C29" s="89" t="n">
        <v>61416.7971160701</v>
      </c>
      <c r="F29" s="60" t="n">
        <v>23</v>
      </c>
      <c r="G29" s="89" t="n">
        <f aca="false">(-C27+4*C28+10*C29+4*C30-C31)/16</f>
        <v>61409.9244169539</v>
      </c>
    </row>
    <row r="30" customFormat="false" ht="14.4" hidden="false" customHeight="false" outlineLevel="0" collapsed="false">
      <c r="B30" s="60" t="n">
        <v>24</v>
      </c>
      <c r="C30" s="89" t="n">
        <v>59244.4572080894</v>
      </c>
      <c r="F30" s="60" t="n">
        <v>24</v>
      </c>
      <c r="G30" s="89" t="n">
        <f aca="false">(-C28+4*C29+10*C30+4*C31-C32)/16</f>
        <v>59237.0786078669</v>
      </c>
    </row>
    <row r="31" customFormat="false" ht="14.4" hidden="false" customHeight="false" outlineLevel="0" collapsed="false">
      <c r="B31" s="60" t="n">
        <v>25</v>
      </c>
      <c r="C31" s="89" t="n">
        <v>56848.5726781814</v>
      </c>
      <c r="F31" s="60" t="n">
        <v>25</v>
      </c>
      <c r="G31" s="89" t="n">
        <f aca="false">(-C29+4*C30+10*C31+4*C32-C33)/16</f>
        <v>56865.7495278553</v>
      </c>
    </row>
    <row r="32" customFormat="false" ht="14.4" hidden="false" customHeight="false" outlineLevel="0" collapsed="false">
      <c r="B32" s="60" t="n">
        <v>26</v>
      </c>
      <c r="C32" s="89" t="n">
        <v>54742.6001429299</v>
      </c>
      <c r="F32" s="60" t="n">
        <v>26</v>
      </c>
      <c r="G32" s="89" t="n">
        <f aca="false">(-C30+4*C31+10*C32+4*C33-C34)/16</f>
        <v>54741.8663062878</v>
      </c>
    </row>
    <row r="33" customFormat="false" ht="14.4" hidden="false" customHeight="false" outlineLevel="0" collapsed="false">
      <c r="B33" s="60" t="n">
        <v>27</v>
      </c>
      <c r="C33" s="89" t="n">
        <v>53165.1666241369</v>
      </c>
      <c r="F33" s="60" t="n">
        <v>27</v>
      </c>
      <c r="G33" s="89" t="n">
        <f aca="false">(-C31+4*C32+10*C33+4*C34-C35)/16</f>
        <v>53192.6378281353</v>
      </c>
    </row>
    <row r="34" customFormat="false" ht="14.4" hidden="false" customHeight="false" outlineLevel="0" collapsed="false">
      <c r="B34" s="60" t="n">
        <v>28</v>
      </c>
      <c r="C34" s="89" t="n">
        <v>52366.6405298779</v>
      </c>
      <c r="F34" s="60" t="n">
        <v>28</v>
      </c>
      <c r="G34" s="89" t="n">
        <f aca="false">(-C32+4*C33+10*C34+4*C35-C36)/16</f>
        <v>52381.0213904465</v>
      </c>
    </row>
    <row r="35" customFormat="false" ht="14.4" hidden="false" customHeight="false" outlineLevel="0" collapsed="false">
      <c r="B35" s="60" t="n">
        <v>29</v>
      </c>
      <c r="C35" s="89" t="n">
        <v>52157.8510042547</v>
      </c>
      <c r="F35" s="60" t="n">
        <v>29</v>
      </c>
      <c r="G35" s="89" t="n">
        <f aca="false">(-C33+4*C34+10*C35+4*C36-C37)/16</f>
        <v>52148.1572811095</v>
      </c>
    </row>
    <row r="36" customFormat="false" ht="14.4" hidden="false" customHeight="false" outlineLevel="0" collapsed="false">
      <c r="B36" s="60" t="n">
        <v>30</v>
      </c>
      <c r="C36" s="89" t="n">
        <v>52119.5334222712</v>
      </c>
      <c r="F36" s="60" t="n">
        <v>30</v>
      </c>
      <c r="G36" s="89" t="n">
        <f aca="false">(-C34+4*C35+10*C36+4*C37-C38)/16</f>
        <v>52096.4803212376</v>
      </c>
    </row>
    <row r="37" customFormat="false" ht="14.4" hidden="false" customHeight="false" outlineLevel="0" collapsed="false">
      <c r="B37" s="60" t="n">
        <v>31</v>
      </c>
      <c r="C37" s="89" t="n">
        <v>51987.5227292542</v>
      </c>
      <c r="F37" s="60" t="n">
        <v>31</v>
      </c>
      <c r="G37" s="89" t="n">
        <f aca="false">(-C35+4*C36+10*C37+4*C38-C39)/16</f>
        <v>51998.5637453507</v>
      </c>
    </row>
    <row r="38" customFormat="false" ht="14.4" hidden="false" customHeight="false" outlineLevel="0" collapsed="false">
      <c r="B38" s="60" t="n">
        <v>32</v>
      </c>
      <c r="C38" s="89" t="n">
        <v>51866.5034870686</v>
      </c>
      <c r="F38" s="60" t="n">
        <v>32</v>
      </c>
      <c r="G38" s="89" t="n">
        <f aca="false">(-C36+4*C37+10*C38+4*C39-C40)/16</f>
        <v>51860.5762463458</v>
      </c>
    </row>
    <row r="39" customFormat="false" ht="14.4" hidden="false" customHeight="false" outlineLevel="0" collapsed="false">
      <c r="B39" s="60" t="n">
        <v>33</v>
      </c>
      <c r="C39" s="89" t="n">
        <v>51684.5040000352</v>
      </c>
      <c r="F39" s="60" t="n">
        <v>33</v>
      </c>
      <c r="G39" s="89" t="n">
        <f aca="false">(-C37+4*C38+10*C39+4*C40-C41)/16</f>
        <v>51685.1467199194</v>
      </c>
    </row>
    <row r="40" customFormat="false" ht="14.4" hidden="false" customHeight="false" outlineLevel="0" collapsed="false">
      <c r="B40" s="60" t="n">
        <v>34</v>
      </c>
      <c r="C40" s="89" t="n">
        <v>51464.3884240399</v>
      </c>
      <c r="F40" s="60" t="n">
        <v>34</v>
      </c>
      <c r="G40" s="89" t="n">
        <f aca="false">(-C38+4*C39+10*C40+4*C41-C42)/16</f>
        <v>51459.8211829393</v>
      </c>
    </row>
    <row r="41" customFormat="false" ht="14.4" hidden="false" customHeight="false" outlineLevel="0" collapsed="false">
      <c r="B41" s="60" t="n">
        <v>35</v>
      </c>
      <c r="C41" s="90" t="n">
        <v>51218.7373968217</v>
      </c>
      <c r="F41" s="60" t="n">
        <v>35</v>
      </c>
      <c r="G41" s="89" t="n">
        <f aca="false">(-C39+4*C40+10*C41+4*C42-C43)/16</f>
        <v>51219.8270919708</v>
      </c>
    </row>
    <row r="42" customFormat="false" ht="14.4" hidden="false" customHeight="false" outlineLevel="0" collapsed="false">
      <c r="B42" s="60" t="n">
        <v>36</v>
      </c>
      <c r="C42" s="90" t="n">
        <v>51033.2074137291</v>
      </c>
      <c r="F42" s="60" t="n">
        <v>36</v>
      </c>
      <c r="G42" s="89" t="n">
        <f aca="false">(-C40+4*C41+10*C42+4*C43-C44)/16</f>
        <v>51035.2643676757</v>
      </c>
    </row>
    <row r="43" customFormat="false" ht="14.4" hidden="false" customHeight="false" outlineLevel="0" collapsed="false">
      <c r="B43" s="60" t="n">
        <v>37</v>
      </c>
      <c r="C43" s="90" t="n">
        <v>50976.0198477247</v>
      </c>
      <c r="F43" s="60" t="n">
        <v>37</v>
      </c>
      <c r="G43" s="89" t="n">
        <f aca="false">(-C41+4*C42+10*C43+4*C44-C45)/16</f>
        <v>50984.2349476261</v>
      </c>
    </row>
    <row r="44" customFormat="false" ht="14.4" hidden="false" customHeight="false" outlineLevel="0" collapsed="false">
      <c r="B44" s="60" t="n">
        <v>38</v>
      </c>
      <c r="C44" s="90" t="n">
        <v>51082.4848086259</v>
      </c>
      <c r="F44" s="60" t="n">
        <v>38</v>
      </c>
      <c r="G44" s="89" t="n">
        <f aca="false">(-C42+4*C43+10*C44+4*C45-C46)/16</f>
        <v>51077.182279974</v>
      </c>
    </row>
    <row r="45" customFormat="false" ht="14.4" hidden="false" customHeight="false" outlineLevel="0" collapsed="false">
      <c r="B45" s="60" t="n">
        <v>39</v>
      </c>
      <c r="C45" s="90" t="n">
        <v>51256.4708078274</v>
      </c>
      <c r="F45" s="60" t="n">
        <v>39</v>
      </c>
      <c r="G45" s="89" t="n">
        <f aca="false">(-C43+4*C44+10*C45+4*C46-C47)/16</f>
        <v>51270.644027596</v>
      </c>
    </row>
    <row r="46" customFormat="false" ht="14.4" hidden="false" customHeight="false" outlineLevel="0" collapsed="false">
      <c r="B46" s="60" t="n">
        <v>40</v>
      </c>
      <c r="C46" s="90" t="n">
        <v>51486.6868151541</v>
      </c>
      <c r="F46" s="60" t="n">
        <v>40</v>
      </c>
      <c r="G46" s="89" t="n">
        <f aca="false">(-C44+4*C45+10*C46+4*C47-C48)/16</f>
        <v>51489.7516300815</v>
      </c>
    </row>
    <row r="47" customFormat="false" ht="14.4" hidden="false" customHeight="false" outlineLevel="0" collapsed="false">
      <c r="B47" s="60" t="n">
        <v>41</v>
      </c>
      <c r="C47" s="90" t="n">
        <v>51535.0702841333</v>
      </c>
      <c r="F47" s="60" t="n">
        <v>41</v>
      </c>
      <c r="G47" s="89" t="n">
        <f aca="false">(-C45+4*C46+10*C47+4*C48-C49)/16</f>
        <v>51526.9906542712</v>
      </c>
    </row>
    <row r="48" customFormat="false" ht="14.4" hidden="false" customHeight="false" outlineLevel="0" collapsed="false">
      <c r="B48" s="60" t="n">
        <v>42</v>
      </c>
      <c r="C48" s="90" t="n">
        <v>51114.5216294534</v>
      </c>
      <c r="F48" s="60" t="n">
        <v>42</v>
      </c>
      <c r="G48" s="89" t="n">
        <f aca="false">(-C46+4*C47+10*C48+4*C49-C50)/16</f>
        <v>51094.965717252</v>
      </c>
    </row>
    <row r="49" customFormat="false" ht="14.4" hidden="false" customHeight="false" outlineLevel="0" collapsed="false">
      <c r="B49" s="60" t="n">
        <v>43</v>
      </c>
      <c r="C49" s="90" t="n">
        <v>50067.2153435973</v>
      </c>
      <c r="F49" s="60" t="n">
        <v>43</v>
      </c>
      <c r="G49" s="89" t="n">
        <f aca="false">(-C47+4*C48+10*C49+4*C50-C51)/16</f>
        <v>50060.4715990183</v>
      </c>
    </row>
    <row r="50" customFormat="false" ht="14.4" hidden="false" customHeight="false" outlineLevel="0" collapsed="false">
      <c r="B50" s="60" t="n">
        <v>44</v>
      </c>
      <c r="C50" s="90" t="n">
        <v>48548.2205142703</v>
      </c>
      <c r="F50" s="60" t="n">
        <v>44</v>
      </c>
      <c r="G50" s="89" t="n">
        <f aca="false">(-C48+4*C49+10*C50+4*C51-C52)/16</f>
        <v>48548.9104220277</v>
      </c>
    </row>
    <row r="51" customFormat="false" ht="14.4" hidden="false" customHeight="false" outlineLevel="0" collapsed="false">
      <c r="B51" s="60" t="n">
        <v>45</v>
      </c>
      <c r="C51" s="90" t="n">
        <v>46820.5061424417</v>
      </c>
      <c r="F51" s="60" t="n">
        <v>45</v>
      </c>
      <c r="G51" s="89" t="n">
        <f aca="false">(-C49+4*C50+10*C51+4*C52-C53)/16</f>
        <v>46833.2939996945</v>
      </c>
    </row>
    <row r="52" customFormat="false" ht="14.4" hidden="false" customHeight="false" outlineLevel="0" collapsed="false">
      <c r="B52" s="60" t="n">
        <v>46</v>
      </c>
      <c r="C52" s="90" t="n">
        <v>45136.0027049629</v>
      </c>
      <c r="F52" s="60" t="n">
        <v>46</v>
      </c>
      <c r="G52" s="89" t="n">
        <f aca="false">(-C50+4*C51+10*C52+4*C53-C54)/16</f>
        <v>45132.2834477577</v>
      </c>
    </row>
    <row r="53" customFormat="false" ht="14.4" hidden="false" customHeight="false" outlineLevel="0" collapsed="false">
      <c r="B53" s="60" t="n">
        <v>47</v>
      </c>
      <c r="C53" s="90" t="n">
        <v>43542.0349626415</v>
      </c>
      <c r="F53" s="60" t="n">
        <v>47</v>
      </c>
      <c r="G53" s="89" t="n">
        <f aca="false">(-C51+4*C52+10*C53+4*C54-C55)/16</f>
        <v>43552.7239241784</v>
      </c>
    </row>
    <row r="54" customFormat="false" ht="14.4" hidden="false" customHeight="false" outlineLevel="0" collapsed="false">
      <c r="B54" s="60" t="n">
        <v>48</v>
      </c>
      <c r="C54" s="90" t="n">
        <v>42145.4357915682</v>
      </c>
      <c r="F54" s="60" t="n">
        <v>48</v>
      </c>
      <c r="G54" s="89" t="n">
        <f aca="false">(-C52+4*C53+10*C54+4*C55-C56)/16</f>
        <v>42149.6831110135</v>
      </c>
    </row>
    <row r="55" customFormat="false" ht="14.4" hidden="false" customHeight="false" outlineLevel="0" collapsed="false">
      <c r="B55" s="60" t="n">
        <v>49</v>
      </c>
      <c r="C55" s="90" t="n">
        <v>40882.0146832431</v>
      </c>
      <c r="F55" s="60" t="n">
        <v>49</v>
      </c>
      <c r="G55" s="89" t="n">
        <f aca="false">(-C53+4*C54+10*C55+4*C56-C57)/16</f>
        <v>40880.6397375617</v>
      </c>
    </row>
    <row r="56" customFormat="false" ht="14.4" hidden="false" customHeight="false" outlineLevel="0" collapsed="false">
      <c r="B56" s="60" t="n">
        <v>50</v>
      </c>
      <c r="C56" s="90" t="n">
        <v>39619.6240180423</v>
      </c>
      <c r="F56" s="60" t="n">
        <v>50</v>
      </c>
      <c r="G56" s="89" t="n">
        <f aca="false">(-C54+4*C55+10*C56+4*C57-C58)/16</f>
        <v>39612.0522907548</v>
      </c>
    </row>
    <row r="57" customFormat="false" ht="14.4" hidden="false" customHeight="false" outlineLevel="0" collapsed="false">
      <c r="B57" s="60" t="n">
        <v>51</v>
      </c>
      <c r="C57" s="90" t="n">
        <v>38248.1153072438</v>
      </c>
      <c r="F57" s="60" t="n">
        <v>51</v>
      </c>
      <c r="G57" s="89" t="n">
        <f aca="false">(-C55+4*C56+10*C57+4*C58-C59)/16</f>
        <v>38250.8134312875</v>
      </c>
    </row>
    <row r="58" customFormat="false" ht="14.4" hidden="false" customHeight="false" outlineLevel="0" collapsed="false">
      <c r="B58" s="60" t="n">
        <v>52</v>
      </c>
      <c r="C58" s="90" t="n">
        <v>36778.4876987251</v>
      </c>
      <c r="F58" s="60" t="n">
        <v>52</v>
      </c>
      <c r="G58" s="89" t="n">
        <f aca="false">(-C56+4*C57+10*C58+4*C59-C60)/16</f>
        <v>36773.6847062467</v>
      </c>
    </row>
    <row r="59" customFormat="false" ht="14.4" hidden="false" customHeight="false" outlineLevel="0" collapsed="false">
      <c r="B59" s="60" t="n">
        <v>53</v>
      </c>
      <c r="C59" s="90" t="n">
        <v>35178.5703556646</v>
      </c>
      <c r="F59" s="60" t="n">
        <v>53</v>
      </c>
      <c r="G59" s="89" t="n">
        <f aca="false">(-C57+4*C58+10*C59+4*C60-C61)/16</f>
        <v>35177.1321638074</v>
      </c>
    </row>
    <row r="60" customFormat="false" ht="14.4" hidden="false" customHeight="false" outlineLevel="0" collapsed="false">
      <c r="B60" s="60" t="n">
        <v>54</v>
      </c>
      <c r="C60" s="90" t="n">
        <v>33493.0403208954</v>
      </c>
      <c r="F60" s="60" t="n">
        <v>54</v>
      </c>
      <c r="G60" s="89" t="n">
        <f aca="false">(-C58+4*C59+10*C60+4*C61-C62)/16</f>
        <v>33492.8220440984</v>
      </c>
    </row>
    <row r="61" customFormat="false" ht="14.4" hidden="false" customHeight="false" outlineLevel="0" collapsed="false">
      <c r="B61" s="60" t="n">
        <v>55</v>
      </c>
      <c r="C61" s="90" t="n">
        <v>31789.5857069657</v>
      </c>
      <c r="F61" s="60" t="n">
        <v>55</v>
      </c>
      <c r="G61" s="89" t="n">
        <f aca="false">(-C59+4*C60+10*C61+4*C62-C63)/16</f>
        <v>31792.5002740705</v>
      </c>
    </row>
    <row r="62" customFormat="false" ht="14.4" hidden="false" customHeight="false" outlineLevel="0" collapsed="false">
      <c r="B62" s="60" t="n">
        <v>56</v>
      </c>
      <c r="C62" s="90" t="n">
        <v>30139.3870551755</v>
      </c>
      <c r="F62" s="60" t="n">
        <v>56</v>
      </c>
      <c r="G62" s="89" t="n">
        <f aca="false">(-C60+4*C61+10*C62+4*C63-C64)/16</f>
        <v>30138.7320742937</v>
      </c>
    </row>
    <row r="63" customFormat="false" ht="14.4" hidden="false" customHeight="false" outlineLevel="0" collapsed="false">
      <c r="B63" s="60" t="n">
        <v>57</v>
      </c>
      <c r="C63" s="90" t="n">
        <v>28566.9918331483</v>
      </c>
      <c r="F63" s="60" t="n">
        <v>57</v>
      </c>
      <c r="G63" s="89" t="n">
        <f aca="false">(-C61+4*C62+10*C63+4*C64-C65)/16</f>
        <v>28570.0209504243</v>
      </c>
    </row>
    <row r="64" customFormat="false" ht="14.4" hidden="false" customHeight="false" outlineLevel="0" collapsed="false">
      <c r="B64" s="60" t="n">
        <v>58</v>
      </c>
      <c r="C64" s="90" t="n">
        <v>27107.4272026159</v>
      </c>
      <c r="F64" s="60" t="n">
        <v>58</v>
      </c>
      <c r="G64" s="89" t="n">
        <f aca="false">(-C62+4*C63+10*C64+4*C65-C66)/16</f>
        <v>27110.8074065749</v>
      </c>
    </row>
    <row r="65" customFormat="false" ht="14.4" hidden="false" customHeight="false" outlineLevel="0" collapsed="false">
      <c r="B65" s="60" t="n">
        <v>59</v>
      </c>
      <c r="C65" s="90" t="n">
        <v>25747.2544488947</v>
      </c>
      <c r="F65" s="60" t="n">
        <v>59</v>
      </c>
      <c r="G65" s="89" t="n">
        <f aca="false">(-C63+4*C64+10*C65+4*C66-C67)/16</f>
        <v>25742.9953540604</v>
      </c>
    </row>
    <row r="66" customFormat="false" ht="14.4" hidden="false" customHeight="false" outlineLevel="0" collapsed="false">
      <c r="B66" s="60" t="n">
        <v>60</v>
      </c>
      <c r="C66" s="90" t="n">
        <v>24418.951593958</v>
      </c>
      <c r="F66" s="60" t="n">
        <v>60</v>
      </c>
      <c r="G66" s="89" t="n">
        <f aca="false">(-C64+4*C65+10*C66+4*C67-C68)/16</f>
        <v>24414.5486810299</v>
      </c>
    </row>
    <row r="67" customFormat="false" ht="14.4" hidden="false" customHeight="false" outlineLevel="0" collapsed="false">
      <c r="B67" s="60" t="n">
        <v>61</v>
      </c>
      <c r="C67" s="90" t="n">
        <v>23123.1421771271</v>
      </c>
      <c r="F67" s="60" t="n">
        <v>61</v>
      </c>
      <c r="G67" s="89" t="n">
        <f aca="false">(-C65+4*C66+10*C67+4*C68-C69)/16</f>
        <v>23126.4864265626</v>
      </c>
    </row>
    <row r="68" customFormat="false" ht="14.4" hidden="false" customHeight="false" outlineLevel="0" collapsed="false">
      <c r="B68" s="60" t="n">
        <v>62</v>
      </c>
      <c r="C68" s="90" t="n">
        <v>21930.8963445729</v>
      </c>
      <c r="F68" s="60" t="n">
        <v>62</v>
      </c>
      <c r="G68" s="89" t="n">
        <f aca="false">(-C66+4*C67+10*C68+4*C69-C70)/16</f>
        <v>21933.5659166143</v>
      </c>
    </row>
    <row r="69" customFormat="false" ht="14.4" hidden="false" customHeight="false" outlineLevel="0" collapsed="false">
      <c r="B69" s="60" t="n">
        <v>63</v>
      </c>
      <c r="C69" s="90" t="n">
        <v>20859.776251498</v>
      </c>
      <c r="F69" s="60" t="n">
        <v>63</v>
      </c>
      <c r="G69" s="89" t="n">
        <f aca="false">(-C67+4*C68+10*C69+4*C70-C71)/16</f>
        <v>20860.683905992</v>
      </c>
    </row>
    <row r="70" customFormat="false" ht="14.4" hidden="false" customHeight="false" outlineLevel="0" collapsed="false">
      <c r="B70" s="60" t="n">
        <v>64</v>
      </c>
      <c r="C70" s="90" t="n">
        <v>19884.630900443</v>
      </c>
      <c r="F70" s="60" t="n">
        <v>64</v>
      </c>
      <c r="G70" s="89" t="n">
        <f aca="false">(-C68+4*C69+10*C70+4*C71-C72)/16</f>
        <v>19884.3105517981</v>
      </c>
    </row>
    <row r="71" customFormat="false" ht="14.4" hidden="false" customHeight="false" outlineLevel="0" collapsed="false">
      <c r="B71" s="60" t="n">
        <v>65</v>
      </c>
      <c r="C71" s="90" t="n">
        <v>18965.7868220436</v>
      </c>
      <c r="F71" s="60" t="n">
        <v>65</v>
      </c>
      <c r="G71" s="89" t="n">
        <f aca="false">(-C69+4*C70+10*C71+4*C72-C73)/16</f>
        <v>18965.0393418721</v>
      </c>
    </row>
    <row r="72" customFormat="false" ht="14.4" hidden="false" customHeight="false" outlineLevel="0" collapsed="false">
      <c r="B72" s="60" t="n">
        <v>66</v>
      </c>
      <c r="C72" s="90" t="n">
        <v>18068.6961252547</v>
      </c>
      <c r="F72" s="60" t="n">
        <v>66</v>
      </c>
      <c r="G72" s="89" t="n">
        <f aca="false">(-C70+4*C71+10*C72+4*C73-C74)/16</f>
        <v>18067.8418622015</v>
      </c>
    </row>
    <row r="73" customFormat="false" ht="14.4" hidden="false" customHeight="false" outlineLevel="0" collapsed="false">
      <c r="B73" s="60" t="n">
        <v>67</v>
      </c>
      <c r="C73" s="90" t="n">
        <v>17170.7706017767</v>
      </c>
      <c r="F73" s="60" t="n">
        <v>67</v>
      </c>
      <c r="G73" s="89" t="n">
        <f aca="false">(-C71+4*C72+10*C73+4*C74-C75)/16</f>
        <v>17169.9697301643</v>
      </c>
    </row>
    <row r="74" customFormat="false" ht="14.4" hidden="false" customHeight="false" outlineLevel="0" collapsed="false">
      <c r="B74" s="60" t="n">
        <v>68</v>
      </c>
      <c r="C74" s="90" t="n">
        <v>16263.0902521617</v>
      </c>
      <c r="F74" s="60" t="n">
        <v>68</v>
      </c>
      <c r="G74" s="89" t="n">
        <f aca="false">(-C72+4*C73+10*C74+4*C75-C76)/16</f>
        <v>16262.8232949576</v>
      </c>
    </row>
    <row r="75" customFormat="false" ht="14.4" hidden="false" customHeight="false" outlineLevel="0" collapsed="false">
      <c r="B75" s="60" t="n">
        <v>69</v>
      </c>
      <c r="C75" s="90" t="n">
        <v>15349.5490227608</v>
      </c>
      <c r="F75" s="60" t="n">
        <v>69</v>
      </c>
      <c r="G75" s="89" t="n">
        <f aca="false">(-C73+4*C74+10*C75+4*C76-C77)/16</f>
        <v>15349.3888484383</v>
      </c>
    </row>
    <row r="76" customFormat="false" ht="14.4" hidden="false" customHeight="false" outlineLevel="0" collapsed="false">
      <c r="B76" s="60" t="n">
        <v>70</v>
      </c>
      <c r="C76" s="90" t="n">
        <v>14438.312175191</v>
      </c>
      <c r="F76" s="60" t="n">
        <v>70</v>
      </c>
      <c r="G76" s="89" t="n">
        <f aca="false">(-C74+4*C75+10*C76+4*C77-C78)/16</f>
        <v>14438.2587837502</v>
      </c>
    </row>
    <row r="77" customFormat="false" ht="14.4" hidden="false" customHeight="false" outlineLevel="0" collapsed="false">
      <c r="B77" s="60" t="n">
        <v>71</v>
      </c>
      <c r="C77" s="90" t="n">
        <v>13540.1077602291</v>
      </c>
      <c r="F77" s="60" t="n">
        <v>71</v>
      </c>
      <c r="G77" s="89" t="n">
        <f aca="false">(-C75+4*C76+10*C77+4*C78-C79)/16</f>
        <v>13540.1611516699</v>
      </c>
    </row>
    <row r="78" customFormat="false" ht="14.4" hidden="false" customHeight="false" outlineLevel="0" collapsed="false">
      <c r="B78" s="60" t="n">
        <v>72</v>
      </c>
      <c r="C78" s="90" t="n">
        <v>12666.5180917052</v>
      </c>
      <c r="F78" s="60" t="n">
        <v>72</v>
      </c>
      <c r="G78" s="89" t="n">
        <f aca="false">(-C76+4*C77+10*C78+4*C79-C80)/16</f>
        <v>12666.5180917052</v>
      </c>
    </row>
    <row r="79" customFormat="false" ht="14.4" hidden="false" customHeight="false" outlineLevel="0" collapsed="false">
      <c r="B79" s="60" t="n">
        <v>73</v>
      </c>
      <c r="C79" s="90" t="n">
        <v>11828.2712203962</v>
      </c>
      <c r="F79" s="60" t="n">
        <v>73</v>
      </c>
      <c r="G79" s="89" t="n">
        <f aca="false">C79</f>
        <v>11828.2712203962</v>
      </c>
    </row>
    <row r="80" customFormat="false" ht="14.4" hidden="false" customHeight="false" outlineLevel="0" collapsed="false">
      <c r="B80" s="60" t="n">
        <v>74</v>
      </c>
      <c r="C80" s="90" t="n">
        <v>11036.0951970788</v>
      </c>
      <c r="F80" s="60" t="n">
        <v>74</v>
      </c>
      <c r="G80" s="89" t="n">
        <f aca="false">C80</f>
        <v>11036.0951970788</v>
      </c>
    </row>
    <row r="81" customFormat="false" ht="15" hidden="false" customHeight="false" outlineLevel="0" collapsed="false">
      <c r="B81" s="65" t="s">
        <v>59</v>
      </c>
      <c r="C81" s="91" t="n">
        <v>82555.492271528</v>
      </c>
      <c r="F81" s="65" t="s">
        <v>59</v>
      </c>
      <c r="G81" s="89" t="n">
        <f aca="false">C81</f>
        <v>82555.492271528</v>
      </c>
    </row>
  </sheetData>
  <mergeCells count="2">
    <mergeCell ref="B2:C3"/>
    <mergeCell ref="F2:G3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3:AG113"/>
  <sheetViews>
    <sheetView windowProtection="false" showFormulas="false" showGridLines="true" showRowColHeaders="true" showZeros="true" rightToLeft="false" tabSelected="true" showOutlineSymbols="true" defaultGridColor="true" view="normal" topLeftCell="A7" colorId="64" zoomScale="75" zoomScaleNormal="75" zoomScalePageLayoutView="100" workbookViewId="0">
      <selection pane="topLeft" activeCell="AH28" activeCellId="0" sqref="AH28"/>
    </sheetView>
  </sheetViews>
  <sheetFormatPr defaultRowHeight="12.8"/>
  <cols>
    <col collapsed="false" hidden="false" max="5" min="1" style="0" width="11.3418367346939"/>
    <col collapsed="false" hidden="false" max="6" min="6" style="0" width="15.6581632653061"/>
    <col collapsed="false" hidden="false" max="25" min="7" style="0" width="11.3418367346939"/>
    <col collapsed="false" hidden="false" max="26" min="26" style="0" width="8.89285714285714"/>
    <col collapsed="false" hidden="false" max="27" min="27" style="0" width="11.3418367346939"/>
    <col collapsed="false" hidden="false" max="28" min="28" style="0" width="13.7959183673469"/>
    <col collapsed="false" hidden="false" max="29" min="29" style="0" width="8.33163265306122"/>
    <col collapsed="false" hidden="false" max="31" min="30" style="0" width="8.89285714285714"/>
    <col collapsed="false" hidden="false" max="32" min="32" style="0" width="12.0408163265306"/>
    <col collapsed="false" hidden="false" max="1025" min="33" style="0" width="11.3418367346939"/>
  </cols>
  <sheetData>
    <row r="3" customFormat="false" ht="13.8" hidden="false" customHeight="false" outlineLevel="0" collapsed="false">
      <c r="A3" s="0" t="s">
        <v>24</v>
      </c>
      <c r="B3" s="0" t="s">
        <v>2</v>
      </c>
      <c r="C3" s="0" t="s">
        <v>3</v>
      </c>
      <c r="E3" s="0" t="s">
        <v>86</v>
      </c>
      <c r="F3" s="0" t="s">
        <v>87</v>
      </c>
      <c r="G3" s="0" t="s">
        <v>88</v>
      </c>
      <c r="H3" s="0" t="s">
        <v>86</v>
      </c>
      <c r="I3" s="0" t="s">
        <v>87</v>
      </c>
      <c r="J3" s="0" t="s">
        <v>88</v>
      </c>
    </row>
    <row r="4" customFormat="false" ht="23.95" hidden="false" customHeight="true" outlineLevel="0" collapsed="false">
      <c r="A4" s="92" t="n">
        <v>0</v>
      </c>
      <c r="B4" s="93" t="n">
        <v>34996.5666946002</v>
      </c>
      <c r="C4" s="93" t="n">
        <v>33406.9435071736</v>
      </c>
      <c r="E4" s="0" t="s">
        <v>89</v>
      </c>
      <c r="F4" s="0" t="n">
        <v>1</v>
      </c>
      <c r="G4" s="94" t="n">
        <f aca="false">(F4/SUM($F$4:$F$22))*$F$23+F4</f>
        <v>1.10077519379845</v>
      </c>
      <c r="H4" s="0" t="s">
        <v>89</v>
      </c>
      <c r="I4" s="0" t="n">
        <v>2</v>
      </c>
      <c r="J4" s="94" t="n">
        <f aca="false">(I4/SUM($I$4:$I$23))*$I$24+I4</f>
        <v>2.4031007751938</v>
      </c>
      <c r="U4" s="95" t="s">
        <v>90</v>
      </c>
      <c r="V4" s="95"/>
      <c r="W4" s="95"/>
      <c r="X4" s="95"/>
      <c r="Y4" s="95"/>
      <c r="Z4" s="95"/>
      <c r="AA4" s="95"/>
      <c r="AB4" s="95"/>
      <c r="AC4" s="95"/>
      <c r="AD4" s="95"/>
      <c r="AE4" s="95"/>
      <c r="AF4" s="95"/>
      <c r="AG4" s="95"/>
    </row>
    <row r="5" customFormat="false" ht="17.95" hidden="false" customHeight="false" outlineLevel="0" collapsed="false">
      <c r="A5" s="92" t="n">
        <v>1</v>
      </c>
      <c r="B5" s="93" t="n">
        <v>34897.1192361306</v>
      </c>
      <c r="C5" s="93" t="n">
        <v>33288.6188181907</v>
      </c>
      <c r="E5" s="0" t="s">
        <v>91</v>
      </c>
      <c r="F5" s="0" t="n">
        <v>1</v>
      </c>
      <c r="G5" s="94" t="n">
        <f aca="false">(F5/SUM($F$4:$F$22))*$F$23+F5</f>
        <v>1.10077519379845</v>
      </c>
      <c r="H5" s="0" t="s">
        <v>91</v>
      </c>
      <c r="I5" s="0" t="n">
        <v>5</v>
      </c>
      <c r="J5" s="94" t="n">
        <f aca="false">(I5/SUM($I$4:$I$23))*$I$24+I5</f>
        <v>6.0077519379845</v>
      </c>
      <c r="U5" s="96" t="s">
        <v>92</v>
      </c>
      <c r="V5" s="97" t="s">
        <v>93</v>
      </c>
      <c r="W5" s="97" t="s">
        <v>94</v>
      </c>
      <c r="X5" s="97" t="s">
        <v>95</v>
      </c>
      <c r="Y5" s="98" t="s">
        <v>96</v>
      </c>
      <c r="Z5" s="97" t="s">
        <v>97</v>
      </c>
      <c r="AA5" s="97" t="s">
        <v>98</v>
      </c>
      <c r="AB5" s="97" t="s">
        <v>99</v>
      </c>
      <c r="AC5" s="98" t="s">
        <v>100</v>
      </c>
      <c r="AD5" s="97" t="s">
        <v>101</v>
      </c>
      <c r="AE5" s="97" t="s">
        <v>102</v>
      </c>
      <c r="AF5" s="97" t="s">
        <v>103</v>
      </c>
      <c r="AG5" s="97" t="s">
        <v>104</v>
      </c>
    </row>
    <row r="6" customFormat="false" ht="13.8" hidden="false" customHeight="false" outlineLevel="0" collapsed="false">
      <c r="A6" s="92" t="n">
        <v>2</v>
      </c>
      <c r="B6" s="93" t="n">
        <v>34959.9965681256</v>
      </c>
      <c r="C6" s="93" t="n">
        <v>33288.4848818856</v>
      </c>
      <c r="E6" s="0" t="s">
        <v>105</v>
      </c>
      <c r="F6" s="0" t="n">
        <v>1</v>
      </c>
      <c r="G6" s="94" t="n">
        <f aca="false">(F6/SUM($F$4:$F$22))*$F$23+F6</f>
        <v>1.10077519379845</v>
      </c>
      <c r="H6" s="0" t="s">
        <v>106</v>
      </c>
      <c r="I6" s="0" t="n">
        <v>1</v>
      </c>
      <c r="J6" s="94" t="n">
        <f aca="false">(I6/SUM($I$4:$I$23))*$I$24+I6</f>
        <v>1.2015503875969</v>
      </c>
      <c r="U6" s="99" t="n">
        <v>1</v>
      </c>
      <c r="V6" s="100" t="n">
        <f aca="false">O21/M21</f>
        <v>0.0153729365710326</v>
      </c>
      <c r="W6" s="101" t="n">
        <f aca="false">(V6*U6)/(1+(U6-S21)*V6)</f>
        <v>0.0151607998841925</v>
      </c>
      <c r="X6" s="101" t="n">
        <f aca="false">1-W6</f>
        <v>0.984839200115808</v>
      </c>
      <c r="Y6" s="102" t="n">
        <v>100000</v>
      </c>
      <c r="Z6" s="102" t="n">
        <f aca="false">Y6*W6</f>
        <v>1516.07998841925</v>
      </c>
      <c r="AA6" s="103" t="n">
        <f aca="false">Y7*U6+Z6*S21</f>
        <v>98620.0639945408</v>
      </c>
      <c r="AB6" s="104" t="n">
        <f aca="false">AB7+AA6</f>
        <v>7038132.58059585</v>
      </c>
      <c r="AC6" s="105" t="n">
        <f aca="false">AB6/Y6</f>
        <v>70.3813258059585</v>
      </c>
      <c r="AD6" s="105" t="n">
        <f aca="false">Z6*(Q21/O21)</f>
        <v>6.77192006584777</v>
      </c>
      <c r="AE6" s="106" t="n">
        <v>0</v>
      </c>
      <c r="AF6" s="104" t="n">
        <f aca="false">AD6*($AC$6-AE6-S21)</f>
        <v>476.008594064426</v>
      </c>
      <c r="AG6" s="107" t="n">
        <f aca="false">AF6/Y6</f>
        <v>0.00476008594064426</v>
      </c>
    </row>
    <row r="7" customFormat="false" ht="13.8" hidden="false" customHeight="false" outlineLevel="0" collapsed="false">
      <c r="A7" s="92" t="n">
        <v>3</v>
      </c>
      <c r="B7" s="93" t="n">
        <v>34992.3900719581</v>
      </c>
      <c r="C7" s="93" t="n">
        <v>33256.2594197456</v>
      </c>
      <c r="E7" s="0" t="s">
        <v>26</v>
      </c>
      <c r="F7" s="0" t="n">
        <v>2</v>
      </c>
      <c r="G7" s="94" t="n">
        <f aca="false">(F7/SUM($F$4:$F$22))*$F$23+F7</f>
        <v>2.2015503875969</v>
      </c>
      <c r="H7" s="0" t="s">
        <v>105</v>
      </c>
      <c r="I7" s="0" t="n">
        <v>1</v>
      </c>
      <c r="J7" s="94" t="n">
        <f aca="false">(I7/SUM($I$4:$I$23))*$I$24+I7</f>
        <v>1.2015503875969</v>
      </c>
      <c r="U7" s="99" t="n">
        <v>4</v>
      </c>
      <c r="V7" s="100" t="n">
        <f aca="false">O22/M22</f>
        <v>0.000664263123086875</v>
      </c>
      <c r="W7" s="101" t="n">
        <f aca="false">(V7*U7)/(1+(U7-S22)*V7)</f>
        <v>0.00265265104699752</v>
      </c>
      <c r="X7" s="101" t="n">
        <f aca="false">1-W7</f>
        <v>0.997347348953002</v>
      </c>
      <c r="Y7" s="102" t="n">
        <f aca="false">Y6-Z6</f>
        <v>98483.9200115808</v>
      </c>
      <c r="Z7" s="102" t="n">
        <f aca="false">Y7*W7</f>
        <v>261.24347353114</v>
      </c>
      <c r="AA7" s="103" t="n">
        <f aca="false">Y8*U7+Z7*S22</f>
        <v>393283.11997379</v>
      </c>
      <c r="AB7" s="104" t="n">
        <f aca="false">AB8+AA7</f>
        <v>6939512.51660131</v>
      </c>
      <c r="AC7" s="105" t="n">
        <f aca="false">AB7/Y7</f>
        <v>70.4634067752917</v>
      </c>
      <c r="AD7" s="105" t="n">
        <f aca="false">Z7*(Q22/O22)</f>
        <v>23.7356889985133</v>
      </c>
      <c r="AE7" s="106" t="n">
        <v>1</v>
      </c>
      <c r="AF7" s="104" t="n">
        <f aca="false">AD7*($AC$6-AE7-S22)</f>
        <v>1611.16019319009</v>
      </c>
      <c r="AG7" s="107" t="n">
        <f aca="false">AF7/Y7</f>
        <v>0.0163596269624588</v>
      </c>
    </row>
    <row r="8" customFormat="false" ht="13.8" hidden="false" customHeight="false" outlineLevel="0" collapsed="false">
      <c r="A8" s="92" t="n">
        <v>4</v>
      </c>
      <c r="B8" s="93" t="n">
        <v>34512.2121209318</v>
      </c>
      <c r="C8" s="93" t="n">
        <v>32674.5531187593</v>
      </c>
      <c r="E8" s="0" t="s">
        <v>27</v>
      </c>
      <c r="F8" s="0" t="n">
        <v>5</v>
      </c>
      <c r="G8" s="94" t="n">
        <f aca="false">(F8/SUM($F$4:$F$22))*$F$23+F8</f>
        <v>5.50387596899225</v>
      </c>
      <c r="H8" s="0" t="s">
        <v>26</v>
      </c>
      <c r="I8" s="0" t="n">
        <v>3</v>
      </c>
      <c r="J8" s="94" t="n">
        <f aca="false">(I8/SUM($I$4:$I$23))*$I$24+I8</f>
        <v>3.6046511627907</v>
      </c>
      <c r="U8" s="99" t="n">
        <v>5</v>
      </c>
      <c r="V8" s="100" t="n">
        <f aca="false">O23/M23</f>
        <v>0.000266911012568395</v>
      </c>
      <c r="W8" s="101" t="n">
        <f aca="false">(V8*U8)/(1+(U8-S23)*V8)</f>
        <v>0.00133366513806091</v>
      </c>
      <c r="X8" s="101" t="n">
        <f aca="false">1-W8</f>
        <v>0.998666334861939</v>
      </c>
      <c r="Y8" s="102" t="n">
        <f aca="false">Y7-Z7</f>
        <v>98222.6765380496</v>
      </c>
      <c r="Z8" s="102" t="n">
        <f aca="false">Y8*W8</f>
        <v>130.99615946583</v>
      </c>
      <c r="AA8" s="103" t="n">
        <f aca="false">Y9*U8+Z8*S23</f>
        <v>490785.892291583</v>
      </c>
      <c r="AB8" s="104" t="n">
        <f aca="false">AB9+AA8</f>
        <v>6546229.39662752</v>
      </c>
      <c r="AC8" s="105" t="n">
        <f aca="false">AB8/Y8</f>
        <v>66.6468235987403</v>
      </c>
      <c r="AD8" s="105" t="n">
        <f aca="false">Z8*(Q23/O23)</f>
        <v>9.76748657081262</v>
      </c>
      <c r="AE8" s="106" t="n">
        <v>5</v>
      </c>
      <c r="AF8" s="104" t="n">
        <f aca="false">AD8*($AC$6-AE8-S23)</f>
        <v>614.192505364593</v>
      </c>
      <c r="AG8" s="107" t="n">
        <f aca="false">AF8/Y8</f>
        <v>0.00625306219513033</v>
      </c>
    </row>
    <row r="9" customFormat="false" ht="13.8" hidden="false" customHeight="false" outlineLevel="0" collapsed="false">
      <c r="A9" s="92" t="n">
        <v>5</v>
      </c>
      <c r="B9" s="93" t="n">
        <v>35385.2570386946</v>
      </c>
      <c r="C9" s="93" t="n">
        <v>33462.9037505252</v>
      </c>
      <c r="E9" s="0" t="s">
        <v>28</v>
      </c>
      <c r="F9" s="0" t="n">
        <v>8</v>
      </c>
      <c r="G9" s="94" t="n">
        <f aca="false">(F9/SUM($F$4:$F$22))*$F$23+F9</f>
        <v>8.8062015503876</v>
      </c>
      <c r="H9" s="0" t="s">
        <v>27</v>
      </c>
      <c r="I9" s="0" t="n">
        <v>9</v>
      </c>
      <c r="J9" s="94" t="n">
        <f aca="false">(I9/SUM($I$4:$I$23))*$I$24+I9</f>
        <v>10.8139534883721</v>
      </c>
      <c r="U9" s="99" t="n">
        <v>5</v>
      </c>
      <c r="V9" s="100" t="n">
        <f aca="false">O24/M24</f>
        <v>0.000348068935355978</v>
      </c>
      <c r="W9" s="101" t="n">
        <f aca="false">(V9*U9)/(1+(U9-S24)*V9)</f>
        <v>0.001738831593626</v>
      </c>
      <c r="X9" s="101" t="n">
        <f aca="false">1-W9</f>
        <v>0.998261168406374</v>
      </c>
      <c r="Y9" s="102" t="n">
        <f aca="false">Y8-Z8</f>
        <v>98091.6803785838</v>
      </c>
      <c r="Z9" s="102" t="n">
        <f aca="false">Y9*W9</f>
        <v>170.564912914145</v>
      </c>
      <c r="AA9" s="103" t="n">
        <f aca="false">Y10*U9+Z9*S24</f>
        <v>490031.989610634</v>
      </c>
      <c r="AB9" s="104" t="n">
        <f aca="false">AB10+AA9</f>
        <v>6055443.50433593</v>
      </c>
      <c r="AC9" s="105" t="n">
        <f aca="false">AB9/Y9</f>
        <v>61.7324882290222</v>
      </c>
      <c r="AD9" s="105" t="n">
        <f aca="false">Z9*(Q24/O24)</f>
        <v>29.8869652542902</v>
      </c>
      <c r="AE9" s="106" t="n">
        <f aca="false">+AE8+5</f>
        <v>10</v>
      </c>
      <c r="AF9" s="104" t="n">
        <f aca="false">AD9*($AC$6-AE9-S24)</f>
        <v>1729.89717323493</v>
      </c>
      <c r="AG9" s="107" t="n">
        <f aca="false">AF9/Y9</f>
        <v>0.0176355137006361</v>
      </c>
    </row>
    <row r="10" customFormat="false" ht="13.8" hidden="false" customHeight="false" outlineLevel="0" collapsed="false">
      <c r="A10" s="92" t="n">
        <v>6</v>
      </c>
      <c r="B10" s="93" t="n">
        <v>36514.2348408356</v>
      </c>
      <c r="C10" s="93" t="n">
        <v>34610.6750018274</v>
      </c>
      <c r="E10" s="0" t="s">
        <v>29</v>
      </c>
      <c r="F10" s="0" t="n">
        <v>18</v>
      </c>
      <c r="G10" s="94" t="n">
        <f aca="false">(F10/SUM($F$4:$F$22))*$F$23+F10</f>
        <v>19.8139534883721</v>
      </c>
      <c r="H10" s="0" t="s">
        <v>28</v>
      </c>
      <c r="I10" s="0" t="n">
        <v>113</v>
      </c>
      <c r="J10" s="94" t="n">
        <f aca="false">(I10/SUM($I$4:$I$23))*$I$24+I10</f>
        <v>135.77519379845</v>
      </c>
      <c r="U10" s="99" t="n">
        <v>5</v>
      </c>
      <c r="V10" s="100" t="n">
        <f aca="false">O25/M25</f>
        <v>0.00180617621827193</v>
      </c>
      <c r="W10" s="101" t="n">
        <f aca="false">(V10*U10)/(1+(U10-S25)*V10)</f>
        <v>0.00899028598948545</v>
      </c>
      <c r="X10" s="101" t="n">
        <f aca="false">1-W10</f>
        <v>0.991009714010514</v>
      </c>
      <c r="Y10" s="102" t="n">
        <f aca="false">Y9-Z9</f>
        <v>97921.1154656696</v>
      </c>
      <c r="Z10" s="102" t="n">
        <f aca="false">Y10*W10</f>
        <v>880.338832445797</v>
      </c>
      <c r="AA10" s="103" t="n">
        <f aca="false">Y11*U10+Z10*S25</f>
        <v>487404.730247234</v>
      </c>
      <c r="AB10" s="104" t="n">
        <f aca="false">AB11+AA10</f>
        <v>5565411.5147253</v>
      </c>
      <c r="AC10" s="105" t="n">
        <f aca="false">AB10/Y10</f>
        <v>56.8356629543961</v>
      </c>
      <c r="AD10" s="105" t="n">
        <f aca="false">Z10*(Q25/O25)</f>
        <v>392.588392233101</v>
      </c>
      <c r="AE10" s="106" t="n">
        <f aca="false">+AE9+5</f>
        <v>15</v>
      </c>
      <c r="AF10" s="104" t="n">
        <f aca="false">AD10*($AC$6-AE10-S25)</f>
        <v>20760.594677316</v>
      </c>
      <c r="AG10" s="107" t="n">
        <f aca="false">AF10/Y10</f>
        <v>0.212013461842094</v>
      </c>
    </row>
    <row r="11" customFormat="false" ht="13.8" hidden="false" customHeight="false" outlineLevel="0" collapsed="false">
      <c r="A11" s="92" t="n">
        <v>7</v>
      </c>
      <c r="B11" s="93" t="n">
        <v>36376.9236798453</v>
      </c>
      <c r="C11" s="93" t="n">
        <v>34549.2616082694</v>
      </c>
      <c r="E11" s="0" t="s">
        <v>30</v>
      </c>
      <c r="F11" s="0" t="n">
        <v>24</v>
      </c>
      <c r="G11" s="94" t="n">
        <f aca="false">(F11/SUM($F$4:$F$22))*$F$23+F11</f>
        <v>26.4186046511628</v>
      </c>
      <c r="H11" s="0" t="s">
        <v>29</v>
      </c>
      <c r="I11" s="0" t="n">
        <v>177</v>
      </c>
      <c r="J11" s="94" t="n">
        <f aca="false">(I11/SUM($I$4:$I$23))*$I$24+I11</f>
        <v>212.674418604651</v>
      </c>
      <c r="U11" s="99" t="n">
        <v>5</v>
      </c>
      <c r="V11" s="100" t="n">
        <f aca="false">O26/M26</f>
        <v>0.00286411976869931</v>
      </c>
      <c r="W11" s="101" t="n">
        <f aca="false">(V11*U11)/(1+(U11-S26)*V11)</f>
        <v>0.0142187880635472</v>
      </c>
      <c r="X11" s="101" t="n">
        <f aca="false">1-W11</f>
        <v>0.985781211936453</v>
      </c>
      <c r="Y11" s="102" t="n">
        <f aca="false">Y10-Z10</f>
        <v>97040.7766332239</v>
      </c>
      <c r="Z11" s="102" t="n">
        <f aca="false">Y11*W11</f>
        <v>1379.80223646983</v>
      </c>
      <c r="AA11" s="103" t="n">
        <f aca="false">Y12*U11+Z11*S26</f>
        <v>481754.377574945</v>
      </c>
      <c r="AB11" s="104" t="n">
        <f aca="false">AB12+AA11</f>
        <v>5078006.78447807</v>
      </c>
      <c r="AC11" s="105" t="n">
        <f aca="false">AB11/Y11</f>
        <v>52.3285876376582</v>
      </c>
      <c r="AD11" s="105" t="n">
        <f aca="false">Z11*(Q26/O26)</f>
        <v>658.875072976009</v>
      </c>
      <c r="AE11" s="106" t="n">
        <f aca="false">+AE10+5</f>
        <v>20</v>
      </c>
      <c r="AF11" s="104" t="n">
        <f aca="false">AD11*($AC$6-AE11-S26)</f>
        <v>31547.8120345889</v>
      </c>
      <c r="AG11" s="107" t="n">
        <f aca="false">AF11/Y11</f>
        <v>0.325098511462118</v>
      </c>
    </row>
    <row r="12" customFormat="false" ht="13.8" hidden="false" customHeight="false" outlineLevel="0" collapsed="false">
      <c r="A12" s="92" t="n">
        <v>8</v>
      </c>
      <c r="B12" s="93" t="n">
        <v>36477.3058606026</v>
      </c>
      <c r="C12" s="93" t="n">
        <v>34714.7851669326</v>
      </c>
      <c r="E12" s="0" t="s">
        <v>31</v>
      </c>
      <c r="F12" s="0" t="n">
        <v>17</v>
      </c>
      <c r="G12" s="94" t="n">
        <f aca="false">(F12/SUM($F$4:$F$22))*$F$23+F12</f>
        <v>18.7131782945736</v>
      </c>
      <c r="H12" s="0" t="s">
        <v>30</v>
      </c>
      <c r="I12" s="0" t="n">
        <v>189</v>
      </c>
      <c r="J12" s="94" t="n">
        <f aca="false">(I12/SUM($I$4:$I$23))*$I$24+I12</f>
        <v>227.093023255814</v>
      </c>
      <c r="U12" s="99" t="n">
        <v>5</v>
      </c>
      <c r="V12" s="100" t="n">
        <f aca="false">O27/M27</f>
        <v>0.00321260648447406</v>
      </c>
      <c r="W12" s="101" t="n">
        <f aca="false">(V12*U12)/(1+(U12-S27)*V12)</f>
        <v>0.0159350498114833</v>
      </c>
      <c r="X12" s="101" t="n">
        <f aca="false">1-W12</f>
        <v>0.984064950188517</v>
      </c>
      <c r="Y12" s="102" t="n">
        <f aca="false">Y11-Z11</f>
        <v>95660.974396754</v>
      </c>
      <c r="Z12" s="102" t="n">
        <f aca="false">Y12*W12</f>
        <v>1524.36239202731</v>
      </c>
      <c r="AA12" s="103" t="n">
        <f aca="false">Y13*U12+Z12*S27</f>
        <v>474493.966003702</v>
      </c>
      <c r="AB12" s="104" t="n">
        <f aca="false">AB13+AA12</f>
        <v>4596252.40690312</v>
      </c>
      <c r="AC12" s="105" t="n">
        <f aca="false">AB12/Y12</f>
        <v>48.0473091131202</v>
      </c>
      <c r="AD12" s="105" t="n">
        <f aca="false">Z12*(Q27/O27)</f>
        <v>773.680472697001</v>
      </c>
      <c r="AE12" s="106" t="n">
        <f aca="false">+AE11+5</f>
        <v>25</v>
      </c>
      <c r="AF12" s="104" t="n">
        <f aca="false">AD12*($AC$6-AE12-S27)</f>
        <v>33176.444419428</v>
      </c>
      <c r="AG12" s="107" t="n">
        <f aca="false">AF12/Y12</f>
        <v>0.346812737677422</v>
      </c>
    </row>
    <row r="13" customFormat="false" ht="13.8" hidden="false" customHeight="false" outlineLevel="0" collapsed="false">
      <c r="A13" s="92" t="n">
        <v>9</v>
      </c>
      <c r="B13" s="93" t="n">
        <v>36368.8145061647</v>
      </c>
      <c r="C13" s="93" t="n">
        <v>34659.7356695652</v>
      </c>
      <c r="E13" s="0" t="s">
        <v>32</v>
      </c>
      <c r="F13" s="0" t="n">
        <v>13</v>
      </c>
      <c r="G13" s="94" t="n">
        <f aca="false">(F13/SUM($F$4:$F$22))*$F$23+F13</f>
        <v>14.3100775193798</v>
      </c>
      <c r="H13" s="0" t="s">
        <v>31</v>
      </c>
      <c r="I13" s="0" t="n">
        <v>144</v>
      </c>
      <c r="J13" s="94" t="n">
        <f aca="false">(I13/SUM($I$4:$I$23))*$I$24+I13</f>
        <v>173.023255813953</v>
      </c>
      <c r="U13" s="99" t="n">
        <v>5</v>
      </c>
      <c r="V13" s="100" t="n">
        <f aca="false">O28/M28</f>
        <v>0.00345802510894748</v>
      </c>
      <c r="W13" s="101" t="n">
        <f aca="false">(V13*U13)/(1+(U13-S28)*V13)</f>
        <v>0.0171419324625589</v>
      </c>
      <c r="X13" s="101" t="n">
        <f aca="false">1-W13</f>
        <v>0.982858067537441</v>
      </c>
      <c r="Y13" s="102" t="n">
        <f aca="false">Y12-Z12</f>
        <v>94136.6120047267</v>
      </c>
      <c r="Z13" s="102" t="n">
        <f aca="false">Y13*W13</f>
        <v>1613.68344523913</v>
      </c>
      <c r="AA13" s="103" t="n">
        <f aca="false">Y14*U13+Z13*S28</f>
        <v>466648.851410536</v>
      </c>
      <c r="AB13" s="104" t="n">
        <f aca="false">AB14+AA13</f>
        <v>4121758.44089942</v>
      </c>
      <c r="AC13" s="105" t="n">
        <f aca="false">AB13/Y13</f>
        <v>43.7848606734695</v>
      </c>
      <c r="AD13" s="105" t="n">
        <f aca="false">Z13*(Q28/O28)</f>
        <v>615.521332308404</v>
      </c>
      <c r="AE13" s="106" t="n">
        <f aca="false">+AE12+5</f>
        <v>30</v>
      </c>
      <c r="AF13" s="104" t="n">
        <f aca="false">AD13*($AC$6-AE13-S28)</f>
        <v>23316.7641296923</v>
      </c>
      <c r="AG13" s="107" t="n">
        <f aca="false">AF13/Y13</f>
        <v>0.247690708568538</v>
      </c>
    </row>
    <row r="14" customFormat="false" ht="13.8" hidden="false" customHeight="false" outlineLevel="0" collapsed="false">
      <c r="A14" s="92" t="n">
        <v>10</v>
      </c>
      <c r="B14" s="93" t="n">
        <v>36076.661916432</v>
      </c>
      <c r="C14" s="93" t="n">
        <v>34432.3560668234</v>
      </c>
      <c r="E14" s="0" t="s">
        <v>33</v>
      </c>
      <c r="F14" s="0" t="n">
        <v>17</v>
      </c>
      <c r="G14" s="94" t="n">
        <f aca="false">(F14/SUM($F$4:$F$22))*$F$23+F14</f>
        <v>18.7131782945736</v>
      </c>
      <c r="H14" s="0" t="s">
        <v>32</v>
      </c>
      <c r="I14" s="0" t="n">
        <v>154</v>
      </c>
      <c r="J14" s="94" t="n">
        <f aca="false">(I14/SUM($I$4:$I$23))*$I$24+I14</f>
        <v>185.038759689922</v>
      </c>
      <c r="U14" s="99" t="n">
        <v>5</v>
      </c>
      <c r="V14" s="100" t="n">
        <f aca="false">O29/M29</f>
        <v>0.00398115401464436</v>
      </c>
      <c r="W14" s="101" t="n">
        <f aca="false">(V14*U14)/(1+(U14-S29)*V14)</f>
        <v>0.0197096026637918</v>
      </c>
      <c r="X14" s="101" t="n">
        <f aca="false">1-W14</f>
        <v>0.980290397336208</v>
      </c>
      <c r="Y14" s="102" t="n">
        <f aca="false">Y13-Z13</f>
        <v>92522.9285594876</v>
      </c>
      <c r="Z14" s="102" t="n">
        <f aca="false">Y14*W14</f>
        <v>1823.5901591979</v>
      </c>
      <c r="AA14" s="103" t="n">
        <f aca="false">Y15*U14+Z14*S29</f>
        <v>458055.667399443</v>
      </c>
      <c r="AB14" s="104" t="n">
        <f aca="false">AB15+AA14</f>
        <v>3655109.58948888</v>
      </c>
      <c r="AC14" s="105" t="n">
        <f aca="false">AB14/Y14</f>
        <v>39.5049059340878</v>
      </c>
      <c r="AD14" s="105" t="n">
        <f aca="false">Z14*(Q29/O29)</f>
        <v>653.499269393262</v>
      </c>
      <c r="AE14" s="106" t="n">
        <f aca="false">+AE13+5</f>
        <v>35</v>
      </c>
      <c r="AF14" s="104" t="n">
        <f aca="false">AD14*($AC$6-AE14-S29)</f>
        <v>21487.9223908757</v>
      </c>
      <c r="AG14" s="107" t="n">
        <f aca="false">AF14/Y14</f>
        <v>0.232244295824035</v>
      </c>
    </row>
    <row r="15" customFormat="false" ht="13.8" hidden="false" customHeight="false" outlineLevel="0" collapsed="false">
      <c r="A15" s="92" t="n">
        <v>11</v>
      </c>
      <c r="B15" s="93" t="n">
        <v>35777.9591334307</v>
      </c>
      <c r="C15" s="93" t="n">
        <v>34211.6058281726</v>
      </c>
      <c r="E15" s="0" t="s">
        <v>34</v>
      </c>
      <c r="F15" s="0" t="n">
        <v>5</v>
      </c>
      <c r="G15" s="94" t="n">
        <f aca="false">(F15/SUM($F$4:$F$22))*$F$23+F15</f>
        <v>5.50387596899225</v>
      </c>
      <c r="H15" s="0" t="s">
        <v>33</v>
      </c>
      <c r="I15" s="0" t="n">
        <v>135</v>
      </c>
      <c r="J15" s="94" t="n">
        <f aca="false">(I15/SUM($I$4:$I$23))*$I$24+I15</f>
        <v>162.209302325581</v>
      </c>
      <c r="U15" s="99" t="n">
        <v>5</v>
      </c>
      <c r="V15" s="100" t="n">
        <f aca="false">O30/M30</f>
        <v>0.00505043323293659</v>
      </c>
      <c r="W15" s="101" t="n">
        <f aca="false">(V15*U15)/(1+(U15-S30)*V15)</f>
        <v>0.0249373056714258</v>
      </c>
      <c r="X15" s="101" t="n">
        <f aca="false">1-W15</f>
        <v>0.975062694328574</v>
      </c>
      <c r="Y15" s="102" t="n">
        <f aca="false">Y14-Z14</f>
        <v>90699.3384002897</v>
      </c>
      <c r="Z15" s="102" t="n">
        <f aca="false">Y15*W15</f>
        <v>2261.79712588411</v>
      </c>
      <c r="AA15" s="103" t="n">
        <f aca="false">Y16*U15+Z15*S30</f>
        <v>447842.199186738</v>
      </c>
      <c r="AB15" s="104" t="n">
        <f aca="false">AB16+AA15</f>
        <v>3197053.92208944</v>
      </c>
      <c r="AC15" s="105" t="n">
        <f aca="false">AB15/Y15</f>
        <v>35.248922191468</v>
      </c>
      <c r="AD15" s="105" t="n">
        <f aca="false">Z15*(Q30/O30)</f>
        <v>578.100193979769</v>
      </c>
      <c r="AE15" s="106" t="n">
        <f aca="false">+AE14+5</f>
        <v>40</v>
      </c>
      <c r="AF15" s="104" t="n">
        <f aca="false">AD15*($AC$6-AE15-S30)</f>
        <v>16118.1998568377</v>
      </c>
      <c r="AG15" s="107" t="n">
        <f aca="false">AF15/Y15</f>
        <v>0.177710225246651</v>
      </c>
    </row>
    <row r="16" customFormat="false" ht="13.8" hidden="false" customHeight="false" outlineLevel="0" collapsed="false">
      <c r="A16" s="92" t="n">
        <v>12</v>
      </c>
      <c r="B16" s="93" t="n">
        <v>35474.960817215</v>
      </c>
      <c r="C16" s="93" t="n">
        <v>34000.0265287692</v>
      </c>
      <c r="E16" s="0" t="s">
        <v>35</v>
      </c>
      <c r="F16" s="0" t="n">
        <v>3</v>
      </c>
      <c r="G16" s="94" t="n">
        <f aca="false">(F16/SUM($F$4:$F$22))*$F$23+F16</f>
        <v>3.30232558139535</v>
      </c>
      <c r="H16" s="0" t="s">
        <v>34</v>
      </c>
      <c r="I16" s="0" t="n">
        <v>85</v>
      </c>
      <c r="J16" s="94" t="n">
        <f aca="false">(I16/SUM($I$4:$I$23))*$I$24+I16</f>
        <v>102.131782945736</v>
      </c>
      <c r="U16" s="99" t="n">
        <v>5</v>
      </c>
      <c r="V16" s="100" t="n">
        <f aca="false">O31/M31</f>
        <v>0.00635574787370311</v>
      </c>
      <c r="W16" s="101" t="n">
        <f aca="false">(V16*U16)/(1+(U16-S31)*V16)</f>
        <v>0.0312816929843379</v>
      </c>
      <c r="X16" s="101" t="n">
        <f aca="false">1-W16</f>
        <v>0.968718307015662</v>
      </c>
      <c r="Y16" s="102" t="n">
        <f aca="false">Y15-Z15</f>
        <v>88437.5412744056</v>
      </c>
      <c r="Z16" s="102" t="n">
        <f aca="false">Y16*W16</f>
        <v>2766.47601443567</v>
      </c>
      <c r="AA16" s="103" t="n">
        <f aca="false">Y17*U16+Z16*S31</f>
        <v>435271.516335939</v>
      </c>
      <c r="AB16" s="104" t="n">
        <f aca="false">AB17+AA16</f>
        <v>2749211.7229027</v>
      </c>
      <c r="AC16" s="105" t="n">
        <f aca="false">AB16/Y16</f>
        <v>31.0864784715396</v>
      </c>
      <c r="AD16" s="105" t="n">
        <f aca="false">Z16*(Q31/O31)</f>
        <v>391.299763628246</v>
      </c>
      <c r="AE16" s="106" t="n">
        <f aca="false">+AE15+5</f>
        <v>45</v>
      </c>
      <c r="AF16" s="104" t="n">
        <f aca="false">AD16*($AC$6-AE16-S31)</f>
        <v>8953.45737937243</v>
      </c>
      <c r="AG16" s="107" t="n">
        <f aca="false">AF16/Y16</f>
        <v>0.101240460220298</v>
      </c>
    </row>
    <row r="17" customFormat="false" ht="13.8" hidden="false" customHeight="false" outlineLevel="0" collapsed="false">
      <c r="A17" s="92" t="n">
        <v>13</v>
      </c>
      <c r="B17" s="93" t="n">
        <v>35147.5693114455</v>
      </c>
      <c r="C17" s="93" t="n">
        <v>33757.7985407859</v>
      </c>
      <c r="E17" s="0" t="s">
        <v>36</v>
      </c>
      <c r="F17" s="0" t="n">
        <v>6</v>
      </c>
      <c r="G17" s="94" t="n">
        <f aca="false">(F17/SUM($F$4:$F$22))*$F$23+F17</f>
        <v>6.6046511627907</v>
      </c>
      <c r="H17" s="0" t="s">
        <v>35</v>
      </c>
      <c r="I17" s="0" t="n">
        <v>51</v>
      </c>
      <c r="J17" s="94" t="n">
        <f aca="false">(I17/SUM($I$4:$I$23))*$I$24+I17</f>
        <v>61.2790697674419</v>
      </c>
      <c r="U17" s="99" t="n">
        <v>5</v>
      </c>
      <c r="V17" s="100" t="n">
        <f aca="false">O32/M32</f>
        <v>0.0088460745008712</v>
      </c>
      <c r="W17" s="101" t="n">
        <f aca="false">(V17*U17)/(1+(U17-S32)*V17)</f>
        <v>0.0432733737833765</v>
      </c>
      <c r="X17" s="101" t="n">
        <f aca="false">1-W17</f>
        <v>0.956726626216624</v>
      </c>
      <c r="Y17" s="102" t="n">
        <f aca="false">Y16-Z16</f>
        <v>85671.0652599699</v>
      </c>
      <c r="Z17" s="102" t="n">
        <f aca="false">Y17*W17</f>
        <v>3707.27602941472</v>
      </c>
      <c r="AA17" s="103" t="n">
        <f aca="false">Y18*U17+Z17*S32</f>
        <v>419087.136226313</v>
      </c>
      <c r="AB17" s="104" t="n">
        <f aca="false">AB18+AA17</f>
        <v>2313940.20656676</v>
      </c>
      <c r="AC17" s="105" t="n">
        <f aca="false">AB17/Y17</f>
        <v>27.0095883545405</v>
      </c>
      <c r="AD17" s="105" t="n">
        <f aca="false">Z17*(Q32/O32)</f>
        <v>276.426186685643</v>
      </c>
      <c r="AE17" s="106" t="n">
        <f aca="false">+AE16+5</f>
        <v>50</v>
      </c>
      <c r="AF17" s="104" t="n">
        <f aca="false">AD17*($AC$6-AE17-S32)</f>
        <v>4942.86670542467</v>
      </c>
      <c r="AG17" s="107" t="n">
        <f aca="false">AF17/Y17</f>
        <v>0.0576958707169741</v>
      </c>
    </row>
    <row r="18" customFormat="false" ht="13.8" hidden="false" customHeight="false" outlineLevel="0" collapsed="false">
      <c r="A18" s="92" t="n">
        <v>14</v>
      </c>
      <c r="B18" s="93" t="n">
        <v>34830.3505492793</v>
      </c>
      <c r="C18" s="93" t="n">
        <v>33546.9471033813</v>
      </c>
      <c r="E18" s="0" t="s">
        <v>37</v>
      </c>
      <c r="F18" s="0" t="n">
        <v>2</v>
      </c>
      <c r="G18" s="94" t="n">
        <f aca="false">(F18/SUM($F$4:$F$22))*$F$23+F18</f>
        <v>2.2015503875969</v>
      </c>
      <c r="H18" s="0" t="s">
        <v>36</v>
      </c>
      <c r="I18" s="0" t="n">
        <v>32</v>
      </c>
      <c r="J18" s="94" t="n">
        <f aca="false">(I18/SUM($I$4:$I$23))*$I$24+I18</f>
        <v>38.4496124031008</v>
      </c>
      <c r="U18" s="99" t="n">
        <v>5</v>
      </c>
      <c r="V18" s="100" t="n">
        <f aca="false">O33/M33</f>
        <v>0.012523233615692</v>
      </c>
      <c r="W18" s="101" t="n">
        <f aca="false">(V18*U18)/(1+(U18-S33)*V18)</f>
        <v>0.0607152887168469</v>
      </c>
      <c r="X18" s="101" t="n">
        <f aca="false">1-W18</f>
        <v>0.939284711283153</v>
      </c>
      <c r="Y18" s="102" t="n">
        <f aca="false">Y17-Z17</f>
        <v>81963.7892305552</v>
      </c>
      <c r="Z18" s="102" t="n">
        <f aca="false">Y18*W18</f>
        <v>4976.45512745994</v>
      </c>
      <c r="AA18" s="103" t="n">
        <f aca="false">Y19*U18+Z18*S33</f>
        <v>397377.808334126</v>
      </c>
      <c r="AB18" s="104" t="n">
        <f aca="false">AB19+AA18</f>
        <v>1894853.07034045</v>
      </c>
      <c r="AC18" s="105" t="n">
        <f aca="false">AB18/Y18</f>
        <v>23.1181731363155</v>
      </c>
      <c r="AD18" s="105" t="n">
        <f aca="false">Z18*(Q33/O33)</f>
        <v>212.114979879704</v>
      </c>
      <c r="AE18" s="106" t="n">
        <f aca="false">+AE17+5</f>
        <v>55</v>
      </c>
      <c r="AF18" s="104" t="n">
        <f aca="false">AD18*($AC$6-AE18-S33)</f>
        <v>2732.32216415479</v>
      </c>
      <c r="AG18" s="107" t="n">
        <f aca="false">AF18/Y18</f>
        <v>0.0333357228820775</v>
      </c>
    </row>
    <row r="19" customFormat="false" ht="21.95" hidden="false" customHeight="true" outlineLevel="0" collapsed="false">
      <c r="A19" s="92" t="n">
        <v>15</v>
      </c>
      <c r="B19" s="93" t="n">
        <v>34500.1101660167</v>
      </c>
      <c r="C19" s="93" t="n">
        <v>33416.4744547482</v>
      </c>
      <c r="E19" s="0" t="s">
        <v>38</v>
      </c>
      <c r="F19" s="0" t="n">
        <v>3</v>
      </c>
      <c r="G19" s="94" t="n">
        <f aca="false">(F19/SUM($F$4:$F$22))*$F$23+F19</f>
        <v>3.30232558139535</v>
      </c>
      <c r="H19" s="0" t="s">
        <v>37</v>
      </c>
      <c r="I19" s="0" t="n">
        <v>23</v>
      </c>
      <c r="J19" s="94" t="n">
        <f aca="false">(I19/SUM($I$4:$I$23))*$I$24+I19</f>
        <v>27.6356589147287</v>
      </c>
      <c r="L19" s="108"/>
      <c r="M19" s="109" t="s">
        <v>51</v>
      </c>
      <c r="N19" s="109"/>
      <c r="O19" s="109" t="s">
        <v>107</v>
      </c>
      <c r="P19" s="109"/>
      <c r="Q19" s="110" t="s">
        <v>108</v>
      </c>
      <c r="R19" s="110"/>
      <c r="S19" s="111"/>
      <c r="U19" s="99" t="n">
        <v>5</v>
      </c>
      <c r="V19" s="100" t="n">
        <f aca="false">O34/M34</f>
        <v>0.0176768607345412</v>
      </c>
      <c r="W19" s="101" t="n">
        <f aca="false">(V19*U19)/(1+(U19-S34)*V19)</f>
        <v>0.0846437157349537</v>
      </c>
      <c r="X19" s="101" t="n">
        <f aca="false">1-W19</f>
        <v>0.915356284265046</v>
      </c>
      <c r="Y19" s="102" t="n">
        <f aca="false">Y18-Z18</f>
        <v>76987.3341030953</v>
      </c>
      <c r="Z19" s="102" t="n">
        <f aca="false">Y19*W19</f>
        <v>6516.4940230143</v>
      </c>
      <c r="AA19" s="103" t="n">
        <f aca="false">Y20*U19+Z19*S34</f>
        <v>368645.435457941</v>
      </c>
      <c r="AB19" s="104" t="n">
        <f aca="false">AB20+AA19</f>
        <v>1497475.26200632</v>
      </c>
      <c r="AC19" s="105" t="n">
        <f aca="false">AB19/Y19</f>
        <v>19.4509302010773</v>
      </c>
      <c r="AD19" s="105" t="n">
        <f aca="false">Z19*(Q34/O34)</f>
        <v>189.68849857861</v>
      </c>
      <c r="AE19" s="106" t="n">
        <f aca="false">+AE18+5</f>
        <v>60</v>
      </c>
      <c r="AF19" s="104" t="n">
        <f aca="false">AD19*($AC$6-AE19-S34)</f>
        <v>1494.99685894112</v>
      </c>
      <c r="AG19" s="107" t="n">
        <f aca="false">AF19/Y19</f>
        <v>0.0194187378528933</v>
      </c>
    </row>
    <row r="20" customFormat="false" ht="13.8" hidden="false" customHeight="false" outlineLevel="0" collapsed="false">
      <c r="A20" s="92" t="n">
        <v>16</v>
      </c>
      <c r="B20" s="93" t="n">
        <v>34121.9606260012</v>
      </c>
      <c r="C20" s="93" t="n">
        <v>33286.8356751417</v>
      </c>
      <c r="E20" s="0" t="s">
        <v>109</v>
      </c>
      <c r="F20" s="0" t="n">
        <v>1</v>
      </c>
      <c r="G20" s="94" t="n">
        <f aca="false">(F20/SUM($F$4:$F$22))*$F$23+F20</f>
        <v>1.10077519379845</v>
      </c>
      <c r="H20" s="0" t="s">
        <v>38</v>
      </c>
      <c r="I20" s="0" t="n">
        <v>14</v>
      </c>
      <c r="J20" s="94" t="n">
        <f aca="false">(I20/SUM($I$4:$I$23))*$I$24+I20</f>
        <v>16.8217054263566</v>
      </c>
      <c r="L20" s="108" t="s">
        <v>24</v>
      </c>
      <c r="M20" s="108" t="s">
        <v>2</v>
      </c>
      <c r="N20" s="108" t="s">
        <v>3</v>
      </c>
      <c r="O20" s="108" t="s">
        <v>2</v>
      </c>
      <c r="P20" s="108" t="s">
        <v>3</v>
      </c>
      <c r="Q20" s="108" t="s">
        <v>2</v>
      </c>
      <c r="R20" s="108" t="s">
        <v>3</v>
      </c>
      <c r="S20" s="108" t="s">
        <v>110</v>
      </c>
      <c r="U20" s="99" t="n">
        <v>5</v>
      </c>
      <c r="V20" s="100" t="n">
        <f aca="false">O35/M35</f>
        <v>0.027677586261861</v>
      </c>
      <c r="W20" s="101" t="n">
        <f aca="false">(V20*U20)/(1+(U20-S35)*V20)</f>
        <v>0.129432016785254</v>
      </c>
      <c r="X20" s="101" t="n">
        <f aca="false">1-W20</f>
        <v>0.870567983214746</v>
      </c>
      <c r="Y20" s="102" t="n">
        <f aca="false">Y19-Z19</f>
        <v>70470.840080081</v>
      </c>
      <c r="Z20" s="102" t="n">
        <f aca="false">Y20*W20</f>
        <v>9121.18295611599</v>
      </c>
      <c r="AA20" s="103" t="n">
        <f aca="false">Y21*U20+Z20*S35</f>
        <v>329551.243010115</v>
      </c>
      <c r="AB20" s="104" t="n">
        <f aca="false">AB21+AA20</f>
        <v>1128829.82654838</v>
      </c>
      <c r="AC20" s="105" t="n">
        <f aca="false">AB20/Y20</f>
        <v>16.0183960524043</v>
      </c>
      <c r="AD20" s="105" t="n">
        <f aca="false">Z20*(Q35/O35)</f>
        <v>139.671826605204</v>
      </c>
      <c r="AE20" s="106" t="n">
        <f aca="false">+AE19+5</f>
        <v>65</v>
      </c>
      <c r="AF20" s="104" t="n">
        <f aca="false">AD20*($AC$6-AE20-S35)</f>
        <v>402.440038362932</v>
      </c>
      <c r="AG20" s="107" t="n">
        <f aca="false">AF20/Y20</f>
        <v>0.00571073138770037</v>
      </c>
    </row>
    <row r="21" customFormat="false" ht="13.8" hidden="false" customHeight="false" outlineLevel="0" collapsed="false">
      <c r="A21" s="92" t="n">
        <v>17</v>
      </c>
      <c r="B21" s="93" t="n">
        <v>33727.9744655075</v>
      </c>
      <c r="C21" s="93" t="n">
        <v>33139.2153389478</v>
      </c>
      <c r="E21" s="0" t="s">
        <v>111</v>
      </c>
      <c r="F21" s="0" t="n">
        <v>1</v>
      </c>
      <c r="G21" s="94" t="n">
        <f aca="false">(F21/SUM($F$4:$F$22))*$F$23+F21</f>
        <v>1.10077519379845</v>
      </c>
      <c r="H21" s="0" t="s">
        <v>39</v>
      </c>
      <c r="I21" s="0" t="n">
        <v>11</v>
      </c>
      <c r="J21" s="94" t="n">
        <f aca="false">(I21/SUM($I$4:$I$23))*$I$24+I21</f>
        <v>13.2170542635659</v>
      </c>
      <c r="L21" s="112" t="n">
        <v>0</v>
      </c>
      <c r="M21" s="113" t="n">
        <f aca="false">B4</f>
        <v>34996.5666946002</v>
      </c>
      <c r="N21" s="113" t="n">
        <f aca="false">C4</f>
        <v>33406.9435071736</v>
      </c>
      <c r="O21" s="113" t="n">
        <v>538</v>
      </c>
      <c r="P21" s="113" t="n">
        <v>408</v>
      </c>
      <c r="Q21" s="114" t="n">
        <f aca="false">J4</f>
        <v>2.4031007751938</v>
      </c>
      <c r="R21" s="115" t="n">
        <v>1</v>
      </c>
      <c r="S21" s="116" t="n">
        <v>0.0898</v>
      </c>
      <c r="U21" s="99" t="n">
        <v>5</v>
      </c>
      <c r="V21" s="100" t="n">
        <f aca="false">O36/M36</f>
        <v>0.0408107844669294</v>
      </c>
      <c r="W21" s="101" t="n">
        <f aca="false">(V21*U21)/(1+(U21-S36)*V21)</f>
        <v>0.185162368549044</v>
      </c>
      <c r="X21" s="101" t="n">
        <f aca="false">1-W21</f>
        <v>0.814837631450956</v>
      </c>
      <c r="Y21" s="102" t="n">
        <f aca="false">Y20-Z20</f>
        <v>61349.657123965</v>
      </c>
      <c r="Z21" s="102" t="n">
        <f aca="false">Y21*W21</f>
        <v>11359.6478227451</v>
      </c>
      <c r="AA21" s="103" t="n">
        <f aca="false">Y22*U21+Z21*S36</f>
        <v>278349.166062962</v>
      </c>
      <c r="AB21" s="104" t="n">
        <f aca="false">AB22+AA21</f>
        <v>799278.583538269</v>
      </c>
      <c r="AC21" s="105" t="n">
        <f aca="false">AB21/Y21</f>
        <v>13.0282485837406</v>
      </c>
      <c r="AD21" s="105" t="n">
        <f aca="false">Z21*(Q36/O36)</f>
        <v>125.187182415261</v>
      </c>
      <c r="AE21" s="106" t="n">
        <f aca="false">+AE20+5</f>
        <v>70</v>
      </c>
      <c r="AF21" s="104"/>
      <c r="AG21" s="107"/>
    </row>
    <row r="22" customFormat="false" ht="13.8" hidden="false" customHeight="false" outlineLevel="0" collapsed="false">
      <c r="A22" s="92" t="n">
        <v>18</v>
      </c>
      <c r="B22" s="93" t="n">
        <v>33353.5513818399</v>
      </c>
      <c r="C22" s="93" t="n">
        <v>33026.4840936935</v>
      </c>
      <c r="E22" s="0" t="s">
        <v>112</v>
      </c>
      <c r="F22" s="0" t="n">
        <v>1</v>
      </c>
      <c r="G22" s="94" t="n">
        <f aca="false">(F22/SUM($F$4:$F$22))*$F$23+F22</f>
        <v>1.10077519379845</v>
      </c>
      <c r="H22" s="0" t="s">
        <v>109</v>
      </c>
      <c r="I22" s="0" t="n">
        <v>8</v>
      </c>
      <c r="J22" s="94" t="n">
        <f aca="false">(I22/SUM($I$4:$I$23))*$I$24+I22</f>
        <v>9.61240310077519</v>
      </c>
      <c r="L22" s="112" t="s">
        <v>113</v>
      </c>
      <c r="M22" s="113" t="n">
        <f aca="false">SUM(B5:B8)</f>
        <v>139361.717997146</v>
      </c>
      <c r="N22" s="113" t="n">
        <f aca="false">SUM(C5:C8)</f>
        <v>132507.916238581</v>
      </c>
      <c r="O22" s="113" t="n">
        <f aca="false">SUM(J29:J32)</f>
        <v>92.5728500355366</v>
      </c>
      <c r="P22" s="113" t="n">
        <f aca="false">SUM(G29:G32)</f>
        <v>99.2761506276151</v>
      </c>
      <c r="Q22" s="114" t="n">
        <f aca="false">SUM(J5:J7)</f>
        <v>8.41085271317829</v>
      </c>
      <c r="R22" s="115" t="n">
        <v>2</v>
      </c>
      <c r="S22" s="116" t="n">
        <v>1.5021</v>
      </c>
      <c r="U22" s="99" t="n">
        <v>5</v>
      </c>
      <c r="V22" s="100" t="n">
        <f aca="false">O37/M37</f>
        <v>0.0611005269206958</v>
      </c>
      <c r="W22" s="101" t="n">
        <f aca="false">(V22*U22)/(1+(U22-S37)*V22)</f>
        <v>0.265020416822054</v>
      </c>
      <c r="X22" s="101" t="n">
        <f aca="false">1-W22</f>
        <v>0.734979583177946</v>
      </c>
      <c r="Y22" s="102" t="n">
        <f aca="false">Y21-Z21</f>
        <v>49990.0093012199</v>
      </c>
      <c r="Z22" s="102" t="n">
        <f aca="false">Y22*W22</f>
        <v>13248.3731019477</v>
      </c>
      <c r="AA22" s="103" t="n">
        <f aca="false">Y23*U22+Z22*S37</f>
        <v>216829.11375123</v>
      </c>
      <c r="AB22" s="104" t="n">
        <f aca="false">AB23+AA22</f>
        <v>520929.417475307</v>
      </c>
      <c r="AC22" s="105" t="n">
        <f aca="false">AB22/Y22</f>
        <v>10.4206705451162</v>
      </c>
      <c r="AD22" s="105" t="n">
        <f aca="false">Z22*(Q37/O37)</f>
        <v>101.316970204289</v>
      </c>
      <c r="AE22" s="106" t="n">
        <f aca="false">+AE21+5</f>
        <v>75</v>
      </c>
      <c r="AF22" s="104"/>
      <c r="AG22" s="107"/>
    </row>
    <row r="23" customFormat="false" ht="13.8" hidden="false" customHeight="false" outlineLevel="0" collapsed="false">
      <c r="A23" s="92" t="n">
        <v>19</v>
      </c>
      <c r="B23" s="93" t="n">
        <v>32863.4649876282</v>
      </c>
      <c r="C23" s="93" t="n">
        <v>32832.7124116719</v>
      </c>
      <c r="E23" s="0" t="s">
        <v>114</v>
      </c>
      <c r="F23" s="0" t="n">
        <v>13</v>
      </c>
      <c r="G23" s="94"/>
      <c r="H23" s="0" t="s">
        <v>111</v>
      </c>
      <c r="I23" s="0" t="n">
        <v>4</v>
      </c>
      <c r="J23" s="94" t="n">
        <f aca="false">(I23/SUM($I$4:$I$23))*$I$24+I23</f>
        <v>4.8062015503876</v>
      </c>
      <c r="L23" s="112" t="s">
        <v>115</v>
      </c>
      <c r="M23" s="113" t="n">
        <f aca="false">SUM(B9:B13)</f>
        <v>181122.535926143</v>
      </c>
      <c r="N23" s="113" t="n">
        <f aca="false">SUM(C9:C13)</f>
        <v>171997.36119712</v>
      </c>
      <c r="O23" s="113" t="n">
        <v>48.3435994630024</v>
      </c>
      <c r="P23" s="113" t="n">
        <v>36.1004184100418</v>
      </c>
      <c r="Q23" s="117" t="n">
        <v>3.6046511627907</v>
      </c>
      <c r="R23" s="118" t="n">
        <v>2.2015503875969</v>
      </c>
      <c r="S23" s="119" t="n">
        <v>2.5</v>
      </c>
      <c r="U23" s="99" t="n">
        <v>5</v>
      </c>
      <c r="V23" s="100" t="n">
        <f aca="false">O38/M38</f>
        <v>0.0908860776746012</v>
      </c>
      <c r="W23" s="101" t="n">
        <f aca="false">(V23*U23)/(1+(U23-S38)*V23)</f>
        <v>0.370293971689488</v>
      </c>
      <c r="X23" s="101" t="n">
        <f aca="false">1-W23</f>
        <v>0.629706028310512</v>
      </c>
      <c r="Y23" s="102" t="n">
        <f aca="false">Y22-Z22</f>
        <v>36741.6361992722</v>
      </c>
      <c r="Z23" s="102" t="n">
        <f aca="false">Y23*W23</f>
        <v>13605.2063945988</v>
      </c>
      <c r="AA23" s="103" t="n">
        <f aca="false">Y24*U23+Z23*S38</f>
        <v>149695.165009864</v>
      </c>
      <c r="AB23" s="104" t="n">
        <f aca="false">AB24+AA23</f>
        <v>304100.303724077</v>
      </c>
      <c r="AC23" s="105" t="n">
        <f aca="false">AB23/Y23</f>
        <v>8.27672186602567</v>
      </c>
      <c r="AD23" s="105" t="n">
        <f aca="false">Z23*(Q38/O38)</f>
        <v>57.0152615911951</v>
      </c>
      <c r="AE23" s="106" t="n">
        <f aca="false">+AE22+5</f>
        <v>80</v>
      </c>
      <c r="AF23" s="104"/>
      <c r="AG23" s="120"/>
    </row>
    <row r="24" customFormat="false" ht="13.8" hidden="false" customHeight="false" outlineLevel="0" collapsed="false">
      <c r="A24" s="92" t="n">
        <v>20</v>
      </c>
      <c r="B24" s="93" t="n">
        <v>32365.5680857529</v>
      </c>
      <c r="C24" s="93" t="n">
        <v>32641.1445949648</v>
      </c>
      <c r="H24" s="0" t="s">
        <v>114</v>
      </c>
      <c r="I24" s="0" t="n">
        <v>234</v>
      </c>
      <c r="L24" s="112" t="s">
        <v>116</v>
      </c>
      <c r="M24" s="113" t="n">
        <f aca="false">SUM(B14:B18)</f>
        <v>177307.501727803</v>
      </c>
      <c r="N24" s="113" t="n">
        <f aca="false">SUM(C14:C18)</f>
        <v>169948.734067932</v>
      </c>
      <c r="O24" s="113" t="n">
        <v>61.7152333570244</v>
      </c>
      <c r="P24" s="113" t="n">
        <v>57.1589958158996</v>
      </c>
      <c r="Q24" s="117" t="n">
        <v>10.8139534883721</v>
      </c>
      <c r="R24" s="118" t="n">
        <v>5.50387596899225</v>
      </c>
      <c r="S24" s="119" t="n">
        <v>2.5</v>
      </c>
      <c r="U24" s="99" t="n">
        <v>5</v>
      </c>
      <c r="V24" s="100" t="n">
        <f aca="false">O39/M39</f>
        <v>0.127016976064208</v>
      </c>
      <c r="W24" s="101" t="n">
        <f aca="false">(V24*U24)/(1+(U24-S39)*V24)</f>
        <v>0.482022332611666</v>
      </c>
      <c r="X24" s="101" t="n">
        <f aca="false">1-W24</f>
        <v>0.517977667388334</v>
      </c>
      <c r="Y24" s="102" t="n">
        <f aca="false">Y23-Z23</f>
        <v>23136.4298046735</v>
      </c>
      <c r="Z24" s="102" t="n">
        <f aca="false">Y24*W24</f>
        <v>11152.2758627548</v>
      </c>
      <c r="AA24" s="103" t="n">
        <f aca="false">Y25*U24+Z24*S39</f>
        <v>87801.4593664804</v>
      </c>
      <c r="AB24" s="104" t="n">
        <f aca="false">AB25+AA24</f>
        <v>154405.138714213</v>
      </c>
      <c r="AC24" s="105" t="n">
        <f aca="false">AB24/Y24</f>
        <v>6.67368042596716</v>
      </c>
      <c r="AD24" s="105" t="n">
        <f aca="false">Z24*(Q39/O39)</f>
        <v>0</v>
      </c>
      <c r="AE24" s="106" t="n">
        <f aca="false">+AE23+5</f>
        <v>85</v>
      </c>
      <c r="AF24" s="104"/>
      <c r="AG24" s="120"/>
    </row>
    <row r="25" customFormat="false" ht="13.8" hidden="false" customHeight="false" outlineLevel="0" collapsed="false">
      <c r="A25" s="92" t="n">
        <v>21</v>
      </c>
      <c r="B25" s="93" t="n">
        <v>31826.5351928108</v>
      </c>
      <c r="C25" s="93" t="n">
        <v>32368.819752264</v>
      </c>
      <c r="L25" s="112" t="s">
        <v>117</v>
      </c>
      <c r="M25" s="113" t="n">
        <f aca="false">SUM(B19:B23)</f>
        <v>168567.061626994</v>
      </c>
      <c r="N25" s="113" t="n">
        <f aca="false">SUM(C19:C23)</f>
        <v>165701.721974203</v>
      </c>
      <c r="O25" s="113" t="n">
        <v>304.461817894654</v>
      </c>
      <c r="P25" s="113" t="n">
        <v>99.2761506276151</v>
      </c>
      <c r="Q25" s="117" t="n">
        <v>135.77519379845</v>
      </c>
      <c r="R25" s="118" t="n">
        <v>8.8062015503876</v>
      </c>
      <c r="S25" s="119" t="n">
        <v>2.5</v>
      </c>
      <c r="U25" s="99" t="n">
        <v>5</v>
      </c>
      <c r="V25" s="100" t="n">
        <f aca="false">O40/M40</f>
        <v>0.168045990387622</v>
      </c>
      <c r="W25" s="101" t="n">
        <f aca="false">(V25*U25)/(1+(U25-S40)*V25)</f>
        <v>0.591663327375839</v>
      </c>
      <c r="X25" s="101" t="n">
        <f aca="false">1-W25</f>
        <v>0.40833667262416</v>
      </c>
      <c r="Y25" s="102" t="n">
        <f aca="false">Y24-Z24</f>
        <v>11984.1539419187</v>
      </c>
      <c r="Z25" s="102" t="n">
        <f aca="false">Y25*W25</f>
        <v>7090.5843970599</v>
      </c>
      <c r="AA25" s="103" t="n">
        <f aca="false">Y26*U25+Z25*S40</f>
        <v>42194.3087169437</v>
      </c>
      <c r="AB25" s="104" t="n">
        <f aca="false">AB26+AA25</f>
        <v>66603.6793477321</v>
      </c>
      <c r="AC25" s="105" t="n">
        <f aca="false">AB25/Y25</f>
        <v>5.55764551010671</v>
      </c>
      <c r="AD25" s="105" t="n">
        <f aca="false">Z25*(Q40/O40)</f>
        <v>0</v>
      </c>
      <c r="AE25" s="106" t="n">
        <f aca="false">+AE24+5</f>
        <v>90</v>
      </c>
      <c r="AF25" s="104"/>
      <c r="AG25" s="120"/>
    </row>
    <row r="26" customFormat="false" ht="13.8" hidden="false" customHeight="false" outlineLevel="0" collapsed="false">
      <c r="A26" s="92" t="n">
        <v>22</v>
      </c>
      <c r="B26" s="93" t="n">
        <v>31056.9788063108</v>
      </c>
      <c r="C26" s="93" t="n">
        <v>31824.4087508506</v>
      </c>
      <c r="L26" s="112" t="s">
        <v>118</v>
      </c>
      <c r="M26" s="113" t="n">
        <f aca="false">SUM(B24:B28)</f>
        <v>155502.668659507</v>
      </c>
      <c r="N26" s="113" t="n">
        <f aca="false">SUM(C24:C28)</f>
        <v>159116.826631408</v>
      </c>
      <c r="O26" s="113" t="n">
        <v>445.378267393193</v>
      </c>
      <c r="P26" s="113" t="n">
        <v>128.357043235704</v>
      </c>
      <c r="Q26" s="117" t="n">
        <v>212.674418604651</v>
      </c>
      <c r="R26" s="118" t="n">
        <v>19.8139534883721</v>
      </c>
      <c r="S26" s="119" t="n">
        <v>2.5</v>
      </c>
      <c r="U26" s="99" t="n">
        <v>5</v>
      </c>
      <c r="V26" s="100" t="n">
        <f aca="false">O41/M41</f>
        <v>0.201227411699462</v>
      </c>
      <c r="W26" s="101" t="n">
        <f aca="false">(V26*U26)/(1+(U26-S41)*V26)</f>
        <v>0.669388679836342</v>
      </c>
      <c r="X26" s="101" t="n">
        <f aca="false">1-W26</f>
        <v>0.330611320163658</v>
      </c>
      <c r="Y26" s="102" t="n">
        <f aca="false">Y25-Z25</f>
        <v>4893.5695448588</v>
      </c>
      <c r="Z26" s="102" t="n">
        <f aca="false">Y26*W26</f>
        <v>3275.70005732036</v>
      </c>
      <c r="AA26" s="103" t="n">
        <f aca="false">Y27*U26+Z26*S41</f>
        <v>16278.5975809931</v>
      </c>
      <c r="AB26" s="104" t="n">
        <f aca="false">AB27+AA26</f>
        <v>24409.3706307883</v>
      </c>
      <c r="AC26" s="105" t="n">
        <f aca="false">AB26/Y26</f>
        <v>4.988050217133</v>
      </c>
      <c r="AD26" s="105" t="n">
        <f aca="false">Z26*(Q41/O41)</f>
        <v>0</v>
      </c>
      <c r="AE26" s="106" t="n">
        <f aca="false">+AE25+5</f>
        <v>95</v>
      </c>
      <c r="AF26" s="104"/>
      <c r="AG26" s="120"/>
    </row>
    <row r="27" customFormat="false" ht="13.8" hidden="false" customHeight="false" outlineLevel="0" collapsed="false">
      <c r="A27" s="92" t="n">
        <v>23</v>
      </c>
      <c r="B27" s="93" t="n">
        <v>30391.4149941744</v>
      </c>
      <c r="C27" s="93" t="n">
        <v>31340.3081040004</v>
      </c>
      <c r="E27" s="0" t="s">
        <v>86</v>
      </c>
      <c r="F27" s="0" t="s">
        <v>87</v>
      </c>
      <c r="G27" s="0" t="s">
        <v>119</v>
      </c>
      <c r="H27" s="0" t="s">
        <v>86</v>
      </c>
      <c r="I27" s="0" t="s">
        <v>87</v>
      </c>
      <c r="J27" s="0" t="s">
        <v>88</v>
      </c>
      <c r="L27" s="112" t="s">
        <v>120</v>
      </c>
      <c r="M27" s="113" t="n">
        <f aca="false">SUM(B29:B33)</f>
        <v>139274.898435523</v>
      </c>
      <c r="N27" s="113" t="n">
        <f aca="false">SUM(C29:C33)</f>
        <v>146019.989767891</v>
      </c>
      <c r="O27" s="113" t="n">
        <v>447.435441838427</v>
      </c>
      <c r="P27" s="113" t="n">
        <v>114.317991631799</v>
      </c>
      <c r="Q27" s="117" t="n">
        <v>227.093023255814</v>
      </c>
      <c r="R27" s="118" t="n">
        <v>26.4186046511628</v>
      </c>
      <c r="S27" s="119" t="n">
        <v>2.5</v>
      </c>
      <c r="U27" s="121"/>
      <c r="V27" s="100" t="n">
        <f aca="false">O42/M42</f>
        <v>0.198981016642591</v>
      </c>
      <c r="W27" s="120" t="n">
        <v>1</v>
      </c>
      <c r="X27" s="101" t="n">
        <f aca="false">1-W27</f>
        <v>0</v>
      </c>
      <c r="Y27" s="102" t="n">
        <f aca="false">Y26-Z26</f>
        <v>1617.86948753844</v>
      </c>
      <c r="Z27" s="102" t="n">
        <f aca="false">Y27*W27</f>
        <v>1617.86948753844</v>
      </c>
      <c r="AA27" s="103" t="n">
        <f aca="false">Z27/V27</f>
        <v>8130.77304979526</v>
      </c>
      <c r="AB27" s="104" t="n">
        <f aca="false">AA27</f>
        <v>8130.77304979526</v>
      </c>
      <c r="AC27" s="105" t="n">
        <f aca="false">AB27/Y27</f>
        <v>5.02560503948072</v>
      </c>
      <c r="AD27" s="105" t="n">
        <f aca="false">Z27*(Q42/O42)</f>
        <v>0</v>
      </c>
      <c r="AE27" s="106" t="n">
        <f aca="false">+AE26+5</f>
        <v>100</v>
      </c>
      <c r="AF27" s="104"/>
      <c r="AG27" s="120"/>
    </row>
    <row r="28" customFormat="false" ht="17.35" hidden="false" customHeight="false" outlineLevel="0" collapsed="false">
      <c r="A28" s="92" t="n">
        <v>24</v>
      </c>
      <c r="B28" s="93" t="n">
        <v>29862.1715804581</v>
      </c>
      <c r="C28" s="93" t="n">
        <v>30942.1454293278</v>
      </c>
      <c r="E28" s="0" t="s">
        <v>89</v>
      </c>
      <c r="F28" s="0" t="n">
        <v>407</v>
      </c>
      <c r="G28" s="94" t="n">
        <f aca="false">(F28/SUM($F$28:$F$53))*$F$54+F28</f>
        <v>408.135285913529</v>
      </c>
      <c r="H28" s="0" t="s">
        <v>89</v>
      </c>
      <c r="I28" s="0" t="n">
        <v>523</v>
      </c>
      <c r="J28" s="94" t="n">
        <f aca="false">(I28/SUM($I$28:$I$54))*$I$55+I28</f>
        <v>537.951117428729</v>
      </c>
      <c r="L28" s="112" t="s">
        <v>121</v>
      </c>
      <c r="M28" s="113" t="n">
        <f aca="false">SUM(B34:B38)</f>
        <v>131175.150810919</v>
      </c>
      <c r="N28" s="113" t="n">
        <f aca="false">SUM(C34:C38)</f>
        <v>140496.065520706</v>
      </c>
      <c r="O28" s="113" t="n">
        <v>453.606965174129</v>
      </c>
      <c r="P28" s="113" t="n">
        <v>154.429567642957</v>
      </c>
      <c r="Q28" s="117" t="n">
        <v>173.023255813953</v>
      </c>
      <c r="R28" s="118" t="n">
        <v>18.7131782945736</v>
      </c>
      <c r="S28" s="119" t="n">
        <v>2.5</v>
      </c>
      <c r="AF28" s="122" t="n">
        <f aca="false">SUM(AF6:AF27)</f>
        <v>169365.079120849</v>
      </c>
      <c r="AG28" s="123" t="n">
        <f aca="false">SUM(AG6:AG27)</f>
        <v>1.80397975247967</v>
      </c>
    </row>
    <row r="29" customFormat="false" ht="13.8" hidden="false" customHeight="false" outlineLevel="0" collapsed="false">
      <c r="A29" s="92" t="n">
        <v>25</v>
      </c>
      <c r="B29" s="93" t="n">
        <v>29206.6042497118</v>
      </c>
      <c r="C29" s="93" t="n">
        <v>30379.1232321122</v>
      </c>
      <c r="E29" s="0" t="s">
        <v>91</v>
      </c>
      <c r="F29" s="0" t="n">
        <v>43</v>
      </c>
      <c r="G29" s="94" t="n">
        <f aca="false">(F29/SUM($F$28:$F$53))*$F$54+F29</f>
        <v>43.1199442119944</v>
      </c>
      <c r="H29" s="0" t="s">
        <v>91</v>
      </c>
      <c r="I29" s="0" t="n">
        <v>50</v>
      </c>
      <c r="J29" s="94" t="n">
        <f aca="false">(I29/SUM($I$28:$I$54))*$I$55+I29</f>
        <v>51.4293611308537</v>
      </c>
      <c r="L29" s="112" t="s">
        <v>122</v>
      </c>
      <c r="M29" s="113" t="n">
        <f aca="false">SUM(B39:B43)</f>
        <v>129698.771726594</v>
      </c>
      <c r="N29" s="113" t="n">
        <f aca="false">SUM(C39:C43)</f>
        <v>139673.277208261</v>
      </c>
      <c r="O29" s="113" t="n">
        <v>516.350785753771</v>
      </c>
      <c r="P29" s="113" t="n">
        <v>185.516039051604</v>
      </c>
      <c r="Q29" s="117" t="n">
        <v>185.038759689922</v>
      </c>
      <c r="R29" s="118" t="n">
        <v>14.3100775193798</v>
      </c>
      <c r="S29" s="119" t="n">
        <v>2.5</v>
      </c>
    </row>
    <row r="30" customFormat="false" ht="17.35" hidden="false" customHeight="false" outlineLevel="0" collapsed="false">
      <c r="A30" s="92" t="n">
        <v>26</v>
      </c>
      <c r="B30" s="93" t="n">
        <v>28367.7247831107</v>
      </c>
      <c r="C30" s="93" t="n">
        <v>29571.4507184547</v>
      </c>
      <c r="E30" s="0" t="s">
        <v>106</v>
      </c>
      <c r="F30" s="0" t="n">
        <v>19</v>
      </c>
      <c r="G30" s="94" t="n">
        <f aca="false">(F30/SUM($F$28:$F$53))*$F$54+F30</f>
        <v>19.0529986052999</v>
      </c>
      <c r="H30" s="0" t="s">
        <v>106</v>
      </c>
      <c r="I30" s="0" t="n">
        <v>15</v>
      </c>
      <c r="J30" s="94" t="n">
        <f aca="false">(I30/SUM($I$28:$I$54))*$I$55+I30</f>
        <v>15.4288083392561</v>
      </c>
      <c r="L30" s="112" t="s">
        <v>123</v>
      </c>
      <c r="M30" s="113" t="n">
        <f aca="false">SUM(B44:B48)</f>
        <v>125660.173510644</v>
      </c>
      <c r="N30" s="113" t="n">
        <f aca="false">SUM(C44:C48)</f>
        <v>135038.769838187</v>
      </c>
      <c r="O30" s="113" t="n">
        <v>634.638316354734</v>
      </c>
      <c r="P30" s="113" t="n">
        <v>266.741980474198</v>
      </c>
      <c r="Q30" s="117" t="n">
        <v>162.209302325581</v>
      </c>
      <c r="R30" s="118" t="n">
        <v>18.7131782945736</v>
      </c>
      <c r="S30" s="119" t="n">
        <v>2.5</v>
      </c>
      <c r="U30" s="95" t="s">
        <v>124</v>
      </c>
      <c r="V30" s="95"/>
      <c r="W30" s="95"/>
      <c r="X30" s="95"/>
      <c r="Y30" s="95"/>
      <c r="Z30" s="95"/>
      <c r="AA30" s="95"/>
      <c r="AB30" s="95"/>
      <c r="AC30" s="95"/>
      <c r="AD30" s="95"/>
      <c r="AE30" s="95"/>
      <c r="AF30" s="95"/>
      <c r="AG30" s="95"/>
    </row>
    <row r="31" customFormat="false" ht="17.15" hidden="false" customHeight="false" outlineLevel="0" collapsed="false">
      <c r="A31" s="92" t="n">
        <v>27</v>
      </c>
      <c r="B31" s="93" t="n">
        <v>27658.4312436951</v>
      </c>
      <c r="C31" s="93" t="n">
        <v>28939.2154577859</v>
      </c>
      <c r="E31" s="0" t="s">
        <v>125</v>
      </c>
      <c r="F31" s="0" t="n">
        <v>22</v>
      </c>
      <c r="G31" s="94" t="n">
        <f aca="false">(F31/SUM($F$28:$F$53))*$F$54+F31</f>
        <v>22.0613668061367</v>
      </c>
      <c r="H31" s="0" t="s">
        <v>125</v>
      </c>
      <c r="I31" s="0" t="n">
        <v>9</v>
      </c>
      <c r="J31" s="94" t="n">
        <f aca="false">(I31/SUM($I$28:$I$54))*$I$55+I31</f>
        <v>9.25728500355366</v>
      </c>
      <c r="L31" s="112" t="s">
        <v>126</v>
      </c>
      <c r="M31" s="113" t="n">
        <f aca="false">SUM(B49:B53)</f>
        <v>113608.696352595</v>
      </c>
      <c r="N31" s="113" t="n">
        <f aca="false">SUM(C49:C53)</f>
        <v>121341.906149586</v>
      </c>
      <c r="O31" s="113" t="n">
        <v>722.068230277186</v>
      </c>
      <c r="P31" s="113" t="n">
        <v>342.953974895397</v>
      </c>
      <c r="Q31" s="117" t="n">
        <v>102.131782945736</v>
      </c>
      <c r="R31" s="118" t="n">
        <v>5.50387596899225</v>
      </c>
      <c r="S31" s="119" t="n">
        <v>2.5</v>
      </c>
      <c r="U31" s="96" t="s">
        <v>92</v>
      </c>
      <c r="V31" s="97" t="s">
        <v>93</v>
      </c>
      <c r="W31" s="97" t="s">
        <v>94</v>
      </c>
      <c r="X31" s="97" t="s">
        <v>95</v>
      </c>
      <c r="Y31" s="98" t="s">
        <v>96</v>
      </c>
      <c r="Z31" s="97" t="s">
        <v>97</v>
      </c>
      <c r="AA31" s="97" t="s">
        <v>98</v>
      </c>
      <c r="AB31" s="97" t="s">
        <v>99</v>
      </c>
      <c r="AC31" s="98" t="s">
        <v>100</v>
      </c>
      <c r="AD31" s="97" t="s">
        <v>101</v>
      </c>
      <c r="AE31" s="97" t="s">
        <v>102</v>
      </c>
      <c r="AF31" s="97" t="s">
        <v>103</v>
      </c>
      <c r="AG31" s="97" t="s">
        <v>104</v>
      </c>
    </row>
    <row r="32" customFormat="false" ht="13.8" hidden="false" customHeight="false" outlineLevel="0" collapsed="false">
      <c r="A32" s="92" t="n">
        <v>28</v>
      </c>
      <c r="B32" s="93" t="n">
        <v>27218.0396463675</v>
      </c>
      <c r="C32" s="93" t="n">
        <v>28693.4486489629</v>
      </c>
      <c r="E32" s="0" t="s">
        <v>105</v>
      </c>
      <c r="F32" s="0" t="n">
        <v>15</v>
      </c>
      <c r="G32" s="94" t="n">
        <f aca="false">(F32/SUM($F$28:$F$53))*$F$54+F32</f>
        <v>15.0418410041841</v>
      </c>
      <c r="H32" s="0" t="s">
        <v>105</v>
      </c>
      <c r="I32" s="0" t="n">
        <v>16</v>
      </c>
      <c r="J32" s="94" t="n">
        <f aca="false">(I32/SUM($I$28:$I$54))*$I$55+I32</f>
        <v>16.4573955618732</v>
      </c>
      <c r="L32" s="112" t="s">
        <v>127</v>
      </c>
      <c r="M32" s="113" t="n">
        <f aca="false">SUM(B54:B58)</f>
        <v>92904.6200990173</v>
      </c>
      <c r="N32" s="113" t="n">
        <f aca="false">SUM(C54:C58)</f>
        <v>99645.0909963169</v>
      </c>
      <c r="O32" s="113" t="n">
        <v>821.841190871042</v>
      </c>
      <c r="P32" s="113" t="n">
        <v>456.269177126918</v>
      </c>
      <c r="Q32" s="117" t="n">
        <v>61.2790697674419</v>
      </c>
      <c r="R32" s="118" t="n">
        <v>3.30232558139535</v>
      </c>
      <c r="S32" s="119" t="n">
        <v>2.5</v>
      </c>
      <c r="U32" s="124" t="n">
        <v>1</v>
      </c>
      <c r="V32" s="120" t="n">
        <f aca="false">P21/N21</f>
        <v>0.0122130299023731</v>
      </c>
      <c r="W32" s="101" t="n">
        <f aca="false">(V32*U32)/(1+(U32-S21)*V32)</f>
        <v>0.0120787587981539</v>
      </c>
      <c r="X32" s="125" t="n">
        <f aca="false">1-W32</f>
        <v>0.987921241201846</v>
      </c>
      <c r="Y32" s="102" t="n">
        <v>100000</v>
      </c>
      <c r="Z32" s="102" t="n">
        <f aca="false">Y32*W32</f>
        <v>1207.87587981539</v>
      </c>
      <c r="AA32" s="103" t="n">
        <f aca="false">Y33*U32+Z32*S21</f>
        <v>98900.591374192</v>
      </c>
      <c r="AB32" s="126" t="n">
        <f aca="false">AA32+AB33</f>
        <v>7719204.92834501</v>
      </c>
      <c r="AC32" s="126" t="n">
        <f aca="false">AB32/Y32</f>
        <v>77.1920492834501</v>
      </c>
      <c r="AD32" s="105" t="n">
        <f aca="false">Z32*(R21/P21)</f>
        <v>2.96048009758674</v>
      </c>
      <c r="AE32" s="106" t="n">
        <v>0</v>
      </c>
      <c r="AF32" s="104" t="n">
        <f aca="false">AD32*($AC$32-AE32-S21)</f>
        <v>228.259674482826</v>
      </c>
      <c r="AG32" s="127" t="n">
        <f aca="false">AF32/Y32</f>
        <v>0.00228259674482826</v>
      </c>
    </row>
    <row r="33" customFormat="false" ht="13.8" hidden="false" customHeight="false" outlineLevel="0" collapsed="false">
      <c r="A33" s="92" t="n">
        <v>29</v>
      </c>
      <c r="B33" s="93" t="n">
        <v>26824.0985126377</v>
      </c>
      <c r="C33" s="93" t="n">
        <v>28436.7517105752</v>
      </c>
      <c r="E33" s="0" t="s">
        <v>26</v>
      </c>
      <c r="F33" s="0" t="n">
        <v>36</v>
      </c>
      <c r="G33" s="94" t="n">
        <f aca="false">(F33/SUM($F$28:$F$53))*$F$54+F33</f>
        <v>36.1004184100418</v>
      </c>
      <c r="H33" s="0" t="s">
        <v>26</v>
      </c>
      <c r="I33" s="0" t="n">
        <v>47</v>
      </c>
      <c r="J33" s="94" t="n">
        <f aca="false">(I33/SUM($I$28:$I$54))*$I$55+I33</f>
        <v>48.3435994630024</v>
      </c>
      <c r="L33" s="112" t="s">
        <v>128</v>
      </c>
      <c r="M33" s="113" t="n">
        <f aca="false">SUM(B59:B63)</f>
        <v>72031.7948157455</v>
      </c>
      <c r="N33" s="113" t="n">
        <f aca="false">SUM(C59:C63)</f>
        <v>78733.2455423769</v>
      </c>
      <c r="O33" s="113" t="n">
        <v>902.070994235173</v>
      </c>
      <c r="P33" s="113" t="n">
        <v>600.670850767085</v>
      </c>
      <c r="Q33" s="117" t="n">
        <v>38.4496124031008</v>
      </c>
      <c r="R33" s="118" t="n">
        <v>6.6046511627907</v>
      </c>
      <c r="S33" s="119" t="n">
        <v>2.5</v>
      </c>
      <c r="U33" s="124" t="n">
        <v>4</v>
      </c>
      <c r="V33" s="120" t="n">
        <f aca="false">P22/N22</f>
        <v>0.000749209205349421</v>
      </c>
      <c r="W33" s="101" t="n">
        <f aca="false">(V33*U33)/(1+(U33-S22)*V33)</f>
        <v>0.00299123886839245</v>
      </c>
      <c r="X33" s="125" t="n">
        <f aca="false">1-W33</f>
        <v>0.997008761131607</v>
      </c>
      <c r="Y33" s="102" t="n">
        <f aca="false">Y32-Z32</f>
        <v>98792.1241201846</v>
      </c>
      <c r="Z33" s="102" t="n">
        <f aca="false">Y33*W33</f>
        <v>295.510841559347</v>
      </c>
      <c r="AA33" s="103" t="n">
        <f aca="false">Y34*U33+Z33*S22</f>
        <v>394430.339949607</v>
      </c>
      <c r="AB33" s="126" t="n">
        <f aca="false">AA33+AB34</f>
        <v>7620304.33697081</v>
      </c>
      <c r="AC33" s="126" t="n">
        <f aca="false">AB33/Y33</f>
        <v>77.1347352315292</v>
      </c>
      <c r="AD33" s="105" t="n">
        <f aca="false">Z33*(R22/P22)</f>
        <v>5.95330982700586</v>
      </c>
      <c r="AE33" s="106" t="n">
        <v>1</v>
      </c>
      <c r="AF33" s="104" t="n">
        <f aca="false">AD33*($AC$32-AE33-S22)</f>
        <v>444.652409047733</v>
      </c>
      <c r="AG33" s="127" t="n">
        <f aca="false">AF33/Y33</f>
        <v>0.00450088924605766</v>
      </c>
    </row>
    <row r="34" customFormat="false" ht="13.8" hidden="false" customHeight="false" outlineLevel="0" collapsed="false">
      <c r="A34" s="92" t="n">
        <v>30</v>
      </c>
      <c r="B34" s="93" t="n">
        <v>26534.2688423388</v>
      </c>
      <c r="C34" s="93" t="n">
        <v>28224.1389581451</v>
      </c>
      <c r="E34" s="0" t="s">
        <v>27</v>
      </c>
      <c r="F34" s="0" t="n">
        <v>57</v>
      </c>
      <c r="G34" s="94" t="n">
        <f aca="false">(F34/SUM($F$28:$F$53))*$F$54+F34</f>
        <v>57.1589958158996</v>
      </c>
      <c r="H34" s="0" t="s">
        <v>27</v>
      </c>
      <c r="I34" s="0" t="n">
        <v>60</v>
      </c>
      <c r="J34" s="94" t="n">
        <f aca="false">(I34/SUM($I$28:$I$54))*$I$55+I34</f>
        <v>61.7152333570244</v>
      </c>
      <c r="L34" s="112" t="s">
        <v>129</v>
      </c>
      <c r="M34" s="113" t="n">
        <f aca="false">SUM(B64:B68)</f>
        <v>53707.8399118927</v>
      </c>
      <c r="N34" s="113" t="n">
        <f aca="false">SUM(C64:C68)</f>
        <v>59810.9161241492</v>
      </c>
      <c r="O34" s="113" t="n">
        <v>949.386006475559</v>
      </c>
      <c r="P34" s="113" t="n">
        <v>752.092050209205</v>
      </c>
      <c r="Q34" s="117" t="n">
        <v>27.6356589147287</v>
      </c>
      <c r="R34" s="118" t="n">
        <v>2.2015503875969</v>
      </c>
      <c r="S34" s="119" t="n">
        <v>2.5</v>
      </c>
      <c r="U34" s="124" t="n">
        <v>5</v>
      </c>
      <c r="V34" s="120" t="n">
        <f aca="false">P23/N23</f>
        <v>0.000209889373643753</v>
      </c>
      <c r="W34" s="101" t="n">
        <f aca="false">(V34*U34)/(1+(U34-S23)*V34)</f>
        <v>0.00104889648765174</v>
      </c>
      <c r="X34" s="125" t="n">
        <f aca="false">1-W34</f>
        <v>0.998951103512348</v>
      </c>
      <c r="Y34" s="102" t="n">
        <f aca="false">Y33-Z33</f>
        <v>98496.6132786253</v>
      </c>
      <c r="Z34" s="102" t="n">
        <f aca="false">Y34*W34</f>
        <v>103.312751713542</v>
      </c>
      <c r="AA34" s="103" t="n">
        <f aca="false">Y35*U34+Z34*S23</f>
        <v>492224.784513842</v>
      </c>
      <c r="AB34" s="126" t="n">
        <f aca="false">AA34+AB35</f>
        <v>7225873.99702121</v>
      </c>
      <c r="AC34" s="126" t="n">
        <f aca="false">AB34/Y34</f>
        <v>73.3616492638259</v>
      </c>
      <c r="AD34" s="105" t="n">
        <f aca="false">Z34*(R23/P23)</f>
        <v>6.30043192284392</v>
      </c>
      <c r="AE34" s="106" t="n">
        <v>5</v>
      </c>
      <c r="AF34" s="104" t="n">
        <f aca="false">AD34*($AC$32-AE34-S23)</f>
        <v>439.090012073861</v>
      </c>
      <c r="AG34" s="127" t="n">
        <f aca="false">AF34/Y34</f>
        <v>0.00445791989651229</v>
      </c>
    </row>
    <row r="35" customFormat="false" ht="13.8" hidden="false" customHeight="false" outlineLevel="0" collapsed="false">
      <c r="A35" s="92" t="n">
        <v>31</v>
      </c>
      <c r="B35" s="93" t="n">
        <v>26337.826830349</v>
      </c>
      <c r="C35" s="93" t="n">
        <v>28132.5968327346</v>
      </c>
      <c r="E35" s="0" t="s">
        <v>28</v>
      </c>
      <c r="F35" s="0" t="n">
        <v>99</v>
      </c>
      <c r="G35" s="94" t="n">
        <f aca="false">(F35/SUM($F$28:$F$53))*$F$54+F35</f>
        <v>99.2761506276151</v>
      </c>
      <c r="H35" s="0" t="s">
        <v>28</v>
      </c>
      <c r="I35" s="0" t="n">
        <v>296</v>
      </c>
      <c r="J35" s="94" t="n">
        <f aca="false">(I35/SUM($I$28:$I$54))*$I$55+I35</f>
        <v>304.461817894654</v>
      </c>
      <c r="L35" s="112" t="s">
        <v>130</v>
      </c>
      <c r="M35" s="113" t="n">
        <f aca="false">SUM(B69:B73)</f>
        <v>39690.2801914044</v>
      </c>
      <c r="N35" s="113" t="n">
        <f aca="false">SUM(C69:C73)</f>
        <v>44881.4499512284</v>
      </c>
      <c r="O35" s="113" t="n">
        <v>1098.53115375503</v>
      </c>
      <c r="P35" s="113" t="n">
        <v>864.404463040446</v>
      </c>
      <c r="Q35" s="117" t="n">
        <v>16.8217054263566</v>
      </c>
      <c r="R35" s="118" t="n">
        <v>3.30232558139535</v>
      </c>
      <c r="S35" s="119" t="n">
        <v>2.5</v>
      </c>
      <c r="U35" s="124" t="n">
        <v>5</v>
      </c>
      <c r="V35" s="120" t="n">
        <f aca="false">P24/N24</f>
        <v>0.000336330812520509</v>
      </c>
      <c r="W35" s="101" t="n">
        <f aca="false">(V35*U35)/(1+(U35-S24)*V35)</f>
        <v>0.00168024127032335</v>
      </c>
      <c r="X35" s="125" t="n">
        <f aca="false">1-W35</f>
        <v>0.998319758729676</v>
      </c>
      <c r="Y35" s="102" t="n">
        <f aca="false">Y34-Z34</f>
        <v>98393.3005269117</v>
      </c>
      <c r="Z35" s="102" t="n">
        <f aca="false">Y35*W35</f>
        <v>165.324484268645</v>
      </c>
      <c r="AA35" s="103" t="n">
        <f aca="false">Y36*U35+Z35*S24</f>
        <v>491553.191423887</v>
      </c>
      <c r="AB35" s="126" t="n">
        <f aca="false">AA35+AB36</f>
        <v>6733649.21250736</v>
      </c>
      <c r="AC35" s="126" t="n">
        <f aca="false">AB35/Y35</f>
        <v>68.4360538415482</v>
      </c>
      <c r="AD35" s="105" t="n">
        <f aca="false">Z35*(R24/P24)</f>
        <v>15.9191994726948</v>
      </c>
      <c r="AE35" s="106" t="n">
        <f aca="false">+AE34+5</f>
        <v>10</v>
      </c>
      <c r="AF35" s="104" t="n">
        <f aca="false">AD35*($AC$32-AE35-S24)</f>
        <v>1029.84563684064</v>
      </c>
      <c r="AG35" s="127" t="n">
        <f aca="false">AF35/Y35</f>
        <v>0.010466623553897</v>
      </c>
    </row>
    <row r="36" customFormat="false" ht="13.8" hidden="false" customHeight="false" outlineLevel="0" collapsed="false">
      <c r="A36" s="92" t="n">
        <v>32</v>
      </c>
      <c r="B36" s="93" t="n">
        <v>26167.504348541</v>
      </c>
      <c r="C36" s="93" t="n">
        <v>28061.3741224276</v>
      </c>
      <c r="E36" s="0" t="s">
        <v>29</v>
      </c>
      <c r="F36" s="0" t="n">
        <v>128</v>
      </c>
      <c r="G36" s="94" t="n">
        <f aca="false">(F36/SUM($F$28:$F$53))*$F$54+F36</f>
        <v>128.357043235704</v>
      </c>
      <c r="H36" s="0" t="s">
        <v>29</v>
      </c>
      <c r="I36" s="0" t="n">
        <v>433</v>
      </c>
      <c r="J36" s="94" t="n">
        <f aca="false">(I36/SUM($I$28:$I$54))*$I$55+I36</f>
        <v>445.378267393193</v>
      </c>
      <c r="L36" s="112" t="s">
        <v>131</v>
      </c>
      <c r="M36" s="113" t="n">
        <f aca="false">SUM(B74:B78)</f>
        <v>29387.6414589231</v>
      </c>
      <c r="N36" s="113" t="n">
        <f aca="false">SUM(C74:C78)</f>
        <v>33559.4517645988</v>
      </c>
      <c r="O36" s="113" t="n">
        <v>1199.33270157151</v>
      </c>
      <c r="P36" s="113" t="n">
        <v>1004.7949790795</v>
      </c>
      <c r="Q36" s="117" t="n">
        <v>13.2170542635659</v>
      </c>
      <c r="R36" s="118" t="n">
        <v>1.10077519379845</v>
      </c>
      <c r="S36" s="119" t="n">
        <v>2.5</v>
      </c>
      <c r="U36" s="124" t="n">
        <v>5</v>
      </c>
      <c r="V36" s="120" t="n">
        <f aca="false">P25/N25</f>
        <v>0.000599125642418313</v>
      </c>
      <c r="W36" s="101" t="n">
        <f aca="false">(V36*U36)/(1+(U36-S25)*V36)</f>
        <v>0.00299114802838138</v>
      </c>
      <c r="X36" s="125" t="n">
        <f aca="false">1-W36</f>
        <v>0.997008851971619</v>
      </c>
      <c r="Y36" s="102" t="n">
        <f aca="false">Y35-Z35</f>
        <v>98227.9760426431</v>
      </c>
      <c r="Z36" s="102" t="n">
        <f aca="false">Y36*W36</f>
        <v>293.814416871846</v>
      </c>
      <c r="AA36" s="103" t="n">
        <f aca="false">Y37*U36+Z36*S25</f>
        <v>490405.344171036</v>
      </c>
      <c r="AB36" s="126" t="n">
        <f aca="false">AA36+AB37</f>
        <v>6242096.02108348</v>
      </c>
      <c r="AC36" s="126" t="n">
        <f aca="false">AB36/Y36</f>
        <v>63.5470287850951</v>
      </c>
      <c r="AD36" s="105" t="n">
        <f aca="false">Z36*(R25/P25)</f>
        <v>26.062543289862</v>
      </c>
      <c r="AE36" s="106" t="n">
        <f aca="false">+AE35+5</f>
        <v>15</v>
      </c>
      <c r="AF36" s="104" t="n">
        <f aca="false">AD36*($AC$32-AE36-S25)</f>
        <v>1555.72661851049</v>
      </c>
      <c r="AG36" s="127" t="n">
        <f aca="false">AF36/Y36</f>
        <v>0.0158379178843623</v>
      </c>
    </row>
    <row r="37" customFormat="false" ht="13.8" hidden="false" customHeight="false" outlineLevel="0" collapsed="false">
      <c r="A37" s="92" t="n">
        <v>33</v>
      </c>
      <c r="B37" s="93" t="n">
        <v>26077.3667811771</v>
      </c>
      <c r="C37" s="93" t="n">
        <v>28038.2870390253</v>
      </c>
      <c r="E37" s="0" t="s">
        <v>30</v>
      </c>
      <c r="F37" s="0" t="n">
        <v>114</v>
      </c>
      <c r="G37" s="94" t="n">
        <f aca="false">(F37/SUM($F$28:$F$53))*$F$54+F37</f>
        <v>114.317991631799</v>
      </c>
      <c r="H37" s="0" t="s">
        <v>30</v>
      </c>
      <c r="I37" s="0" t="n">
        <v>435</v>
      </c>
      <c r="J37" s="94" t="n">
        <f aca="false">(I37/SUM($I$28:$I$54))*$I$55+I37</f>
        <v>447.435441838427</v>
      </c>
      <c r="L37" s="112" t="s">
        <v>132</v>
      </c>
      <c r="M37" s="128" t="n">
        <f aca="false">SUM(B79:B83)</f>
        <v>20571.5670450678</v>
      </c>
      <c r="N37" s="128" t="n">
        <f aca="false">SUM(C79:C83)</f>
        <v>23630.5288003098</v>
      </c>
      <c r="O37" s="113" t="n">
        <v>1256.93358603806</v>
      </c>
      <c r="P37" s="113" t="n">
        <v>1065.96513249651</v>
      </c>
      <c r="Q37" s="117" t="n">
        <v>9.61240310077519</v>
      </c>
      <c r="R37" s="118" t="n">
        <v>1.10077519379845</v>
      </c>
      <c r="S37" s="119" t="n">
        <v>2.5</v>
      </c>
      <c r="U37" s="124" t="n">
        <v>5</v>
      </c>
      <c r="V37" s="120" t="n">
        <f aca="false">P26/N26</f>
        <v>0.000806684283196784</v>
      </c>
      <c r="W37" s="101" t="n">
        <f aca="false">(V37*U37)/(1+(U37-S26)*V37)</f>
        <v>0.00402530354322538</v>
      </c>
      <c r="X37" s="125" t="n">
        <f aca="false">1-W37</f>
        <v>0.995974696456775</v>
      </c>
      <c r="Y37" s="102" t="n">
        <f aca="false">Y36-Z36</f>
        <v>97934.1616257712</v>
      </c>
      <c r="Z37" s="102" t="n">
        <f aca="false">Y37*W37</f>
        <v>394.214727795024</v>
      </c>
      <c r="AA37" s="103" t="n">
        <f aca="false">Y38*U37+Z37*S26</f>
        <v>488685.271309369</v>
      </c>
      <c r="AB37" s="126" t="n">
        <f aca="false">AA37+AB38</f>
        <v>5751690.67691244</v>
      </c>
      <c r="AC37" s="126" t="n">
        <f aca="false">AB37/Y37</f>
        <v>58.7301773092311</v>
      </c>
      <c r="AD37" s="105" t="n">
        <f aca="false">Z37*(R26/P26)</f>
        <v>60.853320426044</v>
      </c>
      <c r="AE37" s="106" t="n">
        <f aca="false">+AE36+5</f>
        <v>20</v>
      </c>
      <c r="AF37" s="104" t="n">
        <f aca="false">AD37*($AC$32-AE37-S26)</f>
        <v>3328.19279980277</v>
      </c>
      <c r="AG37" s="127" t="n">
        <f aca="false">AF37/Y37</f>
        <v>0.0339839821422126</v>
      </c>
    </row>
    <row r="38" customFormat="false" ht="13.8" hidden="false" customHeight="false" outlineLevel="0" collapsed="false">
      <c r="A38" s="92" t="n">
        <v>34</v>
      </c>
      <c r="B38" s="93" t="n">
        <v>26058.1840085128</v>
      </c>
      <c r="C38" s="93" t="n">
        <v>28039.6685683736</v>
      </c>
      <c r="E38" s="0" t="s">
        <v>31</v>
      </c>
      <c r="F38" s="0" t="n">
        <v>154</v>
      </c>
      <c r="G38" s="94" t="n">
        <f aca="false">(F38/SUM($F$28:$F$53))*$F$54+F38</f>
        <v>154.429567642957</v>
      </c>
      <c r="H38" s="0" t="s">
        <v>31</v>
      </c>
      <c r="I38" s="0" t="n">
        <v>441</v>
      </c>
      <c r="J38" s="94" t="n">
        <f aca="false">(I38/SUM($I$28:$I$54))*$I$55+I38</f>
        <v>453.606965174129</v>
      </c>
      <c r="L38" s="112" t="s">
        <v>133</v>
      </c>
      <c r="M38" s="128" t="n">
        <f aca="false">SUM(B84:B88)</f>
        <v>12618.8166830589</v>
      </c>
      <c r="N38" s="128" t="n">
        <f aca="false">SUM(C84:C88)</f>
        <v>14966.412209288</v>
      </c>
      <c r="O38" s="113" t="n">
        <v>1146.87475321804</v>
      </c>
      <c r="P38" s="113" t="n">
        <v>1059.94839609484</v>
      </c>
      <c r="Q38" s="117" t="n">
        <v>4.8062015503876</v>
      </c>
      <c r="R38" s="118" t="n">
        <v>1.10077519379845</v>
      </c>
      <c r="S38" s="119" t="n">
        <v>2.5</v>
      </c>
      <c r="U38" s="124" t="n">
        <v>5</v>
      </c>
      <c r="V38" s="120" t="n">
        <f aca="false">P27/N27</f>
        <v>0.000782892751968518</v>
      </c>
      <c r="W38" s="101" t="n">
        <f aca="false">(V38*U38)/(1+(U38-S27)*V38)</f>
        <v>0.00390681721264498</v>
      </c>
      <c r="X38" s="125" t="n">
        <f aca="false">1-W38</f>
        <v>0.996093182787355</v>
      </c>
      <c r="Y38" s="102" t="n">
        <f aca="false">Y37-Z37</f>
        <v>97539.9468979762</v>
      </c>
      <c r="Z38" s="102" t="n">
        <f aca="false">Y38*W38</f>
        <v>381.070743461491</v>
      </c>
      <c r="AA38" s="103" t="n">
        <f aca="false">Y39*U38+Z38*S27</f>
        <v>486747.057631227</v>
      </c>
      <c r="AB38" s="126" t="n">
        <f aca="false">AA38+AB39</f>
        <v>5263005.40560307</v>
      </c>
      <c r="AC38" s="126" t="n">
        <f aca="false">AB38/Y38</f>
        <v>53.9574356248934</v>
      </c>
      <c r="AD38" s="105" t="n">
        <f aca="false">Z38*(R27/P27)</f>
        <v>88.0645047374454</v>
      </c>
      <c r="AE38" s="106" t="n">
        <f aca="false">+AE37+5</f>
        <v>25</v>
      </c>
      <c r="AF38" s="104" t="n">
        <f aca="false">AD38*($AC$32-AE38-S27)</f>
        <v>4376.10570953576</v>
      </c>
      <c r="AG38" s="127" t="n">
        <f aca="false">AF38/Y38</f>
        <v>0.0448647538645169</v>
      </c>
    </row>
    <row r="39" customFormat="false" ht="13.8" hidden="false" customHeight="false" outlineLevel="0" collapsed="false">
      <c r="A39" s="92" t="n">
        <v>35</v>
      </c>
      <c r="B39" s="93" t="n">
        <v>26066.0136625787</v>
      </c>
      <c r="C39" s="93" t="n">
        <v>28046.2002530634</v>
      </c>
      <c r="E39" s="0" t="s">
        <v>32</v>
      </c>
      <c r="F39" s="0" t="n">
        <v>185</v>
      </c>
      <c r="G39" s="94" t="n">
        <f aca="false">(F39/SUM($F$28:$F$53))*$F$54+F39</f>
        <v>185.516039051604</v>
      </c>
      <c r="H39" s="0" t="s">
        <v>32</v>
      </c>
      <c r="I39" s="0" t="n">
        <v>502</v>
      </c>
      <c r="J39" s="94" t="n">
        <f aca="false">(I39/SUM($I$28:$I$54))*$I$55+I39</f>
        <v>516.350785753771</v>
      </c>
      <c r="L39" s="112" t="s">
        <v>134</v>
      </c>
      <c r="M39" s="128" t="n">
        <f aca="false">SUM(B89:B93)</f>
        <v>6340.7571197573</v>
      </c>
      <c r="N39" s="128" t="n">
        <f aca="false">SUM(C89:C93)</f>
        <v>8092.14260573864</v>
      </c>
      <c r="O39" s="113" t="n">
        <v>805.383795309169</v>
      </c>
      <c r="P39" s="113" t="n">
        <v>909.529986052999</v>
      </c>
      <c r="Q39" s="113" t="n">
        <v>0</v>
      </c>
      <c r="R39" s="113" t="n">
        <v>0</v>
      </c>
      <c r="S39" s="119" t="n">
        <v>2.5</v>
      </c>
      <c r="U39" s="124" t="n">
        <v>5</v>
      </c>
      <c r="V39" s="120" t="n">
        <f aca="false">P28/N28</f>
        <v>0.00109917361080974</v>
      </c>
      <c r="W39" s="101" t="n">
        <f aca="false">(V39*U39)/(1+(U39-S28)*V39)</f>
        <v>0.00548080715756489</v>
      </c>
      <c r="X39" s="125" t="n">
        <f aca="false">1-W39</f>
        <v>0.994519192842435</v>
      </c>
      <c r="Y39" s="102" t="n">
        <f aca="false">Y38-Z38</f>
        <v>97158.8761545147</v>
      </c>
      <c r="Z39" s="102" t="n">
        <f aca="false">Y39*W39</f>
        <v>532.509063848625</v>
      </c>
      <c r="AA39" s="103" t="n">
        <f aca="false">Y40*U39+Z39*S28</f>
        <v>484463.108112952</v>
      </c>
      <c r="AB39" s="126" t="n">
        <f aca="false">AA39+AB40</f>
        <v>4776258.34797184</v>
      </c>
      <c r="AC39" s="126" t="n">
        <f aca="false">AB39/Y39</f>
        <v>49.1592589067829</v>
      </c>
      <c r="AD39" s="105" t="n">
        <f aca="false">Z39*(R28/P28)</f>
        <v>64.5273907540481</v>
      </c>
      <c r="AE39" s="106" t="n">
        <f aca="false">+AE38+5</f>
        <v>30</v>
      </c>
      <c r="AF39" s="104" t="n">
        <f aca="false">AD39*($AC$32-AE39-S28)</f>
        <v>2883.86132771236</v>
      </c>
      <c r="AG39" s="127" t="n">
        <f aca="false">AF39/Y39</f>
        <v>0.0296819131905773</v>
      </c>
    </row>
    <row r="40" customFormat="false" ht="13.8" hidden="false" customHeight="false" outlineLevel="0" collapsed="false">
      <c r="A40" s="92" t="n">
        <v>36</v>
      </c>
      <c r="B40" s="93" t="n">
        <v>26055.7282846419</v>
      </c>
      <c r="C40" s="93" t="n">
        <v>28043.7506475575</v>
      </c>
      <c r="E40" s="0" t="s">
        <v>33</v>
      </c>
      <c r="F40" s="0" t="n">
        <v>266</v>
      </c>
      <c r="G40" s="94" t="n">
        <f aca="false">(F40/SUM($F$28:$F$53))*$F$54+F40</f>
        <v>266.741980474198</v>
      </c>
      <c r="H40" s="0" t="s">
        <v>33</v>
      </c>
      <c r="I40" s="0" t="n">
        <v>617</v>
      </c>
      <c r="J40" s="94" t="n">
        <f aca="false">(I40/SUM($I$28:$I$54))*$I$55+I40</f>
        <v>634.638316354734</v>
      </c>
      <c r="L40" s="112" t="s">
        <v>135</v>
      </c>
      <c r="M40" s="128" t="n">
        <f aca="false">SUM(B94:B98)</f>
        <v>2442.22608868888</v>
      </c>
      <c r="N40" s="128" t="n">
        <f aca="false">SUM(C94:C98)</f>
        <v>3426.22346868813</v>
      </c>
      <c r="O40" s="113" t="n">
        <v>410.406301824212</v>
      </c>
      <c r="P40" s="113" t="n">
        <v>506.408647140865</v>
      </c>
      <c r="Q40" s="113" t="n">
        <v>0</v>
      </c>
      <c r="R40" s="113" t="n">
        <v>0</v>
      </c>
      <c r="S40" s="119" t="n">
        <v>2.5</v>
      </c>
      <c r="U40" s="124" t="n">
        <v>5</v>
      </c>
      <c r="V40" s="120" t="n">
        <f aca="false">P29/N29</f>
        <v>0.00132821426374201</v>
      </c>
      <c r="W40" s="101" t="n">
        <f aca="false">(V40*U40)/(1+(U40-S29)*V40)</f>
        <v>0.0066190923864084</v>
      </c>
      <c r="X40" s="125" t="n">
        <f aca="false">1-W40</f>
        <v>0.993380907613592</v>
      </c>
      <c r="Y40" s="102" t="n">
        <f aca="false">Y39-Z39</f>
        <v>96626.3670906661</v>
      </c>
      <c r="Z40" s="102" t="n">
        <f aca="false">Y40*W40</f>
        <v>639.578850736131</v>
      </c>
      <c r="AA40" s="103" t="n">
        <f aca="false">Y41*U40+Z40*S29</f>
        <v>481532.88832649</v>
      </c>
      <c r="AB40" s="126" t="n">
        <f aca="false">AA40+AB41</f>
        <v>4291795.23985889</v>
      </c>
      <c r="AC40" s="126" t="n">
        <f aca="false">AB40/Y40</f>
        <v>44.4163986402576</v>
      </c>
      <c r="AD40" s="105" t="n">
        <f aca="false">Z40*(R29/P29)</f>
        <v>49.3349414992846</v>
      </c>
      <c r="AE40" s="106" t="n">
        <f aca="false">+AE39+5</f>
        <v>35</v>
      </c>
      <c r="AF40" s="104" t="n">
        <f aca="false">AD40*($AC$32-AE40-S29)</f>
        <v>1958.20492938573</v>
      </c>
      <c r="AG40" s="127" t="n">
        <f aca="false">AF40/Y40</f>
        <v>0.0202657410016079</v>
      </c>
    </row>
    <row r="41" customFormat="false" ht="13.8" hidden="false" customHeight="false" outlineLevel="0" collapsed="false">
      <c r="A41" s="92" t="n">
        <v>37</v>
      </c>
      <c r="B41" s="93" t="n">
        <v>25990.7818995426</v>
      </c>
      <c r="C41" s="93" t="n">
        <v>27991.461147409</v>
      </c>
      <c r="E41" s="0" t="s">
        <v>34</v>
      </c>
      <c r="F41" s="0" t="n">
        <v>342</v>
      </c>
      <c r="G41" s="94" t="n">
        <f aca="false">(F41/SUM($F$28:$F$53))*$F$54+F41</f>
        <v>342.953974895397</v>
      </c>
      <c r="H41" s="0" t="s">
        <v>34</v>
      </c>
      <c r="I41" s="0" t="n">
        <v>702</v>
      </c>
      <c r="J41" s="94" t="n">
        <f aca="false">(I41/SUM($I$28:$I$54))*$I$55+I41</f>
        <v>722.068230277186</v>
      </c>
      <c r="L41" s="112" t="s">
        <v>136</v>
      </c>
      <c r="M41" s="128" t="n">
        <f aca="false">SUM(B99:B103)</f>
        <v>695.172994049379</v>
      </c>
      <c r="N41" s="128" t="n">
        <f aca="false">SUM(C99:C103)</f>
        <v>1065.0617992679</v>
      </c>
      <c r="O41" s="113" t="n">
        <v>139.887862275922</v>
      </c>
      <c r="P41" s="113" t="n">
        <v>186.518828451883</v>
      </c>
      <c r="Q41" s="113" t="n">
        <v>0</v>
      </c>
      <c r="R41" s="113" t="n">
        <v>0</v>
      </c>
      <c r="S41" s="119" t="n">
        <v>2.5</v>
      </c>
      <c r="U41" s="124" t="n">
        <v>5</v>
      </c>
      <c r="V41" s="120" t="n">
        <f aca="false">P30/N30</f>
        <v>0.00197529924771846</v>
      </c>
      <c r="W41" s="101" t="n">
        <f aca="false">(V41*U41)/(1+(U41-S30)*V41)</f>
        <v>0.00982796331722452</v>
      </c>
      <c r="X41" s="125" t="n">
        <f aca="false">1-W41</f>
        <v>0.990172036682776</v>
      </c>
      <c r="Y41" s="102" t="n">
        <f aca="false">Y40-Z40</f>
        <v>95986.78823993</v>
      </c>
      <c r="Z41" s="102" t="n">
        <f aca="false">Y41*W41</f>
        <v>943.35463376023</v>
      </c>
      <c r="AA41" s="103" t="n">
        <f aca="false">Y42*U41+Z41*S30</f>
        <v>477575.554615249</v>
      </c>
      <c r="AB41" s="126" t="n">
        <f aca="false">AA41+AB42</f>
        <v>3810262.3515324</v>
      </c>
      <c r="AC41" s="126" t="n">
        <f aca="false">AB41/Y41</f>
        <v>39.6956958493935</v>
      </c>
      <c r="AD41" s="105" t="n">
        <f aca="false">Z41*(R30/P30)</f>
        <v>66.1806717682182</v>
      </c>
      <c r="AE41" s="106" t="n">
        <f aca="false">+AE40+5</f>
        <v>40</v>
      </c>
      <c r="AF41" s="104" t="n">
        <f aca="false">AD41*($AC$32-AE41-S30)</f>
        <v>2295.94312659486</v>
      </c>
      <c r="AG41" s="127" t="n">
        <f aca="false">AF41/Y41</f>
        <v>0.0239193660783387</v>
      </c>
    </row>
    <row r="42" customFormat="false" ht="13.8" hidden="false" customHeight="false" outlineLevel="0" collapsed="false">
      <c r="A42" s="92" t="n">
        <v>38</v>
      </c>
      <c r="B42" s="93" t="n">
        <v>25867.8873833667</v>
      </c>
      <c r="C42" s="93" t="n">
        <v>27873.978073599</v>
      </c>
      <c r="E42" s="0" t="s">
        <v>35</v>
      </c>
      <c r="F42" s="0" t="n">
        <v>455</v>
      </c>
      <c r="G42" s="94" t="n">
        <f aca="false">(F42/SUM($F$28:$F$53))*$F$54+F42</f>
        <v>456.269177126918</v>
      </c>
      <c r="H42" s="0" t="s">
        <v>35</v>
      </c>
      <c r="I42" s="0" t="n">
        <v>799</v>
      </c>
      <c r="J42" s="94" t="n">
        <f aca="false">(I42/SUM($I$28:$I$54))*$I$55+I42</f>
        <v>821.841190871042</v>
      </c>
      <c r="L42" s="112" t="s">
        <v>137</v>
      </c>
      <c r="M42" s="128" t="n">
        <f aca="false">SUM(B104:B113)</f>
        <v>149.908920756365</v>
      </c>
      <c r="N42" s="128" t="n">
        <f aca="false">SUM(C104:C113)</f>
        <v>252.633354528399</v>
      </c>
      <c r="O42" s="113" t="n">
        <f aca="false">SUM(J52:J54)</f>
        <v>29.8290294558951</v>
      </c>
      <c r="P42" s="113" t="n">
        <f aca="false">SUM(G52:G53)</f>
        <v>48.1338912133891</v>
      </c>
      <c r="Q42" s="113" t="n">
        <v>0</v>
      </c>
      <c r="R42" s="113" t="n">
        <v>0</v>
      </c>
      <c r="S42" s="121"/>
      <c r="U42" s="124" t="n">
        <v>5</v>
      </c>
      <c r="V42" s="120" t="n">
        <f aca="false">P31/N31</f>
        <v>0.00282634405357549</v>
      </c>
      <c r="W42" s="101" t="n">
        <f aca="false">(V42*U42)/(1+(U42-S31)*V42)</f>
        <v>0.0140325681043323</v>
      </c>
      <c r="X42" s="125" t="n">
        <f aca="false">1-W42</f>
        <v>0.985967431895668</v>
      </c>
      <c r="Y42" s="102" t="n">
        <f aca="false">Y41-Z41</f>
        <v>95043.4336061697</v>
      </c>
      <c r="Z42" s="102" t="n">
        <f aca="false">Y42*W42</f>
        <v>1333.70345494816</v>
      </c>
      <c r="AA42" s="103" t="n">
        <f aca="false">Y43*U42+Z42*S31</f>
        <v>471882.909393478</v>
      </c>
      <c r="AB42" s="126" t="n">
        <f aca="false">AA42+AB43</f>
        <v>3332686.79691715</v>
      </c>
      <c r="AC42" s="126" t="n">
        <f aca="false">AB42/Y42</f>
        <v>35.0648821330126</v>
      </c>
      <c r="AD42" s="105" t="n">
        <f aca="false">Z42*(R31/P31)</f>
        <v>21.4038586305641</v>
      </c>
      <c r="AE42" s="106" t="n">
        <f aca="false">+AE41+5</f>
        <v>45</v>
      </c>
      <c r="AF42" s="104" t="n">
        <f aca="false">AD42*($AC$32-AE42-S31)</f>
        <v>635.524425314707</v>
      </c>
      <c r="AG42" s="127" t="n">
        <f aca="false">AF42/Y42</f>
        <v>0.00668667367330311</v>
      </c>
    </row>
    <row r="43" customFormat="false" ht="13.8" hidden="false" customHeight="false" outlineLevel="0" collapsed="false">
      <c r="A43" s="92" t="n">
        <v>39</v>
      </c>
      <c r="B43" s="93" t="n">
        <v>25718.3604964637</v>
      </c>
      <c r="C43" s="93" t="n">
        <v>27717.8870866325</v>
      </c>
      <c r="E43" s="0" t="s">
        <v>36</v>
      </c>
      <c r="F43" s="0" t="n">
        <v>599</v>
      </c>
      <c r="G43" s="94" t="n">
        <f aca="false">(F43/SUM($F$28:$F$53))*$F$54+F43</f>
        <v>600.670850767085</v>
      </c>
      <c r="H43" s="0" t="s">
        <v>36</v>
      </c>
      <c r="I43" s="0" t="n">
        <v>877</v>
      </c>
      <c r="J43" s="94" t="n">
        <f aca="false">(I43/SUM($I$28:$I$54))*$I$55+I43</f>
        <v>902.070994235173</v>
      </c>
      <c r="U43" s="124" t="n">
        <v>5</v>
      </c>
      <c r="V43" s="120" t="n">
        <f aca="false">P32/N32</f>
        <v>0.00457894285172345</v>
      </c>
      <c r="W43" s="101" t="n">
        <f aca="false">(V43*U43)/(1+(U43-S32)*V43)</f>
        <v>0.0226355965016282</v>
      </c>
      <c r="X43" s="125" t="n">
        <f aca="false">1-W43</f>
        <v>0.977364403498372</v>
      </c>
      <c r="Y43" s="102" t="n">
        <f aca="false">Y42-Z42</f>
        <v>93709.7301512216</v>
      </c>
      <c r="Z43" s="102" t="n">
        <f aca="false">Y43*W43</f>
        <v>2121.17563997951</v>
      </c>
      <c r="AA43" s="103" t="n">
        <f aca="false">Y44*U43+Z43*S32</f>
        <v>463245.711656159</v>
      </c>
      <c r="AB43" s="126" t="n">
        <f aca="false">AA43+AB44</f>
        <v>2860803.88752368</v>
      </c>
      <c r="AC43" s="126" t="n">
        <f aca="false">AB43/Y43</f>
        <v>30.5283547707066</v>
      </c>
      <c r="AD43" s="105" t="n">
        <f aca="false">Z43*(R32/P32)</f>
        <v>15.3523685791041</v>
      </c>
      <c r="AE43" s="106" t="n">
        <f aca="false">+AE42+5</f>
        <v>50</v>
      </c>
      <c r="AF43" s="104" t="n">
        <f aca="false">AD43*($AC$32-AE43-S32)</f>
        <v>379.08144157293</v>
      </c>
      <c r="AG43" s="127" t="n">
        <f aca="false">AF43/Y43</f>
        <v>0.0040452730037873</v>
      </c>
    </row>
    <row r="44" customFormat="false" ht="13.8" hidden="false" customHeight="false" outlineLevel="0" collapsed="false">
      <c r="A44" s="92" t="n">
        <v>40</v>
      </c>
      <c r="B44" s="93" t="n">
        <v>25562.9238474392</v>
      </c>
      <c r="C44" s="93" t="n">
        <v>27538.9423147901</v>
      </c>
      <c r="E44" s="0" t="s">
        <v>37</v>
      </c>
      <c r="F44" s="0" t="n">
        <v>750</v>
      </c>
      <c r="G44" s="94" t="n">
        <f aca="false">(F44/SUM($F$28:$F$53))*$F$54+F44</f>
        <v>752.092050209205</v>
      </c>
      <c r="H44" s="0" t="s">
        <v>37</v>
      </c>
      <c r="I44" s="0" t="n">
        <v>923</v>
      </c>
      <c r="J44" s="94" t="n">
        <f aca="false">(I44/SUM($I$28:$I$54))*$I$55+I44</f>
        <v>949.386006475559</v>
      </c>
      <c r="U44" s="124" t="n">
        <v>5</v>
      </c>
      <c r="V44" s="120" t="n">
        <f aca="false">P33/N33</f>
        <v>0.00762918950729376</v>
      </c>
      <c r="W44" s="101" t="n">
        <f aca="false">(V44*U44)/(1+(U44-S33)*V44)</f>
        <v>0.037432007832978</v>
      </c>
      <c r="X44" s="125" t="n">
        <f aca="false">1-W44</f>
        <v>0.962567992167022</v>
      </c>
      <c r="Y44" s="102" t="n">
        <f aca="false">Y43-Z43</f>
        <v>91588.5545112421</v>
      </c>
      <c r="Z44" s="102" t="n">
        <f aca="false">Y44*W44</f>
        <v>3428.34348987595</v>
      </c>
      <c r="AA44" s="103" t="n">
        <f aca="false">Y45*U44+Z44*S33</f>
        <v>449371.913831521</v>
      </c>
      <c r="AB44" s="126" t="n">
        <f aca="false">AA44+AB45</f>
        <v>2397558.17586752</v>
      </c>
      <c r="AC44" s="126" t="n">
        <f aca="false">AB44/Y44</f>
        <v>26.1774867903743</v>
      </c>
      <c r="AD44" s="105" t="n">
        <f aca="false">Z44*(R33/P33)</f>
        <v>37.6962071456255</v>
      </c>
      <c r="AE44" s="106" t="n">
        <f aca="false">+AE43+5</f>
        <v>55</v>
      </c>
      <c r="AF44" s="104" t="n">
        <f aca="false">AD44*($AC$32-AE44-S33)</f>
        <v>742.315568910799</v>
      </c>
      <c r="AG44" s="127" t="n">
        <f aca="false">AF44/Y44</f>
        <v>0.00810489446931585</v>
      </c>
    </row>
    <row r="45" customFormat="false" ht="13.8" hidden="false" customHeight="false" outlineLevel="0" collapsed="false">
      <c r="A45" s="92" t="n">
        <v>41</v>
      </c>
      <c r="B45" s="93" t="n">
        <v>25396.9347671898</v>
      </c>
      <c r="C45" s="93" t="n">
        <v>27333.1645329324</v>
      </c>
      <c r="E45" s="0" t="s">
        <v>38</v>
      </c>
      <c r="F45" s="0" t="n">
        <v>862</v>
      </c>
      <c r="G45" s="94" t="n">
        <f aca="false">(F45/SUM($F$28:$F$53))*$F$54+F45</f>
        <v>864.404463040446</v>
      </c>
      <c r="H45" s="0" t="s">
        <v>38</v>
      </c>
      <c r="I45" s="0" t="n">
        <v>1068</v>
      </c>
      <c r="J45" s="94" t="n">
        <f aca="false">(I45/SUM($I$28:$I$54))*$I$55+I45</f>
        <v>1098.53115375503</v>
      </c>
      <c r="U45" s="124" t="n">
        <v>5</v>
      </c>
      <c r="V45" s="120" t="n">
        <f aca="false">P34/N34</f>
        <v>0.0125744947401924</v>
      </c>
      <c r="W45" s="101" t="n">
        <f aca="false">(V45*U45)/(1+(U45-S34)*V45)</f>
        <v>0.0609562389362478</v>
      </c>
      <c r="X45" s="125" t="n">
        <f aca="false">1-W45</f>
        <v>0.939043761063752</v>
      </c>
      <c r="Y45" s="102" t="n">
        <f aca="false">Y44-Z44</f>
        <v>88160.2110213661</v>
      </c>
      <c r="Z45" s="102" t="n">
        <f aca="false">Y45*W45</f>
        <v>5373.91488768842</v>
      </c>
      <c r="AA45" s="103" t="n">
        <f aca="false">Y46*U45+Z45*S34</f>
        <v>427366.26788761</v>
      </c>
      <c r="AB45" s="126" t="n">
        <f aca="false">AA45+AB46</f>
        <v>1948186.262036</v>
      </c>
      <c r="AC45" s="126" t="n">
        <f aca="false">AB45/Y45</f>
        <v>22.0982486256055</v>
      </c>
      <c r="AD45" s="105" t="n">
        <f aca="false">Z45*(R34/P34)</f>
        <v>15.7307132825194</v>
      </c>
      <c r="AE45" s="106" t="n">
        <f aca="false">+AE44+5</f>
        <v>60</v>
      </c>
      <c r="AF45" s="104" t="n">
        <f aca="false">AD45*($AC$32-AE45-S34)</f>
        <v>231.116414810597</v>
      </c>
      <c r="AG45" s="127" t="n">
        <f aca="false">AF45/Y45</f>
        <v>0.00262155015435007</v>
      </c>
    </row>
    <row r="46" customFormat="false" ht="13.8" hidden="false" customHeight="false" outlineLevel="0" collapsed="false">
      <c r="A46" s="92" t="n">
        <v>42</v>
      </c>
      <c r="B46" s="93" t="n">
        <v>25204.1475504182</v>
      </c>
      <c r="C46" s="93" t="n">
        <v>27086.5516275981</v>
      </c>
      <c r="E46" s="0" t="s">
        <v>39</v>
      </c>
      <c r="F46" s="0" t="n">
        <v>1002</v>
      </c>
      <c r="G46" s="94" t="n">
        <f aca="false">(F46/SUM($F$28:$F$53))*$F$54+F46</f>
        <v>1004.7949790795</v>
      </c>
      <c r="H46" s="0" t="s">
        <v>39</v>
      </c>
      <c r="I46" s="0" t="n">
        <v>1166</v>
      </c>
      <c r="J46" s="94" t="n">
        <f aca="false">(I46/SUM($I$28:$I$54))*$I$55+I46</f>
        <v>1199.33270157151</v>
      </c>
      <c r="U46" s="124" t="n">
        <v>5</v>
      </c>
      <c r="V46" s="120" t="n">
        <f aca="false">P35/N35</f>
        <v>0.0192597267686265</v>
      </c>
      <c r="W46" s="101" t="n">
        <f aca="false">(V46*U46)/(1+(U46-S35)*V46)</f>
        <v>0.0918749192395255</v>
      </c>
      <c r="X46" s="125" t="n">
        <f aca="false">1-W46</f>
        <v>0.908125080760475</v>
      </c>
      <c r="Y46" s="102" t="n">
        <f aca="false">Y45-Z45</f>
        <v>82786.2961336777</v>
      </c>
      <c r="Z46" s="102" t="n">
        <f aca="false">Y46*W46</f>
        <v>7605.98427142108</v>
      </c>
      <c r="AA46" s="103" t="n">
        <f aca="false">Y47*U46+Z46*S35</f>
        <v>394916.519989836</v>
      </c>
      <c r="AB46" s="126" t="n">
        <f aca="false">AA46+AB47</f>
        <v>1520819.99414839</v>
      </c>
      <c r="AC46" s="126" t="n">
        <f aca="false">AB46/Y46</f>
        <v>18.3704316435738</v>
      </c>
      <c r="AD46" s="105" t="n">
        <f aca="false">Z46*(R35/P35)</f>
        <v>29.05750433409</v>
      </c>
      <c r="AE46" s="106" t="n">
        <f aca="false">+AE45+5</f>
        <v>65</v>
      </c>
      <c r="AF46" s="104" t="n">
        <f aca="false">AD46*($AC$32-AE46-S35)</f>
        <v>281.626764060064</v>
      </c>
      <c r="AG46" s="127" t="n">
        <f aca="false">AF46/Y46</f>
        <v>0.00340185244675414</v>
      </c>
    </row>
    <row r="47" customFormat="false" ht="13.8" hidden="false" customHeight="false" outlineLevel="0" collapsed="false">
      <c r="A47" s="92" t="n">
        <v>43</v>
      </c>
      <c r="B47" s="93" t="n">
        <v>24936.9997787203</v>
      </c>
      <c r="C47" s="93" t="n">
        <v>26759.5964169156</v>
      </c>
      <c r="E47" s="0" t="s">
        <v>109</v>
      </c>
      <c r="F47" s="0" t="n">
        <v>1063</v>
      </c>
      <c r="G47" s="94" t="n">
        <f aca="false">(F47/SUM($F$28:$F$53))*$F$54+F47</f>
        <v>1065.96513249651</v>
      </c>
      <c r="H47" s="0" t="s">
        <v>109</v>
      </c>
      <c r="I47" s="0" t="n">
        <v>1222</v>
      </c>
      <c r="J47" s="94" t="n">
        <f aca="false">(I47/SUM($I$28:$I$54))*$I$55+I47</f>
        <v>1256.93358603806</v>
      </c>
      <c r="U47" s="124" t="n">
        <v>5</v>
      </c>
      <c r="V47" s="120" t="n">
        <f aca="false">P36/N36</f>
        <v>0.0299407447454025</v>
      </c>
      <c r="W47" s="101" t="n">
        <f aca="false">(V47*U47)/(1+(U47-S36)*V47)</f>
        <v>0.139278470865247</v>
      </c>
      <c r="X47" s="125" t="n">
        <f aca="false">1-W47</f>
        <v>0.860721529134753</v>
      </c>
      <c r="Y47" s="102" t="n">
        <f aca="false">Y46-Z46</f>
        <v>75180.3118622566</v>
      </c>
      <c r="Z47" s="102" t="n">
        <f aca="false">Y47*W47</f>
        <v>10470.9988753475</v>
      </c>
      <c r="AA47" s="103" t="n">
        <f aca="false">Y48*U47+Z47*S36</f>
        <v>349724.062122914</v>
      </c>
      <c r="AB47" s="126" t="n">
        <f aca="false">AA47+AB48</f>
        <v>1125903.47415855</v>
      </c>
      <c r="AC47" s="126" t="n">
        <f aca="false">AB47/Y47</f>
        <v>14.9760415495669</v>
      </c>
      <c r="AD47" s="105" t="n">
        <f aca="false">Z47*(R36/P36)</f>
        <v>11.4712115966515</v>
      </c>
      <c r="AE47" s="106" t="n">
        <f aca="false">+AE46+5</f>
        <v>70</v>
      </c>
      <c r="AF47" s="104" t="n">
        <f aca="false">AD47*($AC$32-AE47-S36)</f>
        <v>53.8234901523727</v>
      </c>
      <c r="AG47" s="127" t="n">
        <f aca="false">AF47/Y47</f>
        <v>0.00071592533762013</v>
      </c>
    </row>
    <row r="48" customFormat="false" ht="13.8" hidden="false" customHeight="false" outlineLevel="0" collapsed="false">
      <c r="A48" s="92" t="n">
        <v>44</v>
      </c>
      <c r="B48" s="93" t="n">
        <v>24559.1675668766</v>
      </c>
      <c r="C48" s="93" t="n">
        <v>26320.514945951</v>
      </c>
      <c r="E48" s="0" t="s">
        <v>111</v>
      </c>
      <c r="F48" s="0" t="n">
        <v>1057</v>
      </c>
      <c r="G48" s="94" t="n">
        <f aca="false">(F48/SUM($F$28:$F$53))*$F$54+F48</f>
        <v>1059.94839609484</v>
      </c>
      <c r="H48" s="0" t="s">
        <v>111</v>
      </c>
      <c r="I48" s="0" t="n">
        <v>1115</v>
      </c>
      <c r="J48" s="94" t="n">
        <f aca="false">(I48/SUM($I$28:$I$54))*$I$55+I48</f>
        <v>1146.87475321804</v>
      </c>
      <c r="U48" s="124" t="n">
        <v>5</v>
      </c>
      <c r="V48" s="120" t="n">
        <f aca="false">P37/N37</f>
        <v>0.0451096605372003</v>
      </c>
      <c r="W48" s="101" t="n">
        <f aca="false">(V48*U48)/(1+(U48-S37)*V48)</f>
        <v>0.202690098807371</v>
      </c>
      <c r="X48" s="125" t="n">
        <f aca="false">1-W48</f>
        <v>0.797309901192629</v>
      </c>
      <c r="Y48" s="102" t="n">
        <f aca="false">Y47-Z47</f>
        <v>64709.3129869092</v>
      </c>
      <c r="Z48" s="102" t="n">
        <f aca="false">Y48*W48</f>
        <v>13115.9370430737</v>
      </c>
      <c r="AA48" s="103" t="n">
        <f aca="false">Y49*U48+Z48*S37</f>
        <v>290756.722326861</v>
      </c>
      <c r="AB48" s="126" t="n">
        <f aca="false">AA48+AB49</f>
        <v>776179.412035636</v>
      </c>
      <c r="AC48" s="126" t="n">
        <f aca="false">AB48/Y48</f>
        <v>11.9948640498263</v>
      </c>
      <c r="AD48" s="105" t="n">
        <f aca="false">Z48*(R37/P37)</f>
        <v>13.544249901143</v>
      </c>
      <c r="AE48" s="106" t="n">
        <f aca="false">+AE47+5</f>
        <v>75</v>
      </c>
      <c r="AF48" s="104"/>
      <c r="AG48" s="129"/>
    </row>
    <row r="49" customFormat="false" ht="13.8" hidden="false" customHeight="false" outlineLevel="0" collapsed="false">
      <c r="A49" s="92" t="n">
        <v>45</v>
      </c>
      <c r="B49" s="93" t="n">
        <v>24074.746770843</v>
      </c>
      <c r="C49" s="93" t="n">
        <v>25766.1888449002</v>
      </c>
      <c r="E49" s="0" t="s">
        <v>112</v>
      </c>
      <c r="F49" s="0" t="n">
        <v>907</v>
      </c>
      <c r="G49" s="94" t="n">
        <f aca="false">(F49/SUM($F$28:$F$53))*$F$54+F49</f>
        <v>909.529986052999</v>
      </c>
      <c r="H49" s="0" t="s">
        <v>112</v>
      </c>
      <c r="I49" s="0" t="n">
        <v>783</v>
      </c>
      <c r="J49" s="94" t="n">
        <f aca="false">(I49/SUM($I$28:$I$54))*$I$55+I49</f>
        <v>805.383795309169</v>
      </c>
      <c r="U49" s="124" t="n">
        <v>5</v>
      </c>
      <c r="V49" s="120" t="n">
        <f aca="false">P38/N38</f>
        <v>0.0708218096142671</v>
      </c>
      <c r="W49" s="101" t="n">
        <f aca="false">(V49*U49)/(1+(U49-S38)*V49)</f>
        <v>0.300843368629374</v>
      </c>
      <c r="X49" s="125" t="n">
        <f aca="false">1-W49</f>
        <v>0.699156631370625</v>
      </c>
      <c r="Y49" s="102" t="n">
        <f aca="false">Y48-Z48</f>
        <v>51593.3759438354</v>
      </c>
      <c r="Z49" s="102" t="n">
        <f aca="false">Y49*W49</f>
        <v>15521.5250179052</v>
      </c>
      <c r="AA49" s="103" t="n">
        <f aca="false">Y50*U49+Z49*S38</f>
        <v>219163.067174414</v>
      </c>
      <c r="AB49" s="126" t="n">
        <f aca="false">AA49+AB50</f>
        <v>485422.689708775</v>
      </c>
      <c r="AC49" s="126" t="n">
        <f aca="false">AB49/Y49</f>
        <v>9.40862428225681</v>
      </c>
      <c r="AD49" s="105" t="n">
        <f aca="false">Z49*(R38/P38)</f>
        <v>16.1193788042709</v>
      </c>
      <c r="AE49" s="106" t="n">
        <f aca="false">+AE48+5</f>
        <v>80</v>
      </c>
      <c r="AF49" s="104"/>
      <c r="AG49" s="129"/>
    </row>
    <row r="50" customFormat="false" ht="13.8" hidden="false" customHeight="false" outlineLevel="0" collapsed="false">
      <c r="A50" s="92" t="n">
        <v>46</v>
      </c>
      <c r="B50" s="93" t="n">
        <v>23486.1200395574</v>
      </c>
      <c r="C50" s="93" t="n">
        <v>25100.1168703762</v>
      </c>
      <c r="E50" s="0" t="s">
        <v>138</v>
      </c>
      <c r="F50" s="0" t="n">
        <v>505</v>
      </c>
      <c r="G50" s="94" t="n">
        <f aca="false">(F50/SUM($F$28:$F$53))*$F$54+F50</f>
        <v>506.408647140865</v>
      </c>
      <c r="H50" s="0" t="s">
        <v>138</v>
      </c>
      <c r="I50" s="0" t="n">
        <v>399</v>
      </c>
      <c r="J50" s="94" t="n">
        <f aca="false">(I50/SUM($I$28:$I$54))*$I$55+I50</f>
        <v>410.406301824212</v>
      </c>
      <c r="U50" s="124" t="n">
        <v>5</v>
      </c>
      <c r="V50" s="120" t="n">
        <f aca="false">P39/N39</f>
        <v>0.112396682852326</v>
      </c>
      <c r="W50" s="101" t="n">
        <f aca="false">(V50*U50)/(1+(U50-S39)*V50)</f>
        <v>0.438709642797273</v>
      </c>
      <c r="X50" s="125" t="n">
        <f aca="false">1-W50</f>
        <v>0.561290357202727</v>
      </c>
      <c r="Y50" s="102" t="n">
        <f aca="false">Y49-Z49</f>
        <v>36071.8509259302</v>
      </c>
      <c r="Z50" s="102" t="n">
        <f aca="false">Y50*W50</f>
        <v>15825.0688347514</v>
      </c>
      <c r="AA50" s="103" t="n">
        <f aca="false">Y51*U50+Z50*S39</f>
        <v>140796.582542773</v>
      </c>
      <c r="AB50" s="126" t="n">
        <f aca="false">AA50+AB51</f>
        <v>266259.62253436</v>
      </c>
      <c r="AC50" s="126" t="n">
        <f aca="false">AB50/Y50</f>
        <v>7.38136845489566</v>
      </c>
      <c r="AD50" s="105" t="n">
        <f aca="false">Z50*(R39/P39)</f>
        <v>0</v>
      </c>
      <c r="AE50" s="106" t="n">
        <f aca="false">+AE49+5</f>
        <v>85</v>
      </c>
      <c r="AF50" s="104"/>
      <c r="AG50" s="129"/>
    </row>
    <row r="51" customFormat="false" ht="13.8" hidden="false" customHeight="false" outlineLevel="0" collapsed="false">
      <c r="A51" s="92" t="n">
        <v>47</v>
      </c>
      <c r="B51" s="93" t="n">
        <v>22798.8394556797</v>
      </c>
      <c r="C51" s="93" t="n">
        <v>24338.4513100534</v>
      </c>
      <c r="E51" s="0" t="s">
        <v>139</v>
      </c>
      <c r="F51" s="0" t="n">
        <v>186</v>
      </c>
      <c r="G51" s="94" t="n">
        <f aca="false">(F51/SUM($F$28:$F$53))*$F$54+F51</f>
        <v>186.518828451883</v>
      </c>
      <c r="H51" s="0" t="s">
        <v>139</v>
      </c>
      <c r="I51" s="0" t="n">
        <v>136</v>
      </c>
      <c r="J51" s="94" t="n">
        <f aca="false">(I51/SUM($I$28:$I$54))*$I$55+I51</f>
        <v>139.887862275922</v>
      </c>
      <c r="U51" s="124" t="n">
        <v>5</v>
      </c>
      <c r="V51" s="120" t="n">
        <f aca="false">P40/N40</f>
        <v>0.147803741282166</v>
      </c>
      <c r="W51" s="101" t="n">
        <f aca="false">(V51*U51)/(1+(U51-S40)*V51)</f>
        <v>0.539622971308019</v>
      </c>
      <c r="X51" s="125" t="n">
        <f aca="false">1-W51</f>
        <v>0.460377028691981</v>
      </c>
      <c r="Y51" s="102" t="n">
        <f aca="false">Y50-Z50</f>
        <v>20246.7820911789</v>
      </c>
      <c r="Z51" s="102" t="n">
        <f aca="false">Y51*W51</f>
        <v>10925.6287114679</v>
      </c>
      <c r="AA51" s="103" t="n">
        <f aca="false">Y52*U51+Z51*S40</f>
        <v>73919.8386772246</v>
      </c>
      <c r="AB51" s="126" t="n">
        <f aca="false">AA51+AB52</f>
        <v>125463.039991587</v>
      </c>
      <c r="AC51" s="126" t="n">
        <f aca="false">AB51/Y51</f>
        <v>6.1966903889507</v>
      </c>
      <c r="AD51" s="105" t="n">
        <f aca="false">Z51*(R40/P40)</f>
        <v>0</v>
      </c>
      <c r="AE51" s="106" t="n">
        <f aca="false">+AE50+5</f>
        <v>90</v>
      </c>
      <c r="AF51" s="104"/>
      <c r="AG51" s="129"/>
    </row>
    <row r="52" customFormat="false" ht="13.8" hidden="false" customHeight="false" outlineLevel="0" collapsed="false">
      <c r="A52" s="92" t="n">
        <v>48</v>
      </c>
      <c r="B52" s="93" t="n">
        <v>22034.7173393869</v>
      </c>
      <c r="C52" s="93" t="n">
        <v>23507.9328809242</v>
      </c>
      <c r="E52" s="0" t="s">
        <v>140</v>
      </c>
      <c r="F52" s="0" t="n">
        <v>39</v>
      </c>
      <c r="G52" s="94" t="n">
        <f aca="false">(F52/SUM($F$28:$F$53))*$F$54+F52</f>
        <v>39.1087866108787</v>
      </c>
      <c r="H52" s="0" t="s">
        <v>140</v>
      </c>
      <c r="I52" s="0" t="n">
        <v>22</v>
      </c>
      <c r="J52" s="94" t="n">
        <f aca="false">(I52/SUM($I$28:$I$54))*$I$55+I52</f>
        <v>22.6289188975756</v>
      </c>
      <c r="U52" s="124" t="n">
        <v>5</v>
      </c>
      <c r="V52" s="120" t="n">
        <f aca="false">P41/N41</f>
        <v>0.175124888133339</v>
      </c>
      <c r="W52" s="101" t="n">
        <f aca="false">(V52*U52)/(1+(U52-S41)*V52)</f>
        <v>0.608997773341839</v>
      </c>
      <c r="X52" s="125" t="n">
        <f aca="false">1-W52</f>
        <v>0.391002226658161</v>
      </c>
      <c r="Y52" s="102" t="n">
        <f aca="false">Y51-Z51</f>
        <v>9321.15337971096</v>
      </c>
      <c r="Z52" s="102" t="n">
        <f aca="false">Y52*W52</f>
        <v>5676.56165322174</v>
      </c>
      <c r="AA52" s="103" t="n">
        <f aca="false">Y53*U52+Z52*S41</f>
        <v>32414.3627655005</v>
      </c>
      <c r="AB52" s="126" t="n">
        <f aca="false">AA52+AB53</f>
        <v>51543.2013143627</v>
      </c>
      <c r="AC52" s="126" t="n">
        <f aca="false">AB52/Y52</f>
        <v>5.52970208885899</v>
      </c>
      <c r="AD52" s="105" t="n">
        <f aca="false">Z52*(R41/P41)</f>
        <v>0</v>
      </c>
      <c r="AE52" s="106" t="n">
        <f aca="false">+AE51+5</f>
        <v>95</v>
      </c>
      <c r="AF52" s="104"/>
      <c r="AG52" s="129"/>
    </row>
    <row r="53" customFormat="false" ht="13.8" hidden="false" customHeight="false" outlineLevel="0" collapsed="false">
      <c r="A53" s="92" t="n">
        <v>49</v>
      </c>
      <c r="B53" s="93" t="n">
        <v>21214.2727471277</v>
      </c>
      <c r="C53" s="93" t="n">
        <v>22629.2162433319</v>
      </c>
      <c r="E53" s="0" t="s">
        <v>141</v>
      </c>
      <c r="F53" s="0" t="n">
        <v>9</v>
      </c>
      <c r="G53" s="94" t="n">
        <f aca="false">(F53/SUM($F$28:$F$53))*$F$54+F53</f>
        <v>9.02510460251046</v>
      </c>
      <c r="H53" s="0" t="s">
        <v>141</v>
      </c>
      <c r="I53" s="0" t="n">
        <v>6</v>
      </c>
      <c r="J53" s="94" t="n">
        <f aca="false">(I53/SUM($I$28:$I$54))*$I$55+I53</f>
        <v>6.17152333570244</v>
      </c>
      <c r="U53" s="121"/>
      <c r="V53" s="120" t="n">
        <f aca="false">P42/N42</f>
        <v>0.190528646952587</v>
      </c>
      <c r="W53" s="101" t="n">
        <v>1</v>
      </c>
      <c r="X53" s="125" t="n">
        <f aca="false">1-W53</f>
        <v>0</v>
      </c>
      <c r="Y53" s="102" t="n">
        <f aca="false">Y52-Z52</f>
        <v>3644.59172648922</v>
      </c>
      <c r="Z53" s="102" t="n">
        <f aca="false">Y53*W53</f>
        <v>3644.59172648922</v>
      </c>
      <c r="AA53" s="103" t="n">
        <f aca="false">Z53/V53</f>
        <v>19128.8385488623</v>
      </c>
      <c r="AB53" s="104" t="n">
        <f aca="false">AA53</f>
        <v>19128.8385488623</v>
      </c>
      <c r="AC53" s="126" t="n">
        <f aca="false">AB53/Y53</f>
        <v>5.24855456643665</v>
      </c>
      <c r="AD53" s="105" t="n">
        <f aca="false">Z53*(R42/P42)</f>
        <v>0</v>
      </c>
      <c r="AE53" s="106" t="n">
        <f aca="false">+AE52+5</f>
        <v>100</v>
      </c>
      <c r="AF53" s="104"/>
      <c r="AG53" s="129"/>
    </row>
    <row r="54" customFormat="false" ht="17.35" hidden="false" customHeight="false" outlineLevel="0" collapsed="false">
      <c r="A54" s="92" t="n">
        <v>50</v>
      </c>
      <c r="B54" s="93" t="n">
        <v>20352.4393316764</v>
      </c>
      <c r="C54" s="93" t="n">
        <v>21720.4442633461</v>
      </c>
      <c r="E54" s="0" t="s">
        <v>114</v>
      </c>
      <c r="F54" s="0" t="n">
        <v>26</v>
      </c>
      <c r="H54" s="0" t="s">
        <v>142</v>
      </c>
      <c r="I54" s="0" t="n">
        <v>1</v>
      </c>
      <c r="J54" s="94" t="n">
        <f aca="false">(I54/SUM($I$28:$I$54))*$I$55+I54</f>
        <v>1.02858722261707</v>
      </c>
      <c r="AF54" s="130" t="n">
        <f aca="false">SUM(AF32:AF47)</f>
        <v>20863.3703488085</v>
      </c>
      <c r="AG54" s="131" t="n">
        <f aca="false">SUM(AG32:AG47)</f>
        <v>0.215837872688042</v>
      </c>
    </row>
    <row r="55" customFormat="false" ht="13.8" hidden="false" customHeight="false" outlineLevel="0" collapsed="false">
      <c r="A55" s="92" t="n">
        <v>51</v>
      </c>
      <c r="B55" s="93" t="n">
        <v>19464.1134738707</v>
      </c>
      <c r="C55" s="93" t="n">
        <v>20804.1045719441</v>
      </c>
      <c r="H55" s="0" t="s">
        <v>114</v>
      </c>
      <c r="I55" s="0" t="n">
        <v>362</v>
      </c>
    </row>
    <row r="56" customFormat="false" ht="13.8" hidden="false" customHeight="false" outlineLevel="0" collapsed="false">
      <c r="A56" s="92" t="n">
        <v>52</v>
      </c>
      <c r="B56" s="93" t="n">
        <v>18569.6259445747</v>
      </c>
      <c r="C56" s="93" t="n">
        <v>19902.7589791986</v>
      </c>
    </row>
    <row r="57" customFormat="false" ht="13.8" hidden="false" customHeight="false" outlineLevel="0" collapsed="false">
      <c r="A57" s="92" t="n">
        <v>53</v>
      </c>
      <c r="B57" s="93" t="n">
        <v>17688.1713882708</v>
      </c>
      <c r="C57" s="93" t="n">
        <v>19030.4205666777</v>
      </c>
    </row>
    <row r="58" customFormat="false" ht="13.8" hidden="false" customHeight="false" outlineLevel="0" collapsed="false">
      <c r="A58" s="92" t="n">
        <v>54</v>
      </c>
      <c r="B58" s="93" t="n">
        <v>16830.2699606247</v>
      </c>
      <c r="C58" s="93" t="n">
        <v>18187.3626151504</v>
      </c>
    </row>
    <row r="59" customFormat="false" ht="13.8" hidden="false" customHeight="false" outlineLevel="0" collapsed="false">
      <c r="A59" s="92" t="n">
        <v>55</v>
      </c>
      <c r="B59" s="93" t="n">
        <v>15998.343478764</v>
      </c>
      <c r="C59" s="93" t="n">
        <v>17362.7079574431</v>
      </c>
    </row>
    <row r="60" customFormat="false" ht="13.8" hidden="false" customHeight="false" outlineLevel="0" collapsed="false">
      <c r="A60" s="92" t="n">
        <v>56</v>
      </c>
      <c r="B60" s="93" t="n">
        <v>15188.2102350492</v>
      </c>
      <c r="C60" s="93" t="n">
        <v>16547.115712336</v>
      </c>
    </row>
    <row r="61" customFormat="false" ht="13.8" hidden="false" customHeight="false" outlineLevel="0" collapsed="false">
      <c r="A61" s="92" t="n">
        <v>57</v>
      </c>
      <c r="B61" s="93" t="n">
        <v>14393.8650534564</v>
      </c>
      <c r="C61" s="93" t="n">
        <v>15738.3770484374</v>
      </c>
    </row>
    <row r="62" customFormat="false" ht="13.8" hidden="false" customHeight="false" outlineLevel="0" collapsed="false">
      <c r="A62" s="92" t="n">
        <v>58</v>
      </c>
      <c r="B62" s="93" t="n">
        <v>13610.5102285269</v>
      </c>
      <c r="C62" s="93" t="n">
        <v>14937.295803403</v>
      </c>
    </row>
    <row r="63" customFormat="false" ht="13.8" hidden="false" customHeight="false" outlineLevel="0" collapsed="false">
      <c r="A63" s="92" t="n">
        <v>59</v>
      </c>
      <c r="B63" s="93" t="n">
        <v>12840.865819949</v>
      </c>
      <c r="C63" s="93" t="n">
        <v>14147.7490207574</v>
      </c>
    </row>
    <row r="64" customFormat="false" ht="13.8" hidden="false" customHeight="false" outlineLevel="0" collapsed="false">
      <c r="A64" s="92" t="n">
        <v>60</v>
      </c>
      <c r="B64" s="93" t="n">
        <v>12095.4373044689</v>
      </c>
      <c r="C64" s="93" t="n">
        <v>13379.2930723253</v>
      </c>
    </row>
    <row r="65" customFormat="false" ht="13.8" hidden="false" customHeight="false" outlineLevel="0" collapsed="false">
      <c r="A65" s="92" t="n">
        <v>61</v>
      </c>
      <c r="B65" s="93" t="n">
        <v>11382.5570454463</v>
      </c>
      <c r="C65" s="93" t="n">
        <v>12639.3065480908</v>
      </c>
    </row>
    <row r="66" customFormat="false" ht="13.8" hidden="false" customHeight="false" outlineLevel="0" collapsed="false">
      <c r="A66" s="92" t="n">
        <v>62</v>
      </c>
      <c r="B66" s="93" t="n">
        <v>10704.6253300611</v>
      </c>
      <c r="C66" s="93" t="n">
        <v>11928.6932253946</v>
      </c>
    </row>
    <row r="67" customFormat="false" ht="13.8" hidden="false" customHeight="false" outlineLevel="0" collapsed="false">
      <c r="A67" s="92" t="n">
        <v>63</v>
      </c>
      <c r="B67" s="93" t="n">
        <v>10063.1730951728</v>
      </c>
      <c r="C67" s="93" t="n">
        <v>11251.0217594906</v>
      </c>
    </row>
    <row r="68" customFormat="false" ht="13.8" hidden="false" customHeight="false" outlineLevel="0" collapsed="false">
      <c r="A68" s="92" t="n">
        <v>64</v>
      </c>
      <c r="B68" s="93" t="n">
        <v>9462.04713674366</v>
      </c>
      <c r="C68" s="93" t="n">
        <v>10612.6015188479</v>
      </c>
    </row>
    <row r="69" customFormat="false" ht="13.8" hidden="false" customHeight="false" outlineLevel="0" collapsed="false">
      <c r="A69" s="92" t="n">
        <v>65</v>
      </c>
      <c r="B69" s="93" t="n">
        <v>8901.56078229591</v>
      </c>
      <c r="C69" s="93" t="n">
        <v>10016.188641116</v>
      </c>
    </row>
    <row r="70" customFormat="false" ht="13.8" hidden="false" customHeight="false" outlineLevel="0" collapsed="false">
      <c r="A70" s="92" t="n">
        <v>66</v>
      </c>
      <c r="B70" s="93" t="n">
        <v>8380.57979673327</v>
      </c>
      <c r="C70" s="93" t="n">
        <v>9460.60326624535</v>
      </c>
    </row>
    <row r="71" customFormat="false" ht="13.8" hidden="false" customHeight="false" outlineLevel="0" collapsed="false">
      <c r="A71" s="92" t="n">
        <v>67</v>
      </c>
      <c r="B71" s="93" t="n">
        <v>7900.34065990292</v>
      </c>
      <c r="C71" s="93" t="n">
        <v>8943.32517909706</v>
      </c>
    </row>
    <row r="72" customFormat="false" ht="13.8" hidden="false" customHeight="false" outlineLevel="0" collapsed="false">
      <c r="A72" s="92" t="n">
        <v>68</v>
      </c>
      <c r="B72" s="93" t="n">
        <v>7463.22610733122</v>
      </c>
      <c r="C72" s="93" t="n">
        <v>8459.88056866282</v>
      </c>
    </row>
    <row r="73" customFormat="false" ht="13.8" hidden="false" customHeight="false" outlineLevel="0" collapsed="false">
      <c r="A73" s="92" t="n">
        <v>69</v>
      </c>
      <c r="B73" s="93" t="n">
        <v>7044.57284514108</v>
      </c>
      <c r="C73" s="93" t="n">
        <v>8001.45229610717</v>
      </c>
    </row>
    <row r="74" customFormat="false" ht="13.8" hidden="false" customHeight="false" outlineLevel="0" collapsed="false">
      <c r="A74" s="92" t="n">
        <v>70</v>
      </c>
      <c r="B74" s="93" t="n">
        <v>6629.46797010374</v>
      </c>
      <c r="C74" s="93" t="n">
        <v>7558.54536035345</v>
      </c>
    </row>
    <row r="75" customFormat="false" ht="13.8" hidden="false" customHeight="false" outlineLevel="0" collapsed="false">
      <c r="A75" s="92" t="n">
        <v>71</v>
      </c>
      <c r="B75" s="93" t="n">
        <v>6240.04938697184</v>
      </c>
      <c r="C75" s="93" t="n">
        <v>7126.27638702871</v>
      </c>
    </row>
    <row r="76" customFormat="false" ht="13.8" hidden="false" customHeight="false" outlineLevel="0" collapsed="false">
      <c r="A76" s="92" t="n">
        <v>72</v>
      </c>
      <c r="B76" s="93" t="n">
        <v>5869.22123318055</v>
      </c>
      <c r="C76" s="93" t="n">
        <v>6703.11144617548</v>
      </c>
    </row>
    <row r="77" customFormat="false" ht="13.8" hidden="false" customHeight="false" outlineLevel="0" collapsed="false">
      <c r="A77" s="92" t="n">
        <v>73</v>
      </c>
      <c r="B77" s="93" t="n">
        <v>5503.11744025259</v>
      </c>
      <c r="C77" s="93" t="n">
        <v>6288.3404995442</v>
      </c>
    </row>
    <row r="78" customFormat="false" ht="13.8" hidden="false" customHeight="false" outlineLevel="0" collapsed="false">
      <c r="A78" s="92" t="n">
        <v>74</v>
      </c>
      <c r="B78" s="93" t="n">
        <v>5145.78542841441</v>
      </c>
      <c r="C78" s="93" t="n">
        <v>5883.17807149694</v>
      </c>
    </row>
    <row r="79" customFormat="false" ht="13.8" hidden="false" customHeight="false" outlineLevel="0" collapsed="false">
      <c r="A79" s="92" t="n">
        <v>75</v>
      </c>
      <c r="B79" s="93" t="n">
        <v>4796.34462101457</v>
      </c>
      <c r="C79" s="93" t="n">
        <v>5487.47349413843</v>
      </c>
    </row>
    <row r="80" customFormat="false" ht="13.8" hidden="false" customHeight="false" outlineLevel="0" collapsed="false">
      <c r="A80" s="92" t="n">
        <v>76</v>
      </c>
      <c r="B80" s="93" t="n">
        <v>4452.09452872937</v>
      </c>
      <c r="C80" s="93" t="n">
        <v>5098.89944172029</v>
      </c>
    </row>
    <row r="81" customFormat="false" ht="13.8" hidden="false" customHeight="false" outlineLevel="0" collapsed="false">
      <c r="A81" s="92" t="n">
        <v>77</v>
      </c>
      <c r="B81" s="93" t="n">
        <v>4110.95502397063</v>
      </c>
      <c r="C81" s="93" t="n">
        <v>4717.32424258094</v>
      </c>
    </row>
    <row r="82" customFormat="false" ht="13.8" hidden="false" customHeight="false" outlineLevel="0" collapsed="false">
      <c r="A82" s="92" t="n">
        <v>78</v>
      </c>
      <c r="B82" s="93" t="n">
        <v>3772.43946888582</v>
      </c>
      <c r="C82" s="93" t="n">
        <v>4344.55465900795</v>
      </c>
    </row>
    <row r="83" customFormat="false" ht="13.8" hidden="false" customHeight="false" outlineLevel="0" collapsed="false">
      <c r="A83" s="92" t="n">
        <v>79</v>
      </c>
      <c r="B83" s="93" t="n">
        <v>3439.73340246736</v>
      </c>
      <c r="C83" s="93" t="n">
        <v>3982.27696286221</v>
      </c>
    </row>
    <row r="84" customFormat="false" ht="13.8" hidden="false" customHeight="false" outlineLevel="0" collapsed="false">
      <c r="A84" s="92" t="n">
        <v>80</v>
      </c>
      <c r="B84" s="93" t="n">
        <v>3117.24640501431</v>
      </c>
      <c r="C84" s="93" t="n">
        <v>3632.14770042206</v>
      </c>
    </row>
    <row r="85" customFormat="false" ht="13.8" hidden="false" customHeight="false" outlineLevel="0" collapsed="false">
      <c r="A85" s="92" t="n">
        <v>81</v>
      </c>
      <c r="B85" s="93" t="n">
        <v>2807.15760628826</v>
      </c>
      <c r="C85" s="93" t="n">
        <v>3296.35949454467</v>
      </c>
    </row>
    <row r="86" customFormat="false" ht="13.8" hidden="false" customHeight="false" outlineLevel="0" collapsed="false">
      <c r="A86" s="92" t="n">
        <v>82</v>
      </c>
      <c r="B86" s="93" t="n">
        <v>2510.63994152157</v>
      </c>
      <c r="C86" s="93" t="n">
        <v>2977.49929042974</v>
      </c>
    </row>
    <row r="87" customFormat="false" ht="13.8" hidden="false" customHeight="false" outlineLevel="0" collapsed="false">
      <c r="A87" s="92" t="n">
        <v>83</v>
      </c>
      <c r="B87" s="93" t="n">
        <v>2226.1232067135</v>
      </c>
      <c r="C87" s="93" t="n">
        <v>2674.72434634432</v>
      </c>
    </row>
    <row r="88" customFormat="false" ht="13.8" hidden="false" customHeight="false" outlineLevel="0" collapsed="false">
      <c r="A88" s="92" t="n">
        <v>84</v>
      </c>
      <c r="B88" s="93" t="n">
        <v>1957.6495235212</v>
      </c>
      <c r="C88" s="93" t="n">
        <v>2385.68137754724</v>
      </c>
    </row>
    <row r="89" customFormat="false" ht="13.8" hidden="false" customHeight="false" outlineLevel="0" collapsed="false">
      <c r="A89" s="92" t="n">
        <v>85</v>
      </c>
      <c r="B89" s="93" t="n">
        <v>1703.51994872562</v>
      </c>
      <c r="C89" s="93" t="n">
        <v>2108.55820130458</v>
      </c>
    </row>
    <row r="90" customFormat="false" ht="13.8" hidden="false" customHeight="false" outlineLevel="0" collapsed="false">
      <c r="A90" s="92" t="n">
        <v>86</v>
      </c>
      <c r="B90" s="93" t="n">
        <v>1465.88276247297</v>
      </c>
      <c r="C90" s="93" t="n">
        <v>1846.4745167985</v>
      </c>
    </row>
    <row r="91" customFormat="false" ht="13.8" hidden="false" customHeight="false" outlineLevel="0" collapsed="false">
      <c r="A91" s="92" t="n">
        <v>87</v>
      </c>
      <c r="B91" s="93" t="n">
        <v>1247.72987794043</v>
      </c>
      <c r="C91" s="93" t="n">
        <v>1600.75746398887</v>
      </c>
    </row>
    <row r="92" customFormat="false" ht="13.8" hidden="false" customHeight="false" outlineLevel="0" collapsed="false">
      <c r="A92" s="92" t="n">
        <v>88</v>
      </c>
      <c r="B92" s="93" t="n">
        <v>1050.54092217124</v>
      </c>
      <c r="C92" s="93" t="n">
        <v>1373.01364641577</v>
      </c>
    </row>
    <row r="93" customFormat="false" ht="13.8" hidden="false" customHeight="false" outlineLevel="0" collapsed="false">
      <c r="A93" s="92" t="n">
        <v>89</v>
      </c>
      <c r="B93" s="93" t="n">
        <v>873.083608447038</v>
      </c>
      <c r="C93" s="93" t="n">
        <v>1163.33877723092</v>
      </c>
    </row>
    <row r="94" customFormat="false" ht="13.8" hidden="false" customHeight="false" outlineLevel="0" collapsed="false">
      <c r="A94" s="92" t="n">
        <v>90</v>
      </c>
      <c r="B94" s="93" t="n">
        <v>718.745625905606</v>
      </c>
      <c r="C94" s="93" t="n">
        <v>976.955755279452</v>
      </c>
    </row>
    <row r="95" customFormat="false" ht="13.8" hidden="false" customHeight="false" outlineLevel="0" collapsed="false">
      <c r="A95" s="92" t="n">
        <v>91</v>
      </c>
      <c r="B95" s="93" t="n">
        <v>584.803739403649</v>
      </c>
      <c r="C95" s="93" t="n">
        <v>811.484259078915</v>
      </c>
    </row>
    <row r="96" customFormat="false" ht="13.8" hidden="false" customHeight="false" outlineLevel="0" collapsed="false">
      <c r="A96" s="92" t="n">
        <v>92</v>
      </c>
      <c r="B96" s="93" t="n">
        <v>470.424743698215</v>
      </c>
      <c r="C96" s="93" t="n">
        <v>666.200078028353</v>
      </c>
    </row>
    <row r="97" customFormat="false" ht="13.8" hidden="false" customHeight="false" outlineLevel="0" collapsed="false">
      <c r="A97" s="92" t="n">
        <v>93</v>
      </c>
      <c r="B97" s="93" t="n">
        <v>374.262690058514</v>
      </c>
      <c r="C97" s="93" t="n">
        <v>539.897133378457</v>
      </c>
    </row>
    <row r="98" customFormat="false" ht="13.8" hidden="false" customHeight="false" outlineLevel="0" collapsed="false">
      <c r="A98" s="92" t="n">
        <v>94</v>
      </c>
      <c r="B98" s="93" t="n">
        <v>293.989289622897</v>
      </c>
      <c r="C98" s="93" t="n">
        <v>431.686242922954</v>
      </c>
    </row>
    <row r="99" customFormat="false" ht="13.8" hidden="false" customHeight="false" outlineLevel="0" collapsed="false">
      <c r="A99" s="92" t="n">
        <v>95</v>
      </c>
      <c r="B99" s="93" t="n">
        <v>227.566237999951</v>
      </c>
      <c r="C99" s="93" t="n">
        <v>340.109340878942</v>
      </c>
    </row>
    <row r="100" customFormat="false" ht="13.8" hidden="false" customHeight="false" outlineLevel="0" collapsed="false">
      <c r="A100" s="92" t="n">
        <v>96</v>
      </c>
      <c r="B100" s="93" t="n">
        <v>173.432499022266</v>
      </c>
      <c r="C100" s="93" t="n">
        <v>263.584971374354</v>
      </c>
    </row>
    <row r="101" customFormat="false" ht="13.8" hidden="false" customHeight="false" outlineLevel="0" collapsed="false">
      <c r="A101" s="92" t="n">
        <v>97</v>
      </c>
      <c r="B101" s="93" t="n">
        <v>129.923160757007</v>
      </c>
      <c r="C101" s="93" t="n">
        <v>200.801674640768</v>
      </c>
    </row>
    <row r="102" customFormat="false" ht="13.8" hidden="false" customHeight="false" outlineLevel="0" collapsed="false">
      <c r="A102" s="92" t="n">
        <v>98</v>
      </c>
      <c r="B102" s="93" t="n">
        <v>95.462324730299</v>
      </c>
      <c r="C102" s="93" t="n">
        <v>150.215175515011</v>
      </c>
    </row>
    <row r="103" customFormat="false" ht="13.8" hidden="false" customHeight="false" outlineLevel="0" collapsed="false">
      <c r="A103" s="92" t="n">
        <v>99</v>
      </c>
      <c r="B103" s="93" t="n">
        <v>68.7887715398564</v>
      </c>
      <c r="C103" s="93" t="n">
        <v>110.350636858821</v>
      </c>
    </row>
    <row r="104" customFormat="false" ht="13.8" hidden="false" customHeight="false" outlineLevel="0" collapsed="false">
      <c r="A104" s="92" t="n">
        <v>100</v>
      </c>
      <c r="B104" s="93" t="n">
        <v>48.7900988316838</v>
      </c>
      <c r="C104" s="93" t="n">
        <v>79.7623878277369</v>
      </c>
    </row>
    <row r="105" customFormat="false" ht="13.8" hidden="false" customHeight="false" outlineLevel="0" collapsed="false">
      <c r="A105" s="92" t="n">
        <v>101</v>
      </c>
      <c r="B105" s="93" t="n">
        <v>34.1546453702671</v>
      </c>
      <c r="C105" s="93" t="n">
        <v>56.8302525628579</v>
      </c>
    </row>
    <row r="106" customFormat="false" ht="13.8" hidden="false" customHeight="false" outlineLevel="0" collapsed="false">
      <c r="A106" s="92" t="n">
        <v>102</v>
      </c>
      <c r="B106" s="93" t="n">
        <v>23.5868899676601</v>
      </c>
      <c r="C106" s="93" t="n">
        <v>39.9295557340791</v>
      </c>
    </row>
    <row r="107" customFormat="false" ht="13.8" hidden="false" customHeight="false" outlineLevel="0" collapsed="false">
      <c r="A107" s="92" t="n">
        <v>103</v>
      </c>
      <c r="B107" s="93" t="n">
        <v>16.0595747852587</v>
      </c>
      <c r="C107" s="93" t="n">
        <v>27.6448503755657</v>
      </c>
    </row>
    <row r="108" customFormat="false" ht="13.8" hidden="false" customHeight="false" outlineLevel="0" collapsed="false">
      <c r="A108" s="92" t="n">
        <v>104</v>
      </c>
      <c r="B108" s="93" t="n">
        <v>10.7403066650723</v>
      </c>
      <c r="C108" s="93" t="n">
        <v>18.807107728672</v>
      </c>
    </row>
    <row r="109" customFormat="false" ht="13.8" hidden="false" customHeight="false" outlineLevel="0" collapsed="false">
      <c r="A109" s="92" t="n">
        <v>105</v>
      </c>
      <c r="B109" s="93" t="n">
        <v>7.01561286404175</v>
      </c>
      <c r="C109" s="93" t="n">
        <v>12.4753395056556</v>
      </c>
    </row>
    <row r="110" customFormat="false" ht="13.8" hidden="false" customHeight="false" outlineLevel="0" collapsed="false">
      <c r="A110" s="92" t="n">
        <v>106</v>
      </c>
      <c r="B110" s="93" t="n">
        <v>4.45500455019586</v>
      </c>
      <c r="C110" s="93" t="n">
        <v>7.99211856378693</v>
      </c>
    </row>
    <row r="111" customFormat="false" ht="13.8" hidden="false" customHeight="false" outlineLevel="0" collapsed="false">
      <c r="A111" s="92" t="n">
        <v>107</v>
      </c>
      <c r="B111" s="93" t="n">
        <v>2.78220739603399</v>
      </c>
      <c r="C111" s="93" t="n">
        <v>5.00294961521196</v>
      </c>
    </row>
    <row r="112" customFormat="false" ht="13.8" hidden="false" customHeight="false" outlineLevel="0" collapsed="false">
      <c r="A112" s="92" t="n">
        <v>108</v>
      </c>
      <c r="B112" s="93" t="n">
        <v>1.71253532699267</v>
      </c>
      <c r="C112" s="93" t="n">
        <v>3.08141780334132</v>
      </c>
    </row>
    <row r="113" customFormat="false" ht="13.8" hidden="false" customHeight="false" outlineLevel="0" collapsed="false">
      <c r="A113" s="92" t="n">
        <v>109</v>
      </c>
      <c r="B113" s="93" t="n">
        <v>0.612044999159118</v>
      </c>
      <c r="C113" s="93" t="n">
        <v>1.10737481149108</v>
      </c>
    </row>
  </sheetData>
  <mergeCells count="5">
    <mergeCell ref="U4:AG4"/>
    <mergeCell ref="M19:N19"/>
    <mergeCell ref="O19:P19"/>
    <mergeCell ref="Q19:R19"/>
    <mergeCell ref="U30:AG30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32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2017-10-29T19:57:25Z</dcterms:created>
  <dc:creator>angel montoya</dc:creator>
  <dc:description/>
  <dc:language>en-US</dc:language>
  <cp:lastModifiedBy/>
  <dcterms:modified xsi:type="dcterms:W3CDTF">2017-11-02T10:24:46Z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