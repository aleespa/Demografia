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2" firstSheet="0" activeTab="4"/>
  </bookViews>
  <sheets>
    <sheet name="Hoja1" sheetId="1" state="visible" r:id="rId2"/>
    <sheet name="Piramide poblacional" sheetId="2" state="visible" r:id="rId3"/>
    <sheet name="Interpolacion de beers" sheetId="3" state="visible" r:id="rId4"/>
    <sheet name="Hoja2" sheetId="4" state="visible" r:id="rId5"/>
    <sheet name="Sheet5" sheetId="5" state="visible" r:id="rId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<sst xmlns="http://schemas.openxmlformats.org/spreadsheetml/2006/main" count="317" uniqueCount="128">
  <si>
    <t xml:space="preserve">Grupos quinquenales de edad</t>
  </si>
  <si>
    <t xml:space="preserve">Población total</t>
  </si>
  <si>
    <t xml:space="preserve">Hombres</t>
  </si>
  <si>
    <t xml:space="preserve">Mujeres</t>
  </si>
  <si>
    <t xml:space="preserve">00-04 años</t>
  </si>
  <si>
    <t xml:space="preserve">05-09 años</t>
  </si>
  <si>
    <t xml:space="preserve">10-14 años</t>
  </si>
  <si>
    <t xml:space="preserve">15-19 años</t>
  </si>
  <si>
    <t xml:space="preserve">20-24 años</t>
  </si>
  <si>
    <t xml:space="preserve">25-29 años</t>
  </si>
  <si>
    <t xml:space="preserve">30-34 años</t>
  </si>
  <si>
    <t xml:space="preserve">35-39 años</t>
  </si>
  <si>
    <t xml:space="preserve">40-44 años</t>
  </si>
  <si>
    <t xml:space="preserve">45-49 años</t>
  </si>
  <si>
    <t xml:space="preserve">50-54 años</t>
  </si>
  <si>
    <t xml:space="preserve">55-59 años</t>
  </si>
  <si>
    <t xml:space="preserve">60-64 años</t>
  </si>
  <si>
    <t xml:space="preserve">65-69 años</t>
  </si>
  <si>
    <t xml:space="preserve">70-74 años</t>
  </si>
  <si>
    <t xml:space="preserve">75 años y más</t>
  </si>
  <si>
    <t xml:space="preserve">No especificado</t>
  </si>
  <si>
    <t xml:space="preserve">Población quinquenal de Chihuahua.</t>
  </si>
  <si>
    <t xml:space="preserve">Distribuyendo no especificados</t>
  </si>
  <si>
    <t xml:space="preserve">Porcentajes</t>
  </si>
  <si>
    <t xml:space="preserve">Edad</t>
  </si>
  <si>
    <t xml:space="preserve">De 0 a 4 años</t>
  </si>
  <si>
    <t xml:space="preserve">De 5 a 9 años</t>
  </si>
  <si>
    <t xml:space="preserve">De 10 a 14 años</t>
  </si>
  <si>
    <t xml:space="preserve">De 15 a 19 años</t>
  </si>
  <si>
    <t xml:space="preserve">De 20 a 24 años</t>
  </si>
  <si>
    <t xml:space="preserve">De 25 a 29 años</t>
  </si>
  <si>
    <t xml:space="preserve">De 30 a 34 años</t>
  </si>
  <si>
    <t xml:space="preserve">De 35 a 39 años</t>
  </si>
  <si>
    <t xml:space="preserve">De 40 a 44 años</t>
  </si>
  <si>
    <t xml:space="preserve">De 45 a 49 años</t>
  </si>
  <si>
    <t xml:space="preserve">De 50 a 54 años</t>
  </si>
  <si>
    <t xml:space="preserve">De 55 a 59 años</t>
  </si>
  <si>
    <t xml:space="preserve">De 60 a 64 años</t>
  </si>
  <si>
    <t xml:space="preserve">De 65 a 69 años</t>
  </si>
  <si>
    <t xml:space="preserve">De 70 a 74 años</t>
  </si>
  <si>
    <t xml:space="preserve">De 75 y más</t>
  </si>
  <si>
    <t xml:space="preserve">Interpolation Coefficients based on the Beers "Ordinary" Formula</t>
  </si>
  <si>
    <t xml:space="preserve">For subdivision of groups into fifiths</t>
  </si>
  <si>
    <t xml:space="preserve">Interpolated
subgroup</t>
  </si>
  <si>
    <t xml:space="preserve">Coefficients to be applied to</t>
  </si>
  <si>
    <t xml:space="preserve">G1</t>
  </si>
  <si>
    <t xml:space="preserve">G2</t>
  </si>
  <si>
    <t xml:space="preserve">G3</t>
  </si>
  <si>
    <t xml:space="preserve">G4</t>
  </si>
  <si>
    <t xml:space="preserve">G5</t>
  </si>
  <si>
    <t xml:space="preserve">First panel</t>
  </si>
  <si>
    <t xml:space="preserve">Población</t>
  </si>
  <si>
    <t xml:space="preserve">Pob</t>
  </si>
  <si>
    <t xml:space="preserve">1st fifth of G1</t>
  </si>
  <si>
    <t xml:space="preserve">2nd fifth of G1</t>
  </si>
  <si>
    <t xml:space="preserve">3th fifth of G1</t>
  </si>
  <si>
    <t xml:space="preserve">4th fifth of G1</t>
  </si>
  <si>
    <t xml:space="preserve">5th fifth of G1</t>
  </si>
  <si>
    <t xml:space="preserve">Next to first panel</t>
  </si>
  <si>
    <t xml:space="preserve">75 y mas</t>
  </si>
  <si>
    <t xml:space="preserve">1st fifth of G2</t>
  </si>
  <si>
    <t xml:space="preserve">2nd fifth of G2</t>
  </si>
  <si>
    <t xml:space="preserve">3th fifth of G2</t>
  </si>
  <si>
    <t xml:space="preserve">4th fifth of G2</t>
  </si>
  <si>
    <t xml:space="preserve">5th fifth of G2</t>
  </si>
  <si>
    <t xml:space="preserve">Middle panel</t>
  </si>
  <si>
    <t xml:space="preserve">1st fifth of G3</t>
  </si>
  <si>
    <t xml:space="preserve">2nd fifth of G3</t>
  </si>
  <si>
    <t xml:space="preserve">3th fifth of G3</t>
  </si>
  <si>
    <t xml:space="preserve">4th fifth of G3</t>
  </si>
  <si>
    <t xml:space="preserve">5th fifth of G3</t>
  </si>
  <si>
    <t xml:space="preserve">Next to last panel</t>
  </si>
  <si>
    <t xml:space="preserve">1st fifth of G4</t>
  </si>
  <si>
    <t xml:space="preserve">2nd fifth of G4</t>
  </si>
  <si>
    <t xml:space="preserve">3th fifth of G4</t>
  </si>
  <si>
    <t xml:space="preserve">4th fifth of G4</t>
  </si>
  <si>
    <t xml:space="preserve">5th fifth of G4</t>
  </si>
  <si>
    <t xml:space="preserve">Last panel</t>
  </si>
  <si>
    <t xml:space="preserve">1st fifth of G5</t>
  </si>
  <si>
    <t xml:space="preserve">2nd fifth of G5</t>
  </si>
  <si>
    <t xml:space="preserve">3th fifth of G5</t>
  </si>
  <si>
    <t xml:space="preserve">4th fifth of G5</t>
  </si>
  <si>
    <t xml:space="preserve">5th fifth of G5</t>
  </si>
  <si>
    <t xml:space="preserve">Source: Beers, Henry S. (1945) "Six-Term Formulas for Routine Actuarial 
Interpolation" in Discussion of Papers Presented in the Record, No.68, The 
Record of the American Institute of Actuaries, 34, Part I (69):59-60. </t>
  </si>
  <si>
    <t xml:space="preserve">Población interpolada por el metodo de Beers.</t>
  </si>
  <si>
    <t xml:space="preserve">Población corregida por el metodo de 1/16</t>
  </si>
  <si>
    <t xml:space="preserve">Defunciones</t>
  </si>
  <si>
    <t xml:space="preserve">Defunciones por agresiones</t>
  </si>
  <si>
    <t xml:space="preserve">ax</t>
  </si>
  <si>
    <t xml:space="preserve">1-4</t>
  </si>
  <si>
    <t xml:space="preserve">5-9</t>
  </si>
  <si>
    <t xml:space="preserve">10-14</t>
  </si>
  <si>
    <t xml:space="preserve">15-19</t>
  </si>
  <si>
    <t xml:space="preserve">20-24</t>
  </si>
  <si>
    <t xml:space="preserve">25-29</t>
  </si>
  <si>
    <t xml:space="preserve">30-34</t>
  </si>
  <si>
    <t xml:space="preserve">35-39</t>
  </si>
  <si>
    <t xml:space="preserve">40-44</t>
  </si>
  <si>
    <t xml:space="preserve">45-49</t>
  </si>
  <si>
    <t xml:space="preserve">50-54</t>
  </si>
  <si>
    <t xml:space="preserve">55-59</t>
  </si>
  <si>
    <t xml:space="preserve">60-64</t>
  </si>
  <si>
    <t xml:space="preserve">65-69</t>
  </si>
  <si>
    <t xml:space="preserve">70-74</t>
  </si>
  <si>
    <t xml:space="preserve">75-79</t>
  </si>
  <si>
    <t xml:space="preserve">DESCRIP</t>
  </si>
  <si>
    <t xml:space="preserve">TOTAL</t>
  </si>
  <si>
    <t xml:space="preserve">Corregida</t>
  </si>
  <si>
    <t xml:space="preserve">80-84</t>
  </si>
  <si>
    <t xml:space="preserve">Menores de un año</t>
  </si>
  <si>
    <t xml:space="preserve">85-89</t>
  </si>
  <si>
    <t xml:space="preserve">De un año</t>
  </si>
  <si>
    <t xml:space="preserve">90-94</t>
  </si>
  <si>
    <t xml:space="preserve">De 4 años</t>
  </si>
  <si>
    <t xml:space="preserve">De 2 años</t>
  </si>
  <si>
    <t xml:space="preserve">95-99</t>
  </si>
  <si>
    <t xml:space="preserve">100+</t>
  </si>
  <si>
    <t xml:space="preserve">De 75 a 79 años</t>
  </si>
  <si>
    <t xml:space="preserve">De 80 a 84 años</t>
  </si>
  <si>
    <t xml:space="preserve">De 85 a 89 años</t>
  </si>
  <si>
    <t xml:space="preserve">Edad no  especificada</t>
  </si>
  <si>
    <t xml:space="preserve">Coregida</t>
  </si>
  <si>
    <t xml:space="preserve">De 3 años</t>
  </si>
  <si>
    <t xml:space="preserve">De 90 a 94 años</t>
  </si>
  <si>
    <t xml:space="preserve">De 95 a 99 años</t>
  </si>
  <si>
    <t xml:space="preserve">De 100 a 104 años</t>
  </si>
  <si>
    <t xml:space="preserve">De 105 a 109 años</t>
  </si>
  <si>
    <t xml:space="preserve">De 110 a 114 años</t>
  </si>
</sst>
</file>

<file path=xl/styles.xml><?xml version="1.0" encoding="utf-8"?>
<styleSheet xmlns="http://schemas.openxmlformats.org/spreadsheetml/2006/main">
  <numFmts count="11">
    <numFmt numFmtId="164" formatCode="General"/>
    <numFmt numFmtId="165" formatCode="_-* #,##0.00_-;\-* #,##0.00_-;_-* \-??_-;_-@_-"/>
    <numFmt numFmtId="166" formatCode="##,##0.00"/>
    <numFmt numFmtId="167" formatCode="##,##0"/>
    <numFmt numFmtId="168" formatCode="_-* #,##0_-;\-* #,##0_-;_-* \-??_-;_-@_-"/>
    <numFmt numFmtId="169" formatCode="0%"/>
    <numFmt numFmtId="170" formatCode="0.00%"/>
    <numFmt numFmtId="171" formatCode="#,##0%;#,##0%"/>
    <numFmt numFmtId="172" formatCode="_-* #,##0.0000_-;\-* #,##0.0000_-;_-* \-??_-;_-@_-"/>
    <numFmt numFmtId="173" formatCode="0"/>
    <numFmt numFmtId="174" formatCode="###0.000000"/>
  </numFmts>
  <fonts count="21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color rgb="FF000000"/>
      <name val="Calibri"/>
      <family val="2"/>
      <charset val="1"/>
    </font>
    <font>
      <b val="true"/>
      <sz val="7"/>
      <color rgb="FFFFFFFF"/>
      <name val="Arial Narrow"/>
      <family val="2"/>
      <charset val="1"/>
    </font>
    <font>
      <b val="true"/>
      <sz val="7"/>
      <color rgb="FF000000"/>
      <name val="Arial Narrow"/>
      <family val="2"/>
      <charset val="1"/>
    </font>
    <font>
      <b val="true"/>
      <i val="true"/>
      <sz val="12"/>
      <color rgb="FF000000"/>
      <name val="Book Antiqua"/>
      <family val="1"/>
      <charset val="1"/>
    </font>
    <font>
      <b val="true"/>
      <sz val="11"/>
      <color rgb="FF000000"/>
      <name val="Calibri"/>
      <family val="2"/>
      <charset val="1"/>
    </font>
    <font>
      <b val="true"/>
      <sz val="9"/>
      <color rgb="FF000000"/>
      <name val="Calibri"/>
      <family val="2"/>
      <charset val="1"/>
    </font>
    <font>
      <b val="true"/>
      <sz val="9"/>
      <color rgb="FF000000"/>
      <name val="Arial Narrow"/>
      <family val="2"/>
      <charset val="1"/>
    </font>
    <font>
      <b val="true"/>
      <sz val="9"/>
      <name val="Arial"/>
      <family val="2"/>
      <charset val="1"/>
    </font>
    <font>
      <b val="true"/>
      <sz val="16"/>
      <color rgb="FF44546A"/>
      <name val="Calibri"/>
      <family val="2"/>
    </font>
    <font>
      <sz val="9"/>
      <color rgb="FF44546A"/>
      <name val="Calibri"/>
      <family val="2"/>
    </font>
    <font>
      <b val="true"/>
      <sz val="10"/>
      <name val="Arial"/>
      <family val="2"/>
      <charset val="1"/>
    </font>
    <font>
      <sz val="10"/>
      <name val="Arial"/>
      <family val="2"/>
      <charset val="1"/>
    </font>
    <font>
      <i val="true"/>
      <sz val="10"/>
      <name val="Arial"/>
      <family val="2"/>
      <charset val="1"/>
    </font>
    <font>
      <b val="true"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b val="true"/>
      <i val="true"/>
      <sz val="11"/>
      <color rgb="FF000000"/>
      <name val="Calibri"/>
      <family val="2"/>
      <charset val="1"/>
    </font>
    <font>
      <sz val="11"/>
      <name val="Calibri"/>
      <family val="2"/>
      <charset val="1"/>
    </font>
  </fonts>
  <fills count="18">
    <fill>
      <patternFill patternType="none"/>
    </fill>
    <fill>
      <patternFill patternType="gray125"/>
    </fill>
    <fill>
      <patternFill patternType="solid">
        <fgColor rgb="FF306A5C"/>
        <bgColor rgb="FF44546A"/>
      </patternFill>
    </fill>
    <fill>
      <patternFill patternType="solid">
        <fgColor rgb="FFE0E0E0"/>
        <bgColor rgb="FFE0E5EB"/>
      </patternFill>
    </fill>
    <fill>
      <patternFill patternType="solid">
        <fgColor rgb="FFFFFFFF"/>
        <bgColor rgb="FFE3FDFC"/>
      </patternFill>
    </fill>
    <fill>
      <patternFill patternType="solid">
        <fgColor rgb="FFFFFF00"/>
        <bgColor rgb="FFFFFF00"/>
      </patternFill>
    </fill>
    <fill>
      <patternFill patternType="solid">
        <fgColor rgb="FF99FF99"/>
        <bgColor rgb="FFCBFDB5"/>
      </patternFill>
    </fill>
    <fill>
      <patternFill patternType="solid">
        <fgColor rgb="FFD9D9D9"/>
        <bgColor rgb="FFE0E0E0"/>
      </patternFill>
    </fill>
    <fill>
      <patternFill patternType="solid">
        <fgColor rgb="FF9AE2FC"/>
        <bgColor rgb="FF99CCFF"/>
      </patternFill>
    </fill>
    <fill>
      <patternFill patternType="solid">
        <fgColor rgb="FFFFCB97"/>
        <bgColor rgb="FFFFCC99"/>
      </patternFill>
    </fill>
    <fill>
      <patternFill patternType="solid">
        <fgColor rgb="FFFFCC99"/>
        <bgColor rgb="FFFFCB97"/>
      </patternFill>
    </fill>
    <fill>
      <patternFill patternType="solid">
        <fgColor rgb="FF2DFF2D"/>
        <bgColor rgb="FF34F0EC"/>
      </patternFill>
    </fill>
    <fill>
      <patternFill patternType="solid">
        <fgColor rgb="FF34F0EC"/>
        <bgColor rgb="FF00FFFF"/>
      </patternFill>
    </fill>
    <fill>
      <patternFill patternType="solid">
        <fgColor rgb="FFCBFDB5"/>
        <bgColor rgb="FFE3FDFC"/>
      </patternFill>
    </fill>
    <fill>
      <patternFill patternType="solid">
        <fgColor rgb="FFE3FDFC"/>
        <bgColor rgb="FFFFFFFF"/>
      </patternFill>
    </fill>
    <fill>
      <patternFill patternType="solid">
        <fgColor rgb="FFC5ECFF"/>
        <bgColor rgb="FFE0E5EB"/>
      </patternFill>
    </fill>
    <fill>
      <patternFill patternType="solid">
        <fgColor rgb="FF99FFFF"/>
        <bgColor rgb="FF9AE2FC"/>
      </patternFill>
    </fill>
    <fill>
      <patternFill patternType="solid">
        <fgColor rgb="FFFF6666"/>
        <bgColor rgb="FFF57A27"/>
      </patternFill>
    </fill>
  </fills>
  <borders count="37">
    <border diagonalUp="false" diagonalDown="false">
      <left/>
      <right/>
      <top/>
      <bottom/>
      <diagonal/>
    </border>
    <border diagonalUp="false" diagonalDown="false">
      <left style="thin">
        <color rgb="FFE0E0E0"/>
      </left>
      <right style="thin">
        <color rgb="FFE0E0E0"/>
      </right>
      <top style="thin">
        <color rgb="FF808080"/>
      </top>
      <bottom style="thin">
        <color rgb="FFE0E0E0"/>
      </bottom>
      <diagonal/>
    </border>
    <border diagonalUp="false" diagonalDown="false">
      <left style="thin">
        <color rgb="FFE0E0E0"/>
      </left>
      <right style="thin">
        <color rgb="FFFFFFFF"/>
      </right>
      <top style="thin">
        <color rgb="FF808080"/>
      </top>
      <bottom style="thin">
        <color rgb="FFE0E0E0"/>
      </bottom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medium"/>
      <top style="medium"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hair"/>
      <right style="hair"/>
      <top style="hair"/>
      <bottom style="hair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9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0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6" fillId="3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7" fontId="6" fillId="3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6" fontId="6" fillId="4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7" fontId="6" fillId="4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4" fontId="7" fillId="5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6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6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6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6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6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6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7" borderId="1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8" fontId="10" fillId="8" borderId="12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0" fillId="9" borderId="13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7" borderId="1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8" fontId="11" fillId="8" borderId="15" xfId="15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8" fontId="11" fillId="10" borderId="16" xfId="15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7" borderId="14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70" fontId="11" fillId="8" borderId="15" xfId="19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0" fontId="11" fillId="10" borderId="16" xfId="19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7" borderId="17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8" fontId="10" fillId="8" borderId="18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0" fillId="9" borderId="19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7" borderId="17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7" borderId="20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8" fontId="10" fillId="8" borderId="21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0" fillId="9" borderId="22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4" borderId="23" xfId="21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5" fillId="4" borderId="18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4" borderId="24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6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11" borderId="8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7" fillId="12" borderId="10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5" fillId="4" borderId="2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15" fillId="4" borderId="26" xfId="2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2" fontId="15" fillId="4" borderId="27" xfId="2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2" fontId="15" fillId="4" borderId="28" xfId="2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7" borderId="1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8" fontId="11" fillId="8" borderId="12" xfId="15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8" fontId="11" fillId="10" borderId="12" xfId="15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8" fontId="0" fillId="13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7" borderId="14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8" fillId="14" borderId="16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8" fillId="0" borderId="0" xfId="2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5" fillId="4" borderId="29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15" fillId="4" borderId="30" xfId="2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2" fontId="15" fillId="4" borderId="0" xfId="2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2" fontId="15" fillId="4" borderId="24" xfId="2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8" fontId="11" fillId="8" borderId="18" xfId="15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8" fontId="11" fillId="10" borderId="18" xfId="15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8" fontId="0" fillId="13" borderId="1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7" borderId="17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8" fillId="14" borderId="19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5" fillId="4" borderId="31" xfId="2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2" fontId="15" fillId="4" borderId="32" xfId="2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2" fontId="15" fillId="4" borderId="33" xfId="2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7" fillId="7" borderId="20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8" fillId="14" borderId="34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5" fillId="4" borderId="26" xfId="21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72" fontId="15" fillId="4" borderId="27" xfId="21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72" fontId="15" fillId="4" borderId="28" xfId="21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17" fillId="0" borderId="0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8" fillId="0" borderId="0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5" fillId="4" borderId="30" xfId="21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72" fontId="15" fillId="4" borderId="0" xfId="21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72" fontId="15" fillId="4" borderId="24" xfId="21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72" fontId="15" fillId="4" borderId="31" xfId="21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72" fontId="15" fillId="4" borderId="32" xfId="21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72" fontId="15" fillId="4" borderId="33" xfId="21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9" fillId="7" borderId="2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8" fontId="11" fillId="8" borderId="21" xfId="15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8" fontId="11" fillId="10" borderId="21" xfId="15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8" fontId="0" fillId="13" borderId="2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4" borderId="1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27" xfId="21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7" fillId="7" borderId="35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8" fillId="14" borderId="22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9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7" fillId="11" borderId="11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7" fillId="12" borderId="13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7" fillId="15" borderId="19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8" fillId="15" borderId="1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8" fillId="15" borderId="22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1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16" borderId="18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20" fillId="16" borderId="3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16" borderId="3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0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20" fillId="16" borderId="3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16" borderId="3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17" borderId="18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Millares 2" xfId="20" builtinId="53" customBuiltin="true"/>
    <cellStyle name="Normal 2" xfId="21" builtinId="53" customBuiltin="true"/>
  </cellStyles>
  <colors>
    <indexedColors>
      <rgbColor rgb="FF000000"/>
      <rgbColor rgb="FFFFFFFF"/>
      <rgbColor rgb="FFFF0000"/>
      <rgbColor rgb="FF2DFF2D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306A5C"/>
      <rgbColor rgb="FFE0E0E0"/>
      <rgbColor rgb="FF808080"/>
      <rgbColor rgb="FF9AE2FC"/>
      <rgbColor rgb="FF993366"/>
      <rgbColor rgb="FFE0E5EB"/>
      <rgbColor rgb="FFE3FDFC"/>
      <rgbColor rgb="FF660066"/>
      <rgbColor rgb="FFF08C56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5ECFF"/>
      <rgbColor rgb="FFCBFDB5"/>
      <rgbColor rgb="FFFFCB97"/>
      <rgbColor rgb="FF99CCFF"/>
      <rgbColor rgb="FFFF6666"/>
      <rgbColor rgb="FF99FFFF"/>
      <rgbColor rgb="FFFFCC99"/>
      <rgbColor rgb="FF3D6FC9"/>
      <rgbColor rgb="FF34F0EC"/>
      <rgbColor rgb="FF99FF99"/>
      <rgbColor rgb="FFFFCC00"/>
      <rgbColor rgb="FFFF9900"/>
      <rgbColor rgb="FFF57A27"/>
      <rgbColor rgb="FF6082CA"/>
      <rgbColor rgb="FF969696"/>
      <rgbColor rgb="FF003366"/>
      <rgbColor rgb="FF339966"/>
      <rgbColor rgb="FF003300"/>
      <rgbColor rgb="FF333300"/>
      <rgbColor rgb="FF993300"/>
      <rgbColor rgb="FF993366"/>
      <rgbColor rgb="FF44546A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44546a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r>
              <a:rPr b="1" sz="1600" spc="-1" strike="noStrike">
                <a:solidFill>
                  <a:srgbClr val="44546a"/>
                </a:solidFill>
                <a:uFill>
                  <a:solidFill>
                    <a:srgbClr val="ffffff"/>
                  </a:solidFill>
                </a:uFill>
                <a:latin typeface="Calibri"/>
              </a:rPr>
              <a:t>Población Chihuahua</a:t>
            </a:r>
          </a:p>
        </c:rich>
      </c:tx>
      <c:overlay val="0"/>
    </c:title>
    <c:autoTitleDeleted val="0"/>
    <c:plotArea>
      <c:barChart>
        <c:barDir val="bar"/>
        <c:grouping val="clustered"/>
        <c:varyColors val="0"/>
        <c:ser>
          <c:idx val="0"/>
          <c:order val="0"/>
          <c:tx>
            <c:strRef>
              <c:f>'Piramide poblacional'!$K$6</c:f>
              <c:strCache>
                <c:ptCount val="1"/>
                <c:pt idx="0">
                  <c:v>Hombres</c:v>
                </c:pt>
              </c:strCache>
            </c:strRef>
          </c:tx>
          <c:spPr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'Piramide poblacional'!$J$7:$J$22</c:f>
              <c:strCache>
                <c:ptCount val="16"/>
                <c:pt idx="0">
                  <c:v>De 0 a 4 años</c:v>
                </c:pt>
                <c:pt idx="1">
                  <c:v>De 5 a 9 años</c:v>
                </c:pt>
                <c:pt idx="2">
                  <c:v>De 10 a 14 años</c:v>
                </c:pt>
                <c:pt idx="3">
                  <c:v>De 15 a 19 años</c:v>
                </c:pt>
                <c:pt idx="4">
                  <c:v>De 20 a 24 años</c:v>
                </c:pt>
                <c:pt idx="5">
                  <c:v>De 25 a 29 años</c:v>
                </c:pt>
                <c:pt idx="6">
                  <c:v>De 30 a 34 años</c:v>
                </c:pt>
                <c:pt idx="7">
                  <c:v>De 35 a 39 años</c:v>
                </c:pt>
                <c:pt idx="8">
                  <c:v>De 40 a 44 años</c:v>
                </c:pt>
                <c:pt idx="9">
                  <c:v>De 45 a 49 años</c:v>
                </c:pt>
                <c:pt idx="10">
                  <c:v>De 50 a 54 años</c:v>
                </c:pt>
                <c:pt idx="11">
                  <c:v>De 55 a 59 años</c:v>
                </c:pt>
                <c:pt idx="12">
                  <c:v>De 60 a 64 años</c:v>
                </c:pt>
                <c:pt idx="13">
                  <c:v>De 65 a 69 años</c:v>
                </c:pt>
                <c:pt idx="14">
                  <c:v>De 70 a 74 años</c:v>
                </c:pt>
                <c:pt idx="15">
                  <c:v>De 75 y más</c:v>
                </c:pt>
              </c:strCache>
            </c:strRef>
          </c:cat>
          <c:val>
            <c:numRef>
              <c:f>'Piramide poblacional'!$K$7:$K$22</c:f>
              <c:numCache>
                <c:formatCode>General</c:formatCode>
                <c:ptCount val="16"/>
                <c:pt idx="0">
                  <c:v>-0.0445206643877671</c:v>
                </c:pt>
                <c:pt idx="1">
                  <c:v>-0.0487487660508062</c:v>
                </c:pt>
                <c:pt idx="2">
                  <c:v>-0.0493754848656057</c:v>
                </c:pt>
                <c:pt idx="3">
                  <c:v>-0.0451957654450017</c:v>
                </c:pt>
                <c:pt idx="4">
                  <c:v>-0.0434244690460823</c:v>
                </c:pt>
                <c:pt idx="5">
                  <c:v>-0.0370394195051785</c:v>
                </c:pt>
                <c:pt idx="6">
                  <c:v>-0.0354141137098861</c:v>
                </c:pt>
                <c:pt idx="7">
                  <c:v>-0.0348667192693117</c:v>
                </c:pt>
                <c:pt idx="8">
                  <c:v>-0.0346087744070266</c:v>
                </c:pt>
                <c:pt idx="9">
                  <c:v>-0.0299469203147143</c:v>
                </c:pt>
                <c:pt idx="10">
                  <c:v>-0.0248141832349807</c:v>
                </c:pt>
                <c:pt idx="11">
                  <c:v>-0.0193267368080918</c:v>
                </c:pt>
                <c:pt idx="12">
                  <c:v>-0.0148494103380903</c:v>
                </c:pt>
                <c:pt idx="13">
                  <c:v>-0.0112722186110682</c:v>
                </c:pt>
                <c:pt idx="14">
                  <c:v>-0.00839122484931939</c:v>
                </c:pt>
                <c:pt idx="15">
                  <c:v>-0.010891349097945</c:v>
                </c:pt>
              </c:numCache>
            </c:numRef>
          </c:val>
        </c:ser>
        <c:ser>
          <c:idx val="1"/>
          <c:order val="1"/>
          <c:tx>
            <c:strRef>
              <c:f>'Piramide poblacional'!$L$6</c:f>
              <c:strCache>
                <c:ptCount val="1"/>
                <c:pt idx="0">
                  <c:v>Mujeres</c:v>
                </c:pt>
              </c:strCache>
            </c:strRef>
          </c:tx>
          <c:spPr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'Piramide poblacional'!$J$7:$J$22</c:f>
              <c:strCache>
                <c:ptCount val="16"/>
                <c:pt idx="0">
                  <c:v>De 0 a 4 años</c:v>
                </c:pt>
                <c:pt idx="1">
                  <c:v>De 5 a 9 años</c:v>
                </c:pt>
                <c:pt idx="2">
                  <c:v>De 10 a 14 años</c:v>
                </c:pt>
                <c:pt idx="3">
                  <c:v>De 15 a 19 años</c:v>
                </c:pt>
                <c:pt idx="4">
                  <c:v>De 20 a 24 años</c:v>
                </c:pt>
                <c:pt idx="5">
                  <c:v>De 25 a 29 años</c:v>
                </c:pt>
                <c:pt idx="6">
                  <c:v>De 30 a 34 años</c:v>
                </c:pt>
                <c:pt idx="7">
                  <c:v>De 35 a 39 años</c:v>
                </c:pt>
                <c:pt idx="8">
                  <c:v>De 40 a 44 años</c:v>
                </c:pt>
                <c:pt idx="9">
                  <c:v>De 45 a 49 años</c:v>
                </c:pt>
                <c:pt idx="10">
                  <c:v>De 50 a 54 años</c:v>
                </c:pt>
                <c:pt idx="11">
                  <c:v>De 55 a 59 años</c:v>
                </c:pt>
                <c:pt idx="12">
                  <c:v>De 60 a 64 años</c:v>
                </c:pt>
                <c:pt idx="13">
                  <c:v>De 65 a 69 años</c:v>
                </c:pt>
                <c:pt idx="14">
                  <c:v>De 70 a 74 años</c:v>
                </c:pt>
                <c:pt idx="15">
                  <c:v>De 75 y más</c:v>
                </c:pt>
              </c:strCache>
            </c:strRef>
          </c:cat>
          <c:val>
            <c:numRef>
              <c:f>'Piramide poblacional'!$L$7:$L$22</c:f>
              <c:numCache>
                <c:formatCode>General</c:formatCode>
                <c:ptCount val="16"/>
                <c:pt idx="0">
                  <c:v>0.0441775439725282</c:v>
                </c:pt>
                <c:pt idx="1">
                  <c:v>0.0470829768280572</c:v>
                </c:pt>
                <c:pt idx="2">
                  <c:v>0.0475082856166678</c:v>
                </c:pt>
                <c:pt idx="3">
                  <c:v>0.0450081900391733</c:v>
                </c:pt>
                <c:pt idx="4">
                  <c:v>0.043983173355511</c:v>
                </c:pt>
                <c:pt idx="5">
                  <c:v>0.0386741270087927</c:v>
                </c:pt>
                <c:pt idx="6">
                  <c:v>0.0374432068639777</c:v>
                </c:pt>
                <c:pt idx="7">
                  <c:v>0.0369908943427568</c:v>
                </c:pt>
                <c:pt idx="8">
                  <c:v>0.0364572893348239</c:v>
                </c:pt>
                <c:pt idx="9">
                  <c:v>0.031495916045462</c:v>
                </c:pt>
                <c:pt idx="10">
                  <c:v>0.0267291946619985</c:v>
                </c:pt>
                <c:pt idx="11">
                  <c:v>0.0209790873493136</c:v>
                </c:pt>
                <c:pt idx="12">
                  <c:v>0.016140356012223</c:v>
                </c:pt>
                <c:pt idx="13">
                  <c:v>0.0128571521890326</c:v>
                </c:pt>
                <c:pt idx="14">
                  <c:v>0.00946565214651996</c:v>
                </c:pt>
                <c:pt idx="15">
                  <c:v>0.0123207342922861</c:v>
                </c:pt>
              </c:numCache>
            </c:numRef>
          </c:val>
        </c:ser>
        <c:gapWidth val="0"/>
        <c:overlap val="100"/>
        <c:axId val="45819390"/>
        <c:axId val="311681"/>
      </c:barChart>
      <c:catAx>
        <c:axId val="4581939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9360">
            <a:solidFill>
              <a:srgbClr val="e0e5eb"/>
            </a:solidFill>
            <a:round/>
          </a:ln>
        </c:spPr>
        <c:txPr>
          <a:bodyPr/>
          <a:p>
            <a:pPr>
              <a:defRPr b="0" sz="900" spc="-1" strike="noStrike">
                <a:solidFill>
                  <a:srgbClr val="44546a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311681"/>
        <c:crosses val="autoZero"/>
        <c:auto val="1"/>
        <c:lblAlgn val="ctr"/>
        <c:lblOffset val="100"/>
      </c:catAx>
      <c:valAx>
        <c:axId val="311681"/>
        <c:scaling>
          <c:orientation val="minMax"/>
        </c:scaling>
        <c:delete val="0"/>
        <c:axPos val="l"/>
        <c:majorGridlines>
          <c:spPr>
            <a:ln w="9360">
              <a:solidFill>
                <a:srgbClr val="e0e5eb"/>
              </a:solidFill>
              <a:round/>
            </a:ln>
          </c:spPr>
        </c:majorGridlines>
        <c:numFmt formatCode="#,##0%;#,##0%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p>
            <a:pPr>
              <a:defRPr b="0" sz="900" spc="-1" strike="noStrike">
                <a:solidFill>
                  <a:srgbClr val="44546a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45819390"/>
        <c:crosses val="autoZero"/>
        <c:crossBetween val="midCat"/>
      </c:valAx>
      <c:spPr>
        <a:noFill/>
        <a:ln>
          <a:noFill/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 w="9360">
      <a:solidFill>
        <a:srgbClr val="e0e5eb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12</xdr:col>
      <xdr:colOff>609480</xdr:colOff>
      <xdr:row>4</xdr:row>
      <xdr:rowOff>129600</xdr:rowOff>
    </xdr:from>
    <xdr:to>
      <xdr:col>19</xdr:col>
      <xdr:colOff>685440</xdr:colOff>
      <xdr:row>23</xdr:row>
      <xdr:rowOff>75960</xdr:rowOff>
    </xdr:to>
    <xdr:graphicFrame>
      <xdr:nvGraphicFramePr>
        <xdr:cNvPr id="0" name="Gráfico 2"/>
        <xdr:cNvGraphicFramePr/>
      </xdr:nvGraphicFramePr>
      <xdr:xfrm>
        <a:off x="9524880" y="868680"/>
        <a:ext cx="5276520" cy="3565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E1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E3" activeCellId="0" sqref="E3"/>
    </sheetView>
  </sheetViews>
  <sheetFormatPr defaultRowHeight="14.4"/>
  <cols>
    <col collapsed="false" hidden="false" max="1025" min="1" style="0" width="10.530612244898"/>
  </cols>
  <sheetData>
    <row r="2" customFormat="false" ht="32.4" hidden="false" customHeight="false" outlineLevel="0" collapsed="false">
      <c r="B2" s="1" t="s">
        <v>0</v>
      </c>
      <c r="C2" s="1" t="s">
        <v>1</v>
      </c>
      <c r="D2" s="1" t="s">
        <v>2</v>
      </c>
      <c r="E2" s="2" t="s">
        <v>3</v>
      </c>
    </row>
    <row r="3" customFormat="false" ht="14.4" hidden="false" customHeight="false" outlineLevel="0" collapsed="false">
      <c r="B3" s="3" t="s">
        <v>4</v>
      </c>
      <c r="C3" s="4" t="n">
        <v>315326</v>
      </c>
      <c r="D3" s="4" t="n">
        <v>158272</v>
      </c>
      <c r="E3" s="4" t="n">
        <v>157054</v>
      </c>
    </row>
    <row r="4" customFormat="false" ht="14.4" hidden="false" customHeight="false" outlineLevel="0" collapsed="false">
      <c r="B4" s="5" t="s">
        <v>5</v>
      </c>
      <c r="C4" s="6" t="n">
        <v>340686</v>
      </c>
      <c r="D4" s="6" t="n">
        <v>173303</v>
      </c>
      <c r="E4" s="6" t="n">
        <v>167383</v>
      </c>
    </row>
    <row r="5" customFormat="false" ht="14.4" hidden="false" customHeight="false" outlineLevel="0" collapsed="false">
      <c r="B5" s="3" t="s">
        <v>6</v>
      </c>
      <c r="C5" s="4" t="n">
        <v>344426</v>
      </c>
      <c r="D5" s="4" t="n">
        <v>175531</v>
      </c>
      <c r="E5" s="4" t="n">
        <v>168895</v>
      </c>
    </row>
    <row r="6" customFormat="false" ht="14.4" hidden="false" customHeight="false" outlineLevel="0" collapsed="false">
      <c r="B6" s="5" t="s">
        <v>7</v>
      </c>
      <c r="C6" s="6" t="n">
        <v>320679</v>
      </c>
      <c r="D6" s="6" t="n">
        <v>160672</v>
      </c>
      <c r="E6" s="6" t="n">
        <v>160007</v>
      </c>
    </row>
    <row r="7" customFormat="false" ht="14.4" hidden="false" customHeight="false" outlineLevel="0" collapsed="false">
      <c r="B7" s="3" t="s">
        <v>8</v>
      </c>
      <c r="C7" s="4" t="n">
        <v>310738</v>
      </c>
      <c r="D7" s="4" t="n">
        <v>154375</v>
      </c>
      <c r="E7" s="4" t="n">
        <v>156363</v>
      </c>
    </row>
    <row r="8" customFormat="false" ht="14.4" hidden="false" customHeight="false" outlineLevel="0" collapsed="false">
      <c r="B8" s="5" t="s">
        <v>9</v>
      </c>
      <c r="C8" s="6" t="n">
        <v>269165</v>
      </c>
      <c r="D8" s="6" t="n">
        <v>131676</v>
      </c>
      <c r="E8" s="6" t="n">
        <v>137489</v>
      </c>
    </row>
    <row r="9" customFormat="false" ht="14.4" hidden="false" customHeight="false" outlineLevel="0" collapsed="false">
      <c r="B9" s="3" t="s">
        <v>10</v>
      </c>
      <c r="C9" s="4" t="n">
        <v>259011</v>
      </c>
      <c r="D9" s="4" t="n">
        <v>125898</v>
      </c>
      <c r="E9" s="4" t="n">
        <v>133113</v>
      </c>
    </row>
    <row r="10" customFormat="false" ht="14.4" hidden="false" customHeight="false" outlineLevel="0" collapsed="false">
      <c r="B10" s="5" t="s">
        <v>11</v>
      </c>
      <c r="C10" s="6" t="n">
        <v>255457</v>
      </c>
      <c r="D10" s="6" t="n">
        <v>123952</v>
      </c>
      <c r="E10" s="6" t="n">
        <v>131505</v>
      </c>
    </row>
    <row r="11" customFormat="false" ht="14.4" hidden="false" customHeight="false" outlineLevel="0" collapsed="false">
      <c r="B11" s="3" t="s">
        <v>12</v>
      </c>
      <c r="C11" s="4" t="n">
        <v>252643</v>
      </c>
      <c r="D11" s="4" t="n">
        <v>123035</v>
      </c>
      <c r="E11" s="4" t="n">
        <v>129608</v>
      </c>
    </row>
    <row r="12" customFormat="false" ht="14.4" hidden="false" customHeight="false" outlineLevel="0" collapsed="false">
      <c r="B12" s="5" t="s">
        <v>13</v>
      </c>
      <c r="C12" s="6" t="n">
        <v>218432</v>
      </c>
      <c r="D12" s="6" t="n">
        <v>106462</v>
      </c>
      <c r="E12" s="6" t="n">
        <v>111970</v>
      </c>
    </row>
    <row r="13" customFormat="false" ht="14.4" hidden="false" customHeight="false" outlineLevel="0" collapsed="false">
      <c r="B13" s="3" t="s">
        <v>14</v>
      </c>
      <c r="C13" s="4" t="n">
        <v>183239</v>
      </c>
      <c r="D13" s="4" t="n">
        <v>88215</v>
      </c>
      <c r="E13" s="4" t="n">
        <v>95024</v>
      </c>
    </row>
    <row r="14" customFormat="false" ht="14.4" hidden="false" customHeight="false" outlineLevel="0" collapsed="false">
      <c r="B14" s="5" t="s">
        <v>15</v>
      </c>
      <c r="C14" s="6" t="n">
        <v>143289</v>
      </c>
      <c r="D14" s="6" t="n">
        <v>68707</v>
      </c>
      <c r="E14" s="6" t="n">
        <v>74582</v>
      </c>
    </row>
    <row r="15" customFormat="false" ht="14.4" hidden="false" customHeight="false" outlineLevel="0" collapsed="false">
      <c r="B15" s="3" t="s">
        <v>16</v>
      </c>
      <c r="C15" s="4" t="n">
        <v>110170</v>
      </c>
      <c r="D15" s="4" t="n">
        <v>52790</v>
      </c>
      <c r="E15" s="4" t="n">
        <v>57380</v>
      </c>
    </row>
    <row r="16" customFormat="false" ht="14.4" hidden="false" customHeight="false" outlineLevel="0" collapsed="false">
      <c r="B16" s="5" t="s">
        <v>17</v>
      </c>
      <c r="C16" s="6" t="n">
        <v>85781</v>
      </c>
      <c r="D16" s="6" t="n">
        <v>40073</v>
      </c>
      <c r="E16" s="6" t="n">
        <v>45708</v>
      </c>
    </row>
    <row r="17" customFormat="false" ht="14.4" hidden="false" customHeight="false" outlineLevel="0" collapsed="false">
      <c r="B17" s="3" t="s">
        <v>18</v>
      </c>
      <c r="C17" s="4" t="n">
        <v>63482</v>
      </c>
      <c r="D17" s="4" t="n">
        <v>29831</v>
      </c>
      <c r="E17" s="4" t="n">
        <v>33651</v>
      </c>
    </row>
    <row r="18" customFormat="false" ht="14.4" hidden="false" customHeight="false" outlineLevel="0" collapsed="false">
      <c r="B18" s="5" t="s">
        <v>19</v>
      </c>
      <c r="C18" s="6" t="n">
        <v>82520</v>
      </c>
      <c r="D18" s="6" t="n">
        <v>38719</v>
      </c>
      <c r="E18" s="6" t="n">
        <v>43801</v>
      </c>
    </row>
    <row r="19" customFormat="false" ht="14.4" hidden="false" customHeight="false" outlineLevel="0" collapsed="false">
      <c r="B19" s="3" t="s">
        <v>20</v>
      </c>
      <c r="C19" s="4" t="n">
        <v>1530</v>
      </c>
      <c r="D19" s="4" t="n">
        <v>764</v>
      </c>
      <c r="E19" s="4" t="n">
        <v>766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L23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D29" activeCellId="0" sqref="D29"/>
    </sheetView>
  </sheetViews>
  <sheetFormatPr defaultRowHeight="14.4"/>
  <cols>
    <col collapsed="false" hidden="false" max="1025" min="1" style="0" width="10.530612244898"/>
  </cols>
  <sheetData>
    <row r="1" customFormat="false" ht="14.4" hidden="false" customHeight="true" outlineLevel="0" collapsed="false">
      <c r="B1" s="7" t="s">
        <v>21</v>
      </c>
      <c r="C1" s="7"/>
      <c r="D1" s="7"/>
    </row>
    <row r="2" customFormat="false" ht="14.4" hidden="false" customHeight="false" outlineLevel="0" collapsed="false">
      <c r="B2" s="7"/>
      <c r="C2" s="7"/>
      <c r="D2" s="7"/>
    </row>
    <row r="3" customFormat="false" ht="15" hidden="false" customHeight="false" outlineLevel="0" collapsed="false">
      <c r="B3" s="7"/>
      <c r="C3" s="7"/>
      <c r="D3" s="7"/>
    </row>
    <row r="5" customFormat="false" ht="15" hidden="false" customHeight="false" outlineLevel="0" collapsed="false">
      <c r="B5" s="8"/>
      <c r="C5" s="8"/>
      <c r="D5" s="8"/>
      <c r="E5" s="8"/>
      <c r="F5" s="9" t="s">
        <v>22</v>
      </c>
      <c r="G5" s="9"/>
      <c r="H5" s="9"/>
      <c r="I5" s="8"/>
      <c r="J5" s="9" t="s">
        <v>23</v>
      </c>
      <c r="K5" s="9"/>
      <c r="L5" s="9"/>
    </row>
    <row r="6" customFormat="false" ht="15" hidden="false" customHeight="false" outlineLevel="0" collapsed="false">
      <c r="B6" s="10" t="s">
        <v>24</v>
      </c>
      <c r="C6" s="11" t="s">
        <v>2</v>
      </c>
      <c r="D6" s="12" t="s">
        <v>3</v>
      </c>
      <c r="E6" s="8"/>
      <c r="F6" s="13" t="s">
        <v>24</v>
      </c>
      <c r="G6" s="14" t="s">
        <v>2</v>
      </c>
      <c r="H6" s="15" t="s">
        <v>3</v>
      </c>
      <c r="I6" s="8"/>
      <c r="J6" s="13" t="s">
        <v>24</v>
      </c>
      <c r="K6" s="14" t="s">
        <v>2</v>
      </c>
      <c r="L6" s="15" t="s">
        <v>3</v>
      </c>
    </row>
    <row r="7" customFormat="false" ht="14.4" hidden="false" customHeight="false" outlineLevel="0" collapsed="false">
      <c r="B7" s="16" t="s">
        <v>25</v>
      </c>
      <c r="C7" s="17" t="n">
        <v>158272</v>
      </c>
      <c r="D7" s="18" t="n">
        <v>157054</v>
      </c>
      <c r="E7" s="19"/>
      <c r="F7" s="20" t="s">
        <v>25</v>
      </c>
      <c r="G7" s="21" t="n">
        <f aca="false">C7/SUM($C$7:$C$22)*$C$23+C7</f>
        <v>158341.037424258</v>
      </c>
      <c r="H7" s="22" t="n">
        <f aca="false">D7/SUM($D$7:$D$22)*$D$23+D7</f>
        <v>157120.704276551</v>
      </c>
      <c r="I7" s="19"/>
      <c r="J7" s="23" t="s">
        <v>25</v>
      </c>
      <c r="K7" s="24" t="n">
        <f aca="false">-G7/SUM($G$7:$H$22)</f>
        <v>-0.0445206643877671</v>
      </c>
      <c r="L7" s="25" t="n">
        <f aca="false">H7/SUM($G$7:$H$22)</f>
        <v>0.0441775439725282</v>
      </c>
    </row>
    <row r="8" customFormat="false" ht="14.4" hidden="false" customHeight="false" outlineLevel="0" collapsed="false">
      <c r="B8" s="26" t="s">
        <v>26</v>
      </c>
      <c r="C8" s="27" t="n">
        <v>173303</v>
      </c>
      <c r="D8" s="28" t="n">
        <v>167383</v>
      </c>
      <c r="E8" s="19"/>
      <c r="F8" s="29" t="s">
        <v>26</v>
      </c>
      <c r="G8" s="21" t="n">
        <f aca="false">C8/SUM($C$7:$C$22)*$C$23+C8</f>
        <v>173378.59386838</v>
      </c>
      <c r="H8" s="22" t="n">
        <f aca="false">D8/SUM($D$7:$D$22)*$D$23+D8</f>
        <v>167454.091229271</v>
      </c>
      <c r="I8" s="19"/>
      <c r="J8" s="26" t="s">
        <v>26</v>
      </c>
      <c r="K8" s="24" t="n">
        <f aca="false">-G8/SUM($G$7:$H$22)</f>
        <v>-0.0487487660508062</v>
      </c>
      <c r="L8" s="25" t="n">
        <f aca="false">H8/SUM($G$7:$H$22)</f>
        <v>0.0470829768280572</v>
      </c>
    </row>
    <row r="9" customFormat="false" ht="14.4" hidden="false" customHeight="false" outlineLevel="0" collapsed="false">
      <c r="B9" s="26" t="s">
        <v>27</v>
      </c>
      <c r="C9" s="27" t="n">
        <v>175531</v>
      </c>
      <c r="D9" s="28" t="n">
        <v>168895</v>
      </c>
      <c r="E9" s="19"/>
      <c r="F9" s="29" t="s">
        <v>27</v>
      </c>
      <c r="G9" s="21" t="n">
        <f aca="false">C9/SUM($C$7:$C$22)*$C$23+C9</f>
        <v>175607.565710407</v>
      </c>
      <c r="H9" s="22" t="n">
        <f aca="false">D9/SUM($D$7:$D$22)*$D$23+D9</f>
        <v>168966.733408815</v>
      </c>
      <c r="I9" s="19"/>
      <c r="J9" s="26" t="s">
        <v>27</v>
      </c>
      <c r="K9" s="24" t="n">
        <f aca="false">-G9/SUM($G$7:$H$22)</f>
        <v>-0.0493754848656057</v>
      </c>
      <c r="L9" s="25" t="n">
        <f aca="false">H9/SUM($G$7:$H$22)</f>
        <v>0.0475082856166678</v>
      </c>
    </row>
    <row r="10" customFormat="false" ht="14.4" hidden="false" customHeight="false" outlineLevel="0" collapsed="false">
      <c r="B10" s="26" t="s">
        <v>28</v>
      </c>
      <c r="C10" s="27" t="n">
        <v>160672</v>
      </c>
      <c r="D10" s="28" t="n">
        <v>160007</v>
      </c>
      <c r="E10" s="19"/>
      <c r="F10" s="29" t="s">
        <v>28</v>
      </c>
      <c r="G10" s="21" t="n">
        <f aca="false">C10/SUM($C$7:$C$22)*$C$23+C10</f>
        <v>160742.084291791</v>
      </c>
      <c r="H10" s="22" t="n">
        <f aca="false">D10/SUM($D$7:$D$22)*$D$23+D10</f>
        <v>160074.958480383</v>
      </c>
      <c r="I10" s="19"/>
      <c r="J10" s="26" t="s">
        <v>28</v>
      </c>
      <c r="K10" s="24" t="n">
        <f aca="false">-G10/SUM($G$7:$H$22)</f>
        <v>-0.0451957654450017</v>
      </c>
      <c r="L10" s="25" t="n">
        <f aca="false">H10/SUM($G$7:$H$22)</f>
        <v>0.0450081900391733</v>
      </c>
    </row>
    <row r="11" customFormat="false" ht="14.4" hidden="false" customHeight="false" outlineLevel="0" collapsed="false">
      <c r="B11" s="26" t="s">
        <v>29</v>
      </c>
      <c r="C11" s="27" t="n">
        <v>154375</v>
      </c>
      <c r="D11" s="28" t="n">
        <v>156363</v>
      </c>
      <c r="E11" s="19"/>
      <c r="F11" s="29" t="s">
        <v>29</v>
      </c>
      <c r="G11" s="21" t="n">
        <f aca="false">C11/SUM($C$7:$C$22)*$C$23+C11</f>
        <v>154442.337573101</v>
      </c>
      <c r="H11" s="22" t="n">
        <f aca="false">D11/SUM($D$7:$D$22)*$D$23+D11</f>
        <v>156429.410793703</v>
      </c>
      <c r="I11" s="19"/>
      <c r="J11" s="26" t="s">
        <v>29</v>
      </c>
      <c r="K11" s="24" t="n">
        <f aca="false">-G11/SUM($G$7:$H$22)</f>
        <v>-0.0434244690460823</v>
      </c>
      <c r="L11" s="25" t="n">
        <f aca="false">H11/SUM($G$7:$H$22)</f>
        <v>0.043983173355511</v>
      </c>
    </row>
    <row r="12" customFormat="false" ht="14.4" hidden="false" customHeight="false" outlineLevel="0" collapsed="false">
      <c r="B12" s="26" t="s">
        <v>30</v>
      </c>
      <c r="C12" s="27" t="n">
        <v>131676</v>
      </c>
      <c r="D12" s="28" t="n">
        <v>137489</v>
      </c>
      <c r="E12" s="19"/>
      <c r="F12" s="29" t="s">
        <v>30</v>
      </c>
      <c r="G12" s="21" t="n">
        <f aca="false">C12/SUM($C$7:$C$22)*$C$23+C12</f>
        <v>131733.436387211</v>
      </c>
      <c r="H12" s="22" t="n">
        <f aca="false">D12/SUM($D$7:$D$22)*$D$23+D12</f>
        <v>137547.39459217</v>
      </c>
      <c r="I12" s="19"/>
      <c r="J12" s="26" t="s">
        <v>30</v>
      </c>
      <c r="K12" s="24" t="n">
        <f aca="false">-G12/SUM($G$7:$H$22)</f>
        <v>-0.0370394195051785</v>
      </c>
      <c r="L12" s="25" t="n">
        <f aca="false">H12/SUM($G$7:$H$22)</f>
        <v>0.0386741270087927</v>
      </c>
    </row>
    <row r="13" customFormat="false" ht="14.4" hidden="false" customHeight="false" outlineLevel="0" collapsed="false">
      <c r="B13" s="26" t="s">
        <v>31</v>
      </c>
      <c r="C13" s="27" t="n">
        <v>125898</v>
      </c>
      <c r="D13" s="28" t="n">
        <v>133113</v>
      </c>
      <c r="E13" s="19"/>
      <c r="F13" s="29" t="s">
        <v>31</v>
      </c>
      <c r="G13" s="21" t="n">
        <f aca="false">C13/SUM($C$7:$C$22)*$C$23+C13</f>
        <v>125952.916053625</v>
      </c>
      <c r="H13" s="22" t="n">
        <f aca="false">D13/SUM($D$7:$D$22)*$D$23+D13</f>
        <v>133169.536009044</v>
      </c>
      <c r="I13" s="19"/>
      <c r="J13" s="26" t="s">
        <v>31</v>
      </c>
      <c r="K13" s="24" t="n">
        <f aca="false">-G13/SUM($G$7:$H$22)</f>
        <v>-0.0354141137098861</v>
      </c>
      <c r="L13" s="25" t="n">
        <f aca="false">H13/SUM($G$7:$H$22)</f>
        <v>0.0374432068639777</v>
      </c>
    </row>
    <row r="14" customFormat="false" ht="14.4" hidden="false" customHeight="false" outlineLevel="0" collapsed="false">
      <c r="B14" s="26" t="s">
        <v>32</v>
      </c>
      <c r="C14" s="27" t="n">
        <v>123952</v>
      </c>
      <c r="D14" s="28" t="n">
        <v>131505</v>
      </c>
      <c r="E14" s="19"/>
      <c r="F14" s="29" t="s">
        <v>32</v>
      </c>
      <c r="G14" s="21" t="n">
        <f aca="false">C14/SUM($C$7:$C$22)*$C$23+C14</f>
        <v>124006.067218533</v>
      </c>
      <c r="H14" s="22" t="n">
        <f aca="false">D14/SUM($D$7:$D$22)*$D$23+D14</f>
        <v>131560.853056196</v>
      </c>
      <c r="I14" s="19"/>
      <c r="J14" s="26" t="s">
        <v>32</v>
      </c>
      <c r="K14" s="24" t="n">
        <f aca="false">-G14/SUM($G$7:$H$22)</f>
        <v>-0.0348667192693117</v>
      </c>
      <c r="L14" s="25" t="n">
        <f aca="false">H14/SUM($G$7:$H$22)</f>
        <v>0.0369908943427568</v>
      </c>
    </row>
    <row r="15" customFormat="false" ht="14.4" hidden="false" customHeight="false" outlineLevel="0" collapsed="false">
      <c r="B15" s="26" t="s">
        <v>33</v>
      </c>
      <c r="C15" s="27" t="n">
        <v>123035</v>
      </c>
      <c r="D15" s="28" t="n">
        <v>129608</v>
      </c>
      <c r="E15" s="19"/>
      <c r="F15" s="29" t="s">
        <v>33</v>
      </c>
      <c r="G15" s="21" t="n">
        <f aca="false">C15/SUM($C$7:$C$22)*$C$23+C15</f>
        <v>123088.667227896</v>
      </c>
      <c r="H15" s="22" t="n">
        <f aca="false">D15/SUM($D$7:$D$22)*$D$23+D15</f>
        <v>129663.047358712</v>
      </c>
      <c r="I15" s="19"/>
      <c r="J15" s="26" t="s">
        <v>33</v>
      </c>
      <c r="K15" s="24" t="n">
        <f aca="false">-G15/SUM($G$7:$H$22)</f>
        <v>-0.0346087744070266</v>
      </c>
      <c r="L15" s="25" t="n">
        <f aca="false">H15/SUM($G$7:$H$22)</f>
        <v>0.0364572893348239</v>
      </c>
    </row>
    <row r="16" customFormat="false" ht="14.4" hidden="false" customHeight="false" outlineLevel="0" collapsed="false">
      <c r="B16" s="26" t="s">
        <v>34</v>
      </c>
      <c r="C16" s="27" t="n">
        <v>106462</v>
      </c>
      <c r="D16" s="28" t="n">
        <v>111970</v>
      </c>
      <c r="E16" s="19"/>
      <c r="F16" s="29" t="s">
        <v>34</v>
      </c>
      <c r="G16" s="21" t="n">
        <f aca="false">C16/SUM($C$7:$C$22)*$C$23+C16</f>
        <v>106508.438171385</v>
      </c>
      <c r="H16" s="22" t="n">
        <f aca="false">D16/SUM($D$7:$D$22)*$D$23+D16</f>
        <v>112017.556113473</v>
      </c>
      <c r="I16" s="19"/>
      <c r="J16" s="26" t="s">
        <v>34</v>
      </c>
      <c r="K16" s="24" t="n">
        <f aca="false">-G16/SUM($G$7:$H$22)</f>
        <v>-0.0299469203147143</v>
      </c>
      <c r="L16" s="25" t="n">
        <f aca="false">H16/SUM($G$7:$H$22)</f>
        <v>0.031495916045462</v>
      </c>
    </row>
    <row r="17" customFormat="false" ht="14.4" hidden="false" customHeight="false" outlineLevel="0" collapsed="false">
      <c r="B17" s="26" t="s">
        <v>35</v>
      </c>
      <c r="C17" s="27" t="n">
        <v>88215</v>
      </c>
      <c r="D17" s="28" t="n">
        <v>95024</v>
      </c>
      <c r="E17" s="19"/>
      <c r="F17" s="29" t="s">
        <v>35</v>
      </c>
      <c r="G17" s="21" t="n">
        <f aca="false">C17/SUM($C$7:$C$22)*$C$23+C17</f>
        <v>88253.4789247684</v>
      </c>
      <c r="H17" s="22" t="n">
        <f aca="false">D17/SUM($D$7:$D$22)*$D$23+D17</f>
        <v>95064.3587758028</v>
      </c>
      <c r="I17" s="19"/>
      <c r="J17" s="26" t="s">
        <v>35</v>
      </c>
      <c r="K17" s="24" t="n">
        <f aca="false">-G17/SUM($G$7:$H$22)</f>
        <v>-0.0248141832349807</v>
      </c>
      <c r="L17" s="25" t="n">
        <f aca="false">H17/SUM($G$7:$H$22)</f>
        <v>0.0267291946619985</v>
      </c>
    </row>
    <row r="18" customFormat="false" ht="14.4" hidden="false" customHeight="false" outlineLevel="0" collapsed="false">
      <c r="B18" s="26" t="s">
        <v>36</v>
      </c>
      <c r="C18" s="27" t="n">
        <v>68707</v>
      </c>
      <c r="D18" s="28" t="n">
        <v>74582</v>
      </c>
      <c r="E18" s="19"/>
      <c r="F18" s="29" t="s">
        <v>36</v>
      </c>
      <c r="G18" s="21" t="n">
        <f aca="false">C18/SUM($C$7:$C$22)*$C$23+C18</f>
        <v>68736.9696365024</v>
      </c>
      <c r="H18" s="22" t="n">
        <f aca="false">D18/SUM($D$7:$D$22)*$D$23+D18</f>
        <v>74613.6766102977</v>
      </c>
      <c r="I18" s="19"/>
      <c r="J18" s="26" t="s">
        <v>36</v>
      </c>
      <c r="K18" s="24" t="n">
        <f aca="false">-G18/SUM($G$7:$H$22)</f>
        <v>-0.0193267368080918</v>
      </c>
      <c r="L18" s="25" t="n">
        <f aca="false">H18/SUM($G$7:$H$22)</f>
        <v>0.0209790873493136</v>
      </c>
    </row>
    <row r="19" customFormat="false" ht="14.4" hidden="false" customHeight="false" outlineLevel="0" collapsed="false">
      <c r="B19" s="26" t="s">
        <v>37</v>
      </c>
      <c r="C19" s="27" t="n">
        <v>52790</v>
      </c>
      <c r="D19" s="28" t="n">
        <v>57380</v>
      </c>
      <c r="E19" s="19"/>
      <c r="F19" s="29" t="s">
        <v>37</v>
      </c>
      <c r="G19" s="21" t="n">
        <f aca="false">C19/SUM($C$7:$C$22)*$C$23+C19</f>
        <v>52813.0267237831</v>
      </c>
      <c r="H19" s="22" t="n">
        <f aca="false">D19/SUM($D$7:$D$22)*$D$23+D19</f>
        <v>57404.3705438159</v>
      </c>
      <c r="I19" s="19"/>
      <c r="J19" s="26" t="s">
        <v>37</v>
      </c>
      <c r="K19" s="24" t="n">
        <f aca="false">-G19/SUM($G$7:$H$22)</f>
        <v>-0.0148494103380903</v>
      </c>
      <c r="L19" s="25" t="n">
        <f aca="false">H19/SUM($G$7:$H$22)</f>
        <v>0.016140356012223</v>
      </c>
    </row>
    <row r="20" customFormat="false" ht="14.4" hidden="false" customHeight="false" outlineLevel="0" collapsed="false">
      <c r="B20" s="26" t="s">
        <v>38</v>
      </c>
      <c r="C20" s="27" t="n">
        <v>40073</v>
      </c>
      <c r="D20" s="28" t="n">
        <v>45708</v>
      </c>
      <c r="E20" s="19"/>
      <c r="F20" s="29" t="s">
        <v>38</v>
      </c>
      <c r="G20" s="21" t="n">
        <f aca="false">C20/SUM($C$7:$C$22)*$C$23+C20</f>
        <v>40090.4796344414</v>
      </c>
      <c r="H20" s="22" t="n">
        <f aca="false">D20/SUM($D$7:$D$22)*$D$23+D20</f>
        <v>45727.4131895563</v>
      </c>
      <c r="I20" s="19"/>
      <c r="J20" s="26" t="s">
        <v>38</v>
      </c>
      <c r="K20" s="24" t="n">
        <f aca="false">-G20/SUM($G$7:$H$22)</f>
        <v>-0.0112722186110682</v>
      </c>
      <c r="L20" s="25" t="n">
        <f aca="false">H20/SUM($G$7:$H$22)</f>
        <v>0.0128571521890326</v>
      </c>
    </row>
    <row r="21" customFormat="false" ht="14.4" hidden="false" customHeight="false" outlineLevel="0" collapsed="false">
      <c r="B21" s="26" t="s">
        <v>39</v>
      </c>
      <c r="C21" s="27" t="n">
        <v>29831</v>
      </c>
      <c r="D21" s="28" t="n">
        <v>33651</v>
      </c>
      <c r="E21" s="19"/>
      <c r="F21" s="29" t="s">
        <v>39</v>
      </c>
      <c r="G21" s="21" t="n">
        <f aca="false">C21/SUM($C$7:$C$22)*$C$23+C21</f>
        <v>29844.0121272433</v>
      </c>
      <c r="H21" s="22" t="n">
        <f aca="false">D21/SUM($D$7:$D$22)*$D$23+D21</f>
        <v>33665.2923173571</v>
      </c>
      <c r="I21" s="19"/>
      <c r="J21" s="26" t="s">
        <v>39</v>
      </c>
      <c r="K21" s="24" t="n">
        <f aca="false">-G21/SUM($G$7:$H$22)</f>
        <v>-0.00839122484931939</v>
      </c>
      <c r="L21" s="25" t="n">
        <f aca="false">H21/SUM($G$7:$H$22)</f>
        <v>0.00946565214651996</v>
      </c>
    </row>
    <row r="22" customFormat="false" ht="14.4" hidden="false" customHeight="false" outlineLevel="0" collapsed="false">
      <c r="B22" s="26" t="s">
        <v>40</v>
      </c>
      <c r="C22" s="27" t="n">
        <v>38719</v>
      </c>
      <c r="D22" s="28" t="n">
        <v>43801</v>
      </c>
      <c r="E22" s="19"/>
      <c r="F22" s="29" t="s">
        <v>40</v>
      </c>
      <c r="G22" s="21" t="n">
        <f aca="false">C22/SUM($C$7:$C$22)*$C$23+C22</f>
        <v>38735.8890266747</v>
      </c>
      <c r="H22" s="22" t="n">
        <f aca="false">D22/SUM($D$7:$D$22)*$D$23+D22</f>
        <v>43819.6032448533</v>
      </c>
      <c r="I22" s="19"/>
      <c r="J22" s="26" t="s">
        <v>40</v>
      </c>
      <c r="K22" s="24" t="n">
        <f aca="false">-G22/SUM($G$7:$H$22)</f>
        <v>-0.010891349097945</v>
      </c>
      <c r="L22" s="25" t="n">
        <f aca="false">H22/SUM($G$7:$H$22)</f>
        <v>0.0123207342922861</v>
      </c>
    </row>
    <row r="23" customFormat="false" ht="24.6" hidden="false" customHeight="false" outlineLevel="0" collapsed="false">
      <c r="B23" s="30" t="s">
        <v>20</v>
      </c>
      <c r="C23" s="31" t="n">
        <v>764</v>
      </c>
      <c r="D23" s="32" t="n">
        <v>766</v>
      </c>
      <c r="E23" s="8"/>
      <c r="F23" s="8"/>
      <c r="G23" s="8"/>
      <c r="H23" s="8"/>
      <c r="I23" s="8"/>
      <c r="J23" s="8"/>
      <c r="K23" s="8"/>
      <c r="L23" s="8"/>
    </row>
  </sheetData>
  <mergeCells count="3">
    <mergeCell ref="B1:D3"/>
    <mergeCell ref="F5:H5"/>
    <mergeCell ref="J5:L5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V41"/>
  <sheetViews>
    <sheetView windowProtection="false" showFormulas="false" showGridLines="true" showRowColHeaders="true" showZeros="true" rightToLeft="false" tabSelected="false" showOutlineSymbols="true" defaultGridColor="true" view="normal" topLeftCell="F1" colorId="64" zoomScale="110" zoomScaleNormal="110" zoomScalePageLayoutView="100" workbookViewId="0">
      <selection pane="topLeft" activeCell="O7" activeCellId="0" sqref="O7"/>
    </sheetView>
  </sheetViews>
  <sheetFormatPr defaultRowHeight="14.4"/>
  <cols>
    <col collapsed="false" hidden="false" max="1025" min="1" style="0" width="10.530612244898"/>
  </cols>
  <sheetData>
    <row r="1" customFormat="false" ht="14.4" hidden="false" customHeight="false" outlineLevel="0" collapsed="false">
      <c r="A1" s="33" t="s">
        <v>41</v>
      </c>
      <c r="B1" s="34"/>
      <c r="C1" s="34"/>
      <c r="D1" s="34"/>
      <c r="E1" s="34"/>
      <c r="F1" s="34"/>
    </row>
    <row r="2" customFormat="false" ht="14.4" hidden="false" customHeight="false" outlineLevel="0" collapsed="false">
      <c r="A2" s="35" t="s">
        <v>42</v>
      </c>
      <c r="B2" s="34"/>
      <c r="C2" s="34"/>
      <c r="D2" s="34"/>
      <c r="E2" s="34"/>
      <c r="F2" s="34"/>
    </row>
    <row r="3" customFormat="false" ht="14.4" hidden="false" customHeight="false" outlineLevel="0" collapsed="false">
      <c r="A3" s="35"/>
      <c r="B3" s="34"/>
      <c r="C3" s="34"/>
      <c r="D3" s="34"/>
      <c r="E3" s="34"/>
      <c r="F3" s="34"/>
    </row>
    <row r="4" customFormat="false" ht="14.4" hidden="false" customHeight="true" outlineLevel="0" collapsed="false">
      <c r="A4" s="36" t="s">
        <v>43</v>
      </c>
      <c r="B4" s="37" t="s">
        <v>44</v>
      </c>
      <c r="C4" s="37"/>
      <c r="D4" s="37"/>
      <c r="E4" s="37"/>
      <c r="F4" s="37"/>
    </row>
    <row r="5" customFormat="false" ht="15" hidden="false" customHeight="false" outlineLevel="0" collapsed="false">
      <c r="A5" s="36"/>
      <c r="B5" s="37" t="s">
        <v>45</v>
      </c>
      <c r="C5" s="37" t="s">
        <v>46</v>
      </c>
      <c r="D5" s="37" t="s">
        <v>47</v>
      </c>
      <c r="E5" s="37" t="s">
        <v>48</v>
      </c>
      <c r="F5" s="38" t="s">
        <v>49</v>
      </c>
    </row>
    <row r="6" customFormat="false" ht="15" hidden="false" customHeight="false" outlineLevel="0" collapsed="false">
      <c r="A6" s="36"/>
      <c r="B6" s="37" t="s">
        <v>50</v>
      </c>
      <c r="C6" s="37"/>
      <c r="D6" s="37"/>
      <c r="E6" s="37"/>
      <c r="F6" s="37"/>
      <c r="H6" s="10" t="s">
        <v>24</v>
      </c>
      <c r="I6" s="11" t="s">
        <v>2</v>
      </c>
      <c r="J6" s="12" t="s">
        <v>3</v>
      </c>
      <c r="K6" s="39" t="s">
        <v>51</v>
      </c>
      <c r="N6" s="40" t="s">
        <v>24</v>
      </c>
      <c r="O6" s="41" t="s">
        <v>52</v>
      </c>
      <c r="Q6" s="40" t="s">
        <v>24</v>
      </c>
      <c r="R6" s="41" t="s">
        <v>52</v>
      </c>
      <c r="T6" s="40" t="s">
        <v>24</v>
      </c>
      <c r="U6" s="41" t="s">
        <v>52</v>
      </c>
    </row>
    <row r="7" customFormat="false" ht="14.4" hidden="false" customHeight="false" outlineLevel="0" collapsed="false">
      <c r="A7" s="42" t="s">
        <v>53</v>
      </c>
      <c r="B7" s="43" t="n">
        <v>0.3333</v>
      </c>
      <c r="C7" s="44" t="n">
        <v>-0.1636</v>
      </c>
      <c r="D7" s="44" t="n">
        <v>-0.021</v>
      </c>
      <c r="E7" s="44" t="n">
        <v>0.0796</v>
      </c>
      <c r="F7" s="45" t="n">
        <v>-0.0283</v>
      </c>
      <c r="H7" s="46" t="s">
        <v>25</v>
      </c>
      <c r="I7" s="47" t="n">
        <v>158341.037424258</v>
      </c>
      <c r="J7" s="48" t="n">
        <v>157120.704276551</v>
      </c>
      <c r="K7" s="49" t="n">
        <f aca="false">I7+J7</f>
        <v>315461.741700809</v>
      </c>
      <c r="N7" s="50" t="n">
        <v>0</v>
      </c>
      <c r="O7" s="51" t="n">
        <f aca="false" t="array" ref="O7:O11">MMULT($B$7:$F$11,K7:K11)</f>
        <v>58886.4770712848</v>
      </c>
      <c r="P7" s="52" t="n">
        <f aca="false">SUM(O7:O11)</f>
        <v>315461.741700809</v>
      </c>
      <c r="Q7" s="50" t="n">
        <v>35</v>
      </c>
      <c r="R7" s="51" t="n">
        <f aca="false" t="array" ref="R7:R11">MMULT($B$19:$F$23,K12:$K$16)</f>
        <v>51218.7373968217</v>
      </c>
      <c r="S7" s="52" t="n">
        <f aca="false">SUM(R7:R11)</f>
        <v>255566.920274729</v>
      </c>
      <c r="T7" s="50" t="n">
        <v>70</v>
      </c>
      <c r="U7" s="51" t="n">
        <f aca="false" t="array" ref="U7:U11">MMULT(B31:F35,K17:K21)</f>
        <v>14438.312175191</v>
      </c>
      <c r="V7" s="52" t="n">
        <f aca="false">SUM(U7:U11)</f>
        <v>63509.3044446004</v>
      </c>
    </row>
    <row r="8" customFormat="false" ht="14.4" hidden="false" customHeight="false" outlineLevel="0" collapsed="false">
      <c r="A8" s="53" t="s">
        <v>54</v>
      </c>
      <c r="B8" s="54" t="n">
        <v>0.2595</v>
      </c>
      <c r="C8" s="55" t="n">
        <v>-0.078</v>
      </c>
      <c r="D8" s="55" t="n">
        <v>0.013</v>
      </c>
      <c r="E8" s="55" t="n">
        <v>0.01</v>
      </c>
      <c r="F8" s="56" t="n">
        <v>-0.0045</v>
      </c>
      <c r="H8" s="29" t="s">
        <v>26</v>
      </c>
      <c r="I8" s="57" t="n">
        <v>173378.59386838</v>
      </c>
      <c r="J8" s="58" t="n">
        <v>167454.091229271</v>
      </c>
      <c r="K8" s="59" t="n">
        <f aca="false">I8+J8</f>
        <v>340832.68509765</v>
      </c>
      <c r="N8" s="60" t="n">
        <v>1</v>
      </c>
      <c r="O8" s="61" t="n">
        <v>61566.0859823641</v>
      </c>
      <c r="P8" s="52"/>
      <c r="Q8" s="60" t="n">
        <v>36</v>
      </c>
      <c r="R8" s="61" t="n">
        <v>51033.2074137291</v>
      </c>
      <c r="S8" s="52"/>
      <c r="T8" s="60" t="n">
        <v>71</v>
      </c>
      <c r="U8" s="61" t="n">
        <v>13540.1077602291</v>
      </c>
      <c r="V8" s="52"/>
    </row>
    <row r="9" customFormat="false" ht="14.4" hidden="false" customHeight="false" outlineLevel="0" collapsed="false">
      <c r="A9" s="53" t="s">
        <v>55</v>
      </c>
      <c r="B9" s="54" t="n">
        <v>0.1924</v>
      </c>
      <c r="C9" s="55" t="n">
        <v>0.0064</v>
      </c>
      <c r="D9" s="55" t="n">
        <v>0.0184</v>
      </c>
      <c r="E9" s="55" t="n">
        <v>-0.0256</v>
      </c>
      <c r="F9" s="56" t="n">
        <v>0.0084</v>
      </c>
      <c r="H9" s="29" t="s">
        <v>27</v>
      </c>
      <c r="I9" s="57" t="n">
        <v>175607.565710407</v>
      </c>
      <c r="J9" s="58" t="n">
        <v>168966.733408815</v>
      </c>
      <c r="K9" s="59" t="n">
        <f aca="false">I9+J9</f>
        <v>344574.299119221</v>
      </c>
      <c r="N9" s="60" t="n">
        <v>2</v>
      </c>
      <c r="O9" s="61" t="n">
        <v>63614.7417829677</v>
      </c>
      <c r="P9" s="52"/>
      <c r="Q9" s="50" t="n">
        <v>37</v>
      </c>
      <c r="R9" s="61" t="n">
        <v>50976.0198477247</v>
      </c>
      <c r="S9" s="52"/>
      <c r="T9" s="50" t="n">
        <v>72</v>
      </c>
      <c r="U9" s="61" t="n">
        <v>12666.5180917052</v>
      </c>
      <c r="V9" s="52"/>
    </row>
    <row r="10" customFormat="false" ht="14.4" hidden="false" customHeight="false" outlineLevel="0" collapsed="false">
      <c r="A10" s="53" t="s">
        <v>56</v>
      </c>
      <c r="B10" s="54" t="n">
        <v>0.1329</v>
      </c>
      <c r="C10" s="55" t="n">
        <v>0.0844</v>
      </c>
      <c r="D10" s="55" t="n">
        <v>0.0054</v>
      </c>
      <c r="E10" s="55" t="n">
        <v>-0.0356</v>
      </c>
      <c r="F10" s="56" t="n">
        <v>0.0129</v>
      </c>
      <c r="H10" s="29" t="s">
        <v>28</v>
      </c>
      <c r="I10" s="57" t="n">
        <v>160742.084291791</v>
      </c>
      <c r="J10" s="58" t="n">
        <v>160074.958480383</v>
      </c>
      <c r="K10" s="59" t="n">
        <f aca="false">I10+J10</f>
        <v>320817.042772174</v>
      </c>
      <c r="N10" s="60" t="n">
        <v>3</v>
      </c>
      <c r="O10" s="61" t="n">
        <v>65141.0041407654</v>
      </c>
      <c r="P10" s="52"/>
      <c r="Q10" s="60" t="n">
        <v>38</v>
      </c>
      <c r="R10" s="61" t="n">
        <v>51082.4848086259</v>
      </c>
      <c r="S10" s="52"/>
      <c r="T10" s="60" t="n">
        <v>73</v>
      </c>
      <c r="U10" s="61" t="n">
        <v>11828.2712203962</v>
      </c>
      <c r="V10" s="52"/>
    </row>
    <row r="11" customFormat="false" ht="14.4" hidden="false" customHeight="false" outlineLevel="0" collapsed="false">
      <c r="A11" s="53" t="s">
        <v>57</v>
      </c>
      <c r="B11" s="62" t="n">
        <v>0.0819</v>
      </c>
      <c r="C11" s="63" t="n">
        <v>0.1508</v>
      </c>
      <c r="D11" s="63" t="n">
        <v>-0.0158</v>
      </c>
      <c r="E11" s="63" t="n">
        <v>-0.0284</v>
      </c>
      <c r="F11" s="64" t="n">
        <v>0.0115</v>
      </c>
      <c r="H11" s="29" t="s">
        <v>29</v>
      </c>
      <c r="I11" s="57" t="n">
        <v>154442.337573101</v>
      </c>
      <c r="J11" s="58" t="n">
        <v>156429.410793703</v>
      </c>
      <c r="K11" s="59" t="n">
        <f aca="false">I11+J11</f>
        <v>310871.748366804</v>
      </c>
      <c r="N11" s="60" t="n">
        <v>4</v>
      </c>
      <c r="O11" s="61" t="n">
        <v>66253.4327234268</v>
      </c>
      <c r="P11" s="52"/>
      <c r="Q11" s="50" t="n">
        <v>39</v>
      </c>
      <c r="R11" s="61" t="n">
        <v>51256.4708078274</v>
      </c>
      <c r="S11" s="52"/>
      <c r="T11" s="50" t="n">
        <v>74</v>
      </c>
      <c r="U11" s="61" t="n">
        <v>11036.0951970788</v>
      </c>
      <c r="V11" s="52"/>
    </row>
    <row r="12" customFormat="false" ht="15" hidden="false" customHeight="false" outlineLevel="0" collapsed="false">
      <c r="A12" s="53"/>
      <c r="B12" s="37" t="s">
        <v>58</v>
      </c>
      <c r="C12" s="37"/>
      <c r="D12" s="37"/>
      <c r="E12" s="37"/>
      <c r="F12" s="37"/>
      <c r="H12" s="29" t="s">
        <v>30</v>
      </c>
      <c r="I12" s="57" t="n">
        <v>131733.436387211</v>
      </c>
      <c r="J12" s="58" t="n">
        <v>137547.39459217</v>
      </c>
      <c r="K12" s="59" t="n">
        <f aca="false">I12+J12</f>
        <v>269280.830979381</v>
      </c>
      <c r="N12" s="60" t="n">
        <v>5</v>
      </c>
      <c r="O12" s="51" t="n">
        <f aca="false" t="array" ref="O12:O16">MMULT($B$13:$F$17,K7:K11)</f>
        <v>67065.305235952</v>
      </c>
      <c r="P12" s="52" t="n">
        <f aca="false">SUM(O12:O16)</f>
        <v>340832.68509765</v>
      </c>
      <c r="Q12" s="60" t="n">
        <v>40</v>
      </c>
      <c r="R12" s="51" t="n">
        <f aca="false" t="array" ref="R12:R16">MMULT($B$19:$F$23,$K$13:$K$17)</f>
        <v>51486.6868151541</v>
      </c>
      <c r="S12" s="52" t="n">
        <f aca="false">SUM(R12:R16)</f>
        <v>252751.714586608</v>
      </c>
      <c r="T12" s="65" t="s">
        <v>59</v>
      </c>
      <c r="U12" s="66" t="n">
        <f aca="false">K22</f>
        <v>82555.492271528</v>
      </c>
      <c r="V12" s="52" t="n">
        <f aca="false">U12</f>
        <v>82555.492271528</v>
      </c>
    </row>
    <row r="13" customFormat="false" ht="14.4" hidden="false" customHeight="false" outlineLevel="0" collapsed="false">
      <c r="A13" s="53" t="s">
        <v>60</v>
      </c>
      <c r="B13" s="67" t="n">
        <v>0.0404</v>
      </c>
      <c r="C13" s="68" t="n">
        <v>0.2</v>
      </c>
      <c r="D13" s="68" t="n">
        <v>-0.0344</v>
      </c>
      <c r="E13" s="68" t="n">
        <v>-0.0128</v>
      </c>
      <c r="F13" s="69" t="n">
        <v>0.0068</v>
      </c>
      <c r="H13" s="29" t="s">
        <v>31</v>
      </c>
      <c r="I13" s="57" t="n">
        <v>125952.916053625</v>
      </c>
      <c r="J13" s="58" t="n">
        <v>133169.536009044</v>
      </c>
      <c r="K13" s="59" t="n">
        <f aca="false">I13+J13</f>
        <v>259122.452062669</v>
      </c>
      <c r="N13" s="60" t="n">
        <v>6</v>
      </c>
      <c r="O13" s="61" t="n">
        <v>67685.1813460109</v>
      </c>
      <c r="P13" s="52"/>
      <c r="Q13" s="50" t="n">
        <v>41</v>
      </c>
      <c r="R13" s="61" t="n">
        <v>51535.0702841333</v>
      </c>
      <c r="S13" s="52"/>
      <c r="T13" s="70"/>
      <c r="U13" s="71"/>
      <c r="V13" s="52"/>
    </row>
    <row r="14" customFormat="false" ht="14.4" hidden="false" customHeight="false" outlineLevel="0" collapsed="false">
      <c r="A14" s="53" t="s">
        <v>61</v>
      </c>
      <c r="B14" s="72" t="n">
        <v>0.0093</v>
      </c>
      <c r="C14" s="73" t="n">
        <v>0.2268</v>
      </c>
      <c r="D14" s="73" t="n">
        <v>-0.0402</v>
      </c>
      <c r="E14" s="73" t="n">
        <v>0.0028</v>
      </c>
      <c r="F14" s="74" t="n">
        <v>0.0013</v>
      </c>
      <c r="H14" s="29" t="s">
        <v>32</v>
      </c>
      <c r="I14" s="57" t="n">
        <v>124006.067218533</v>
      </c>
      <c r="J14" s="58" t="n">
        <v>131560.853056196</v>
      </c>
      <c r="K14" s="59" t="n">
        <f aca="false">I14+J14</f>
        <v>255566.920274729</v>
      </c>
      <c r="N14" s="60" t="n">
        <v>7</v>
      </c>
      <c r="O14" s="61" t="n">
        <v>68207.4666092821</v>
      </c>
      <c r="P14" s="52"/>
      <c r="Q14" s="60" t="n">
        <v>42</v>
      </c>
      <c r="R14" s="61" t="n">
        <v>51114.5216294535</v>
      </c>
      <c r="S14" s="52"/>
      <c r="T14" s="70"/>
      <c r="U14" s="71"/>
      <c r="V14" s="52"/>
    </row>
    <row r="15" customFormat="false" ht="14.4" hidden="false" customHeight="false" outlineLevel="0" collapsed="false">
      <c r="A15" s="53" t="s">
        <v>62</v>
      </c>
      <c r="B15" s="72" t="n">
        <v>-0.0108</v>
      </c>
      <c r="C15" s="73" t="n">
        <v>0.2272</v>
      </c>
      <c r="D15" s="73" t="n">
        <v>-0.0248</v>
      </c>
      <c r="E15" s="73" t="n">
        <v>0.0112</v>
      </c>
      <c r="F15" s="74" t="n">
        <v>-0.0028</v>
      </c>
      <c r="H15" s="29" t="s">
        <v>33</v>
      </c>
      <c r="I15" s="57" t="n">
        <v>123088.667227896</v>
      </c>
      <c r="J15" s="58" t="n">
        <v>129663.047358712</v>
      </c>
      <c r="K15" s="59" t="n">
        <f aca="false">I15+J15</f>
        <v>252751.714586608</v>
      </c>
      <c r="N15" s="60" t="n">
        <v>8</v>
      </c>
      <c r="O15" s="61" t="n">
        <v>68702.9763947924</v>
      </c>
      <c r="P15" s="52"/>
      <c r="Q15" s="50" t="n">
        <v>43</v>
      </c>
      <c r="R15" s="61" t="n">
        <v>50067.2153435973</v>
      </c>
      <c r="S15" s="52"/>
      <c r="T15" s="70"/>
      <c r="U15" s="71"/>
      <c r="V15" s="52"/>
    </row>
    <row r="16" customFormat="false" ht="14.4" hidden="false" customHeight="false" outlineLevel="0" collapsed="false">
      <c r="A16" s="53" t="s">
        <v>63</v>
      </c>
      <c r="B16" s="72" t="n">
        <v>-0.0198</v>
      </c>
      <c r="C16" s="73" t="n">
        <v>0.1992</v>
      </c>
      <c r="D16" s="73" t="n">
        <v>0.0172</v>
      </c>
      <c r="E16" s="73" t="n">
        <v>0.0072</v>
      </c>
      <c r="F16" s="74" t="n">
        <v>-0.0038</v>
      </c>
      <c r="H16" s="29" t="s">
        <v>34</v>
      </c>
      <c r="I16" s="57" t="n">
        <v>106508.438171385</v>
      </c>
      <c r="J16" s="58" t="n">
        <v>112017.556113473</v>
      </c>
      <c r="K16" s="59" t="n">
        <f aca="false">I16+J16</f>
        <v>218525.994284857</v>
      </c>
      <c r="N16" s="60" t="n">
        <v>9</v>
      </c>
      <c r="O16" s="61" t="n">
        <v>69171.7555116132</v>
      </c>
      <c r="P16" s="52"/>
      <c r="Q16" s="60" t="n">
        <v>44</v>
      </c>
      <c r="R16" s="61" t="n">
        <v>48548.2205142703</v>
      </c>
      <c r="S16" s="52"/>
      <c r="T16" s="70"/>
      <c r="U16" s="71"/>
      <c r="V16" s="52"/>
    </row>
    <row r="17" customFormat="false" ht="14.4" hidden="false" customHeight="false" outlineLevel="0" collapsed="false">
      <c r="A17" s="53" t="s">
        <v>64</v>
      </c>
      <c r="B17" s="75" t="n">
        <v>-0.0191</v>
      </c>
      <c r="C17" s="76" t="n">
        <v>0.1468</v>
      </c>
      <c r="D17" s="76" t="n">
        <v>0.0822</v>
      </c>
      <c r="E17" s="76" t="n">
        <v>-0.0084</v>
      </c>
      <c r="F17" s="77" t="n">
        <v>-0.0015</v>
      </c>
      <c r="H17" s="29" t="s">
        <v>35</v>
      </c>
      <c r="I17" s="57" t="n">
        <v>88253.4789247684</v>
      </c>
      <c r="J17" s="58" t="n">
        <v>95064.3587758028</v>
      </c>
      <c r="K17" s="59" t="n">
        <f aca="false">I17+J17</f>
        <v>183317.837700571</v>
      </c>
      <c r="N17" s="60" t="n">
        <v>10</v>
      </c>
      <c r="O17" s="51" t="n">
        <f aca="false" t="array" ref="O17:O21">MMULT($B$19:$F$23,$K$7:$K$11)</f>
        <v>69538.36017153</v>
      </c>
      <c r="P17" s="52" t="n">
        <f aca="false">SUM(O17:O21)</f>
        <v>344574.299119221</v>
      </c>
      <c r="Q17" s="50" t="n">
        <v>45</v>
      </c>
      <c r="R17" s="51" t="n">
        <f aca="false" t="array" ref="R17:R21">MMULT($B$19:$F$23,$K$14:$K$18)</f>
        <v>46820.5061424417</v>
      </c>
      <c r="S17" s="52" t="n">
        <f aca="false">SUM(R17:R21)</f>
        <v>218525.994284857</v>
      </c>
    </row>
    <row r="18" customFormat="false" ht="14.4" hidden="false" customHeight="false" outlineLevel="0" collapsed="false">
      <c r="A18" s="53"/>
      <c r="B18" s="37" t="s">
        <v>65</v>
      </c>
      <c r="C18" s="37"/>
      <c r="D18" s="37"/>
      <c r="E18" s="37"/>
      <c r="F18" s="37"/>
      <c r="H18" s="29" t="s">
        <v>36</v>
      </c>
      <c r="I18" s="57" t="n">
        <v>68736.9696365024</v>
      </c>
      <c r="J18" s="58" t="n">
        <v>74613.6766102977</v>
      </c>
      <c r="K18" s="59" t="n">
        <f aca="false">I18+J18</f>
        <v>143350.6462468</v>
      </c>
      <c r="N18" s="60" t="n">
        <v>11</v>
      </c>
      <c r="O18" s="61" t="n">
        <v>69661.2940637034</v>
      </c>
      <c r="P18" s="52"/>
      <c r="Q18" s="60" t="n">
        <v>46</v>
      </c>
      <c r="R18" s="61" t="n">
        <v>45136.0027049629</v>
      </c>
      <c r="S18" s="52"/>
    </row>
    <row r="19" customFormat="false" ht="14.4" hidden="false" customHeight="false" outlineLevel="0" collapsed="false">
      <c r="A19" s="53" t="s">
        <v>66</v>
      </c>
      <c r="B19" s="67" t="n">
        <v>-0.0117</v>
      </c>
      <c r="C19" s="68" t="n">
        <v>0.0804</v>
      </c>
      <c r="D19" s="68" t="n">
        <v>0.157</v>
      </c>
      <c r="E19" s="68" t="n">
        <v>-0.0284</v>
      </c>
      <c r="F19" s="69" t="n">
        <v>0.0027</v>
      </c>
      <c r="H19" s="29" t="s">
        <v>37</v>
      </c>
      <c r="I19" s="57" t="n">
        <v>52813.0267237831</v>
      </c>
      <c r="J19" s="58" t="n">
        <v>57404.3705438159</v>
      </c>
      <c r="K19" s="59" t="n">
        <f aca="false">I19+J19</f>
        <v>110217.397267599</v>
      </c>
      <c r="N19" s="60" t="n">
        <v>12</v>
      </c>
      <c r="O19" s="61" t="n">
        <v>69370.7526533115</v>
      </c>
      <c r="P19" s="52"/>
      <c r="Q19" s="50" t="n">
        <v>47</v>
      </c>
      <c r="R19" s="61" t="n">
        <v>43542.0349626415</v>
      </c>
      <c r="S19" s="52"/>
    </row>
    <row r="20" customFormat="false" ht="14.4" hidden="false" customHeight="false" outlineLevel="0" collapsed="false">
      <c r="A20" s="53" t="s">
        <v>67</v>
      </c>
      <c r="B20" s="72" t="n">
        <v>-0.002</v>
      </c>
      <c r="C20" s="73" t="n">
        <v>0.016</v>
      </c>
      <c r="D20" s="73" t="n">
        <v>0.22</v>
      </c>
      <c r="E20" s="73" t="n">
        <v>-0.04</v>
      </c>
      <c r="F20" s="74" t="n">
        <v>0.006</v>
      </c>
      <c r="H20" s="29" t="s">
        <v>38</v>
      </c>
      <c r="I20" s="57" t="n">
        <v>40090.4796344414</v>
      </c>
      <c r="J20" s="58" t="n">
        <v>45727.4131895563</v>
      </c>
      <c r="K20" s="59" t="n">
        <f aca="false">I20+J20</f>
        <v>85817.8928239976</v>
      </c>
      <c r="N20" s="60" t="n">
        <v>13</v>
      </c>
      <c r="O20" s="61" t="n">
        <v>68577.1380401487</v>
      </c>
      <c r="P20" s="52"/>
      <c r="Q20" s="60" t="n">
        <v>48</v>
      </c>
      <c r="R20" s="61" t="n">
        <v>42145.4357915682</v>
      </c>
      <c r="S20" s="52"/>
    </row>
    <row r="21" customFormat="false" ht="14.4" hidden="false" customHeight="false" outlineLevel="0" collapsed="false">
      <c r="A21" s="53" t="s">
        <v>68</v>
      </c>
      <c r="B21" s="72" t="n">
        <v>0.005</v>
      </c>
      <c r="C21" s="73" t="n">
        <v>-0.028</v>
      </c>
      <c r="D21" s="73" t="n">
        <v>0.246</v>
      </c>
      <c r="E21" s="73" t="n">
        <v>-0.028</v>
      </c>
      <c r="F21" s="74" t="n">
        <v>0.005</v>
      </c>
      <c r="H21" s="29" t="s">
        <v>39</v>
      </c>
      <c r="I21" s="57" t="n">
        <v>29844.0121272433</v>
      </c>
      <c r="J21" s="58" t="n">
        <v>33665.2923173571</v>
      </c>
      <c r="K21" s="59" t="n">
        <f aca="false">I21+J21</f>
        <v>63509.3044446004</v>
      </c>
      <c r="N21" s="60" t="n">
        <v>14</v>
      </c>
      <c r="O21" s="61" t="n">
        <v>67426.7541905279</v>
      </c>
      <c r="P21" s="52"/>
      <c r="Q21" s="50" t="n">
        <v>49</v>
      </c>
      <c r="R21" s="61" t="n">
        <v>40882.0146832431</v>
      </c>
      <c r="S21" s="52"/>
    </row>
    <row r="22" customFormat="false" ht="15" hidden="false" customHeight="false" outlineLevel="0" collapsed="false">
      <c r="A22" s="53" t="s">
        <v>69</v>
      </c>
      <c r="B22" s="72" t="n">
        <v>0.006</v>
      </c>
      <c r="C22" s="73" t="n">
        <v>-0.04</v>
      </c>
      <c r="D22" s="73" t="n">
        <v>0.22</v>
      </c>
      <c r="E22" s="73" t="n">
        <v>0.016</v>
      </c>
      <c r="F22" s="74" t="n">
        <v>-0.002</v>
      </c>
      <c r="H22" s="78" t="s">
        <v>40</v>
      </c>
      <c r="I22" s="79" t="n">
        <v>38735.8890266747</v>
      </c>
      <c r="J22" s="80" t="n">
        <v>43819.6032448533</v>
      </c>
      <c r="K22" s="81" t="n">
        <f aca="false">I22+J22</f>
        <v>82555.492271528</v>
      </c>
      <c r="N22" s="60" t="n">
        <v>15</v>
      </c>
      <c r="O22" s="51" t="n">
        <f aca="false" t="array" ref="O22:O26">MMULT($B$19:$F$23,$K$8:$K$12)</f>
        <v>65982.6075388013</v>
      </c>
      <c r="P22" s="52" t="n">
        <f aca="false">SUM(O22:O26)</f>
        <v>320817.042772174</v>
      </c>
      <c r="Q22" s="60" t="n">
        <v>50</v>
      </c>
      <c r="R22" s="51" t="n">
        <f aca="false" t="array" ref="R22:R26">MMULT($B$19:$F$23,$K$15:$K$19)</f>
        <v>39619.6240180423</v>
      </c>
      <c r="S22" s="52" t="n">
        <f aca="false">SUM(R22:R26)</f>
        <v>183317.837700571</v>
      </c>
    </row>
    <row r="23" customFormat="false" ht="14.4" hidden="false" customHeight="false" outlineLevel="0" collapsed="false">
      <c r="A23" s="53" t="s">
        <v>70</v>
      </c>
      <c r="B23" s="75" t="n">
        <v>0.0027</v>
      </c>
      <c r="C23" s="76" t="n">
        <v>-0.0284</v>
      </c>
      <c r="D23" s="76" t="n">
        <v>0.157</v>
      </c>
      <c r="E23" s="76" t="n">
        <v>0.0804</v>
      </c>
      <c r="F23" s="77" t="n">
        <v>-0.0117</v>
      </c>
      <c r="N23" s="60" t="n">
        <v>16</v>
      </c>
      <c r="O23" s="61" t="n">
        <v>64592.0878767947</v>
      </c>
      <c r="P23" s="52"/>
      <c r="Q23" s="50" t="n">
        <v>51</v>
      </c>
      <c r="R23" s="61" t="n">
        <v>38248.1153072438</v>
      </c>
      <c r="S23" s="52"/>
    </row>
    <row r="24" customFormat="false" ht="14.4" hidden="false" customHeight="false" outlineLevel="0" collapsed="false">
      <c r="A24" s="53"/>
      <c r="B24" s="37" t="s">
        <v>71</v>
      </c>
      <c r="C24" s="37"/>
      <c r="D24" s="37"/>
      <c r="E24" s="37"/>
      <c r="F24" s="37"/>
      <c r="N24" s="60" t="n">
        <v>17</v>
      </c>
      <c r="O24" s="61" t="n">
        <v>63619.0707727313</v>
      </c>
      <c r="P24" s="52"/>
      <c r="Q24" s="60" t="n">
        <v>52</v>
      </c>
      <c r="R24" s="61" t="n">
        <v>36778.4876987251</v>
      </c>
      <c r="S24" s="52"/>
    </row>
    <row r="25" customFormat="false" ht="14.4" hidden="false" customHeight="false" outlineLevel="0" collapsed="false">
      <c r="A25" s="53" t="s">
        <v>72</v>
      </c>
      <c r="B25" s="67" t="n">
        <v>-0.0015</v>
      </c>
      <c r="C25" s="68" t="n">
        <v>-0.0084</v>
      </c>
      <c r="D25" s="68" t="n">
        <v>0.0822</v>
      </c>
      <c r="E25" s="68" t="n">
        <v>0.1468</v>
      </c>
      <c r="F25" s="69" t="n">
        <v>-0.0191</v>
      </c>
      <c r="N25" s="60" t="n">
        <v>18</v>
      </c>
      <c r="O25" s="61" t="n">
        <v>63277.1598676055</v>
      </c>
      <c r="P25" s="52"/>
      <c r="Q25" s="50" t="n">
        <v>53</v>
      </c>
      <c r="R25" s="61" t="n">
        <v>35178.5703556646</v>
      </c>
      <c r="S25" s="52"/>
    </row>
    <row r="26" customFormat="false" ht="14.4" hidden="false" customHeight="false" outlineLevel="0" collapsed="false">
      <c r="A26" s="53" t="s">
        <v>73</v>
      </c>
      <c r="B26" s="72" t="n">
        <v>-0.0038</v>
      </c>
      <c r="C26" s="73" t="n">
        <v>0.0072</v>
      </c>
      <c r="D26" s="73" t="n">
        <v>0.0172</v>
      </c>
      <c r="E26" s="73" t="n">
        <v>0.1992</v>
      </c>
      <c r="F26" s="74" t="n">
        <v>-0.0198</v>
      </c>
      <c r="N26" s="60" t="n">
        <v>19</v>
      </c>
      <c r="O26" s="61" t="n">
        <v>63346.1167162414</v>
      </c>
      <c r="P26" s="52"/>
      <c r="Q26" s="60" t="n">
        <v>54</v>
      </c>
      <c r="R26" s="61" t="n">
        <v>33493.0403208954</v>
      </c>
      <c r="S26" s="52"/>
    </row>
    <row r="27" customFormat="false" ht="14.4" hidden="false" customHeight="false" outlineLevel="0" collapsed="false">
      <c r="A27" s="53" t="s">
        <v>74</v>
      </c>
      <c r="B27" s="72" t="n">
        <v>-0.0028</v>
      </c>
      <c r="C27" s="73" t="n">
        <v>0.0112</v>
      </c>
      <c r="D27" s="73" t="n">
        <v>-0.0248</v>
      </c>
      <c r="E27" s="73" t="n">
        <v>0.2272</v>
      </c>
      <c r="F27" s="74" t="n">
        <v>-0.0108</v>
      </c>
      <c r="N27" s="60" t="n">
        <v>20</v>
      </c>
      <c r="O27" s="51" t="n">
        <f aca="false" t="array" ref="O27:O31">MMULT($B$19:$F$23,$K$9:$K$13)</f>
        <v>63621.090453531</v>
      </c>
      <c r="P27" s="52" t="n">
        <f aca="false">SUM(O27:O31)</f>
        <v>310871.748366804</v>
      </c>
      <c r="Q27" s="50" t="n">
        <v>55</v>
      </c>
      <c r="R27" s="51" t="n">
        <f aca="false" t="array" ref="R27:R31">MMULT($B$19:$F$23,$K$16:$K$20)</f>
        <v>31789.5857069657</v>
      </c>
      <c r="S27" s="52" t="n">
        <f aca="false">SUM(R27:R31)</f>
        <v>143350.6462468</v>
      </c>
    </row>
    <row r="28" customFormat="false" ht="14.4" hidden="false" customHeight="false" outlineLevel="0" collapsed="false">
      <c r="A28" s="53" t="s">
        <v>75</v>
      </c>
      <c r="B28" s="72" t="n">
        <v>0.0013</v>
      </c>
      <c r="C28" s="73" t="n">
        <v>0.0028</v>
      </c>
      <c r="D28" s="73" t="n">
        <v>-0.0402</v>
      </c>
      <c r="E28" s="73" t="n">
        <v>0.2268</v>
      </c>
      <c r="F28" s="74" t="n">
        <v>0.0093</v>
      </c>
      <c r="N28" s="60" t="n">
        <v>21</v>
      </c>
      <c r="O28" s="61" t="n">
        <v>63619.2102000141</v>
      </c>
      <c r="P28" s="52"/>
      <c r="Q28" s="60" t="n">
        <v>56</v>
      </c>
      <c r="R28" s="61" t="n">
        <v>30139.3870551755</v>
      </c>
      <c r="S28" s="52"/>
    </row>
    <row r="29" customFormat="false" ht="14.4" hidden="false" customHeight="false" outlineLevel="0" collapsed="false">
      <c r="A29" s="53" t="s">
        <v>76</v>
      </c>
      <c r="B29" s="75" t="n">
        <v>0.0068</v>
      </c>
      <c r="C29" s="76" t="n">
        <v>-0.0128</v>
      </c>
      <c r="D29" s="76" t="n">
        <v>-0.0344</v>
      </c>
      <c r="E29" s="76" t="n">
        <v>0.2</v>
      </c>
      <c r="F29" s="77" t="n">
        <v>0.0404</v>
      </c>
      <c r="N29" s="60" t="n">
        <v>22</v>
      </c>
      <c r="O29" s="61" t="n">
        <v>62970.1933890998</v>
      </c>
      <c r="P29" s="52"/>
      <c r="Q29" s="50" t="n">
        <v>57</v>
      </c>
      <c r="R29" s="61" t="n">
        <v>28566.9918331483</v>
      </c>
      <c r="S29" s="52"/>
    </row>
    <row r="30" customFormat="false" ht="14.4" hidden="false" customHeight="false" outlineLevel="0" collapsed="false">
      <c r="A30" s="53"/>
      <c r="B30" s="37" t="s">
        <v>77</v>
      </c>
      <c r="C30" s="37"/>
      <c r="D30" s="37"/>
      <c r="E30" s="37"/>
      <c r="F30" s="37"/>
      <c r="N30" s="60" t="n">
        <v>23</v>
      </c>
      <c r="O30" s="61" t="n">
        <v>61416.7971160701</v>
      </c>
      <c r="P30" s="52"/>
      <c r="Q30" s="60" t="n">
        <v>58</v>
      </c>
      <c r="R30" s="61" t="n">
        <v>27107.4272026159</v>
      </c>
      <c r="S30" s="52"/>
    </row>
    <row r="31" customFormat="false" ht="14.4" hidden="false" customHeight="false" outlineLevel="0" collapsed="false">
      <c r="A31" s="53" t="s">
        <v>78</v>
      </c>
      <c r="B31" s="67" t="n">
        <v>0.0115</v>
      </c>
      <c r="C31" s="68" t="n">
        <v>-0.0284</v>
      </c>
      <c r="D31" s="68" t="n">
        <v>-0.0158</v>
      </c>
      <c r="E31" s="68" t="n">
        <v>0.1508</v>
      </c>
      <c r="F31" s="69" t="n">
        <v>0.0819</v>
      </c>
      <c r="N31" s="60" t="n">
        <v>24</v>
      </c>
      <c r="O31" s="61" t="n">
        <v>59244.4572080894</v>
      </c>
      <c r="P31" s="52"/>
      <c r="Q31" s="50" t="n">
        <v>59</v>
      </c>
      <c r="R31" s="61" t="n">
        <v>25747.2544488947</v>
      </c>
      <c r="S31" s="52"/>
    </row>
    <row r="32" customFormat="false" ht="14.4" hidden="false" customHeight="false" outlineLevel="0" collapsed="false">
      <c r="A32" s="53" t="s">
        <v>79</v>
      </c>
      <c r="B32" s="72" t="n">
        <v>0.0129</v>
      </c>
      <c r="C32" s="73" t="n">
        <v>-0.0356</v>
      </c>
      <c r="D32" s="73" t="n">
        <v>0.0054</v>
      </c>
      <c r="E32" s="73" t="n">
        <v>0.0844</v>
      </c>
      <c r="F32" s="74" t="n">
        <v>0.1329</v>
      </c>
      <c r="N32" s="60" t="n">
        <v>25</v>
      </c>
      <c r="O32" s="51" t="n">
        <f aca="false" t="array" ref="O32:O36">MMULT($B$19:$F$23,$K$10:$K$14)</f>
        <v>56848.5726781814</v>
      </c>
      <c r="P32" s="52" t="n">
        <f aca="false">SUM(O32:O36)</f>
        <v>269280.830979381</v>
      </c>
      <c r="Q32" s="60" t="n">
        <v>60</v>
      </c>
      <c r="R32" s="51" t="n">
        <f aca="false" t="array" ref="R32:R36">MMULT($B$19:$F$23,$K$17:$K$21)</f>
        <v>24418.951593958</v>
      </c>
      <c r="S32" s="52" t="n">
        <f aca="false">SUM(R32:R36)</f>
        <v>110217.397267599</v>
      </c>
    </row>
    <row r="33" customFormat="false" ht="14.4" hidden="false" customHeight="false" outlineLevel="0" collapsed="false">
      <c r="A33" s="53" t="s">
        <v>80</v>
      </c>
      <c r="B33" s="72" t="n">
        <v>0.0084</v>
      </c>
      <c r="C33" s="73" t="n">
        <v>-0.0256</v>
      </c>
      <c r="D33" s="73" t="n">
        <v>0.0184</v>
      </c>
      <c r="E33" s="73" t="n">
        <v>0.0064</v>
      </c>
      <c r="F33" s="74" t="n">
        <v>0.1924</v>
      </c>
      <c r="N33" s="60" t="n">
        <v>26</v>
      </c>
      <c r="O33" s="61" t="n">
        <v>54742.6001429299</v>
      </c>
      <c r="P33" s="52"/>
      <c r="Q33" s="50" t="n">
        <v>61</v>
      </c>
      <c r="R33" s="61" t="n">
        <v>23123.1421771271</v>
      </c>
      <c r="S33" s="52"/>
    </row>
    <row r="34" customFormat="false" ht="14.4" hidden="false" customHeight="false" outlineLevel="0" collapsed="false">
      <c r="A34" s="53" t="s">
        <v>81</v>
      </c>
      <c r="B34" s="72" t="n">
        <v>-0.0045</v>
      </c>
      <c r="C34" s="73" t="n">
        <v>0.01</v>
      </c>
      <c r="D34" s="73" t="n">
        <v>0.013</v>
      </c>
      <c r="E34" s="73" t="n">
        <v>-0.078</v>
      </c>
      <c r="F34" s="74" t="n">
        <v>0.2595</v>
      </c>
      <c r="N34" s="60" t="n">
        <v>27</v>
      </c>
      <c r="O34" s="61" t="n">
        <v>53165.1666241369</v>
      </c>
      <c r="P34" s="52"/>
      <c r="Q34" s="60" t="n">
        <v>62</v>
      </c>
      <c r="R34" s="61" t="n">
        <v>21930.8963445729</v>
      </c>
      <c r="S34" s="52"/>
    </row>
    <row r="35" customFormat="false" ht="14.4" hidden="false" customHeight="false" outlineLevel="0" collapsed="false">
      <c r="A35" s="82" t="s">
        <v>82</v>
      </c>
      <c r="B35" s="75" t="n">
        <v>-0.0283</v>
      </c>
      <c r="C35" s="76" t="n">
        <v>0.0796</v>
      </c>
      <c r="D35" s="76" t="n">
        <v>-0.021</v>
      </c>
      <c r="E35" s="76" t="n">
        <v>-0.1636</v>
      </c>
      <c r="F35" s="77" t="n">
        <v>0.3333</v>
      </c>
      <c r="N35" s="60" t="n">
        <v>28</v>
      </c>
      <c r="O35" s="61" t="n">
        <v>52366.6405298779</v>
      </c>
      <c r="P35" s="52"/>
      <c r="Q35" s="50" t="n">
        <v>63</v>
      </c>
      <c r="R35" s="61" t="n">
        <v>20859.776251498</v>
      </c>
      <c r="S35" s="52"/>
    </row>
    <row r="36" customFormat="false" ht="14.4" hidden="false" customHeight="true" outlineLevel="0" collapsed="false">
      <c r="A36" s="83" t="s">
        <v>83</v>
      </c>
      <c r="B36" s="83"/>
      <c r="C36" s="83"/>
      <c r="D36" s="83"/>
      <c r="E36" s="83"/>
      <c r="F36" s="83"/>
      <c r="N36" s="60" t="n">
        <v>29</v>
      </c>
      <c r="O36" s="61" t="n">
        <v>52157.8510042547</v>
      </c>
      <c r="P36" s="52"/>
      <c r="Q36" s="60" t="n">
        <v>64</v>
      </c>
      <c r="R36" s="61" t="n">
        <v>19884.630900443</v>
      </c>
      <c r="S36" s="52"/>
    </row>
    <row r="37" customFormat="false" ht="14.4" hidden="false" customHeight="false" outlineLevel="0" collapsed="false">
      <c r="A37" s="83"/>
      <c r="B37" s="83"/>
      <c r="C37" s="83"/>
      <c r="D37" s="83"/>
      <c r="E37" s="83"/>
      <c r="F37" s="83"/>
      <c r="N37" s="60" t="n">
        <v>30</v>
      </c>
      <c r="O37" s="51" t="n">
        <f aca="false" t="array" ref="O37:O41">MMULT($B$19:$F$23,$K$11:$K$15)</f>
        <v>52119.5334222712</v>
      </c>
      <c r="P37" s="52" t="n">
        <f aca="false">SUM(O37:O41)</f>
        <v>259122.452062669</v>
      </c>
      <c r="Q37" s="50" t="n">
        <v>65</v>
      </c>
      <c r="R37" s="51" t="n">
        <f aca="false" t="array" ref="R37:R41">MMULT($B$25:$F$29,$K$17:$K$21)</f>
        <v>18965.7868220436</v>
      </c>
      <c r="S37" s="52" t="n">
        <f aca="false">SUM(R37:R41)</f>
        <v>85817.8928239976</v>
      </c>
    </row>
    <row r="38" customFormat="false" ht="14.4" hidden="false" customHeight="false" outlineLevel="0" collapsed="false">
      <c r="A38" s="83"/>
      <c r="B38" s="83"/>
      <c r="C38" s="83"/>
      <c r="D38" s="83"/>
      <c r="E38" s="83"/>
      <c r="F38" s="83"/>
      <c r="N38" s="60" t="n">
        <v>31</v>
      </c>
      <c r="O38" s="61" t="n">
        <v>51987.5227292542</v>
      </c>
      <c r="Q38" s="60" t="n">
        <v>66</v>
      </c>
      <c r="R38" s="61" t="n">
        <v>18068.6961252547</v>
      </c>
    </row>
    <row r="39" customFormat="false" ht="14.4" hidden="false" customHeight="false" outlineLevel="0" collapsed="false">
      <c r="A39" s="83"/>
      <c r="B39" s="83"/>
      <c r="C39" s="83"/>
      <c r="D39" s="83"/>
      <c r="E39" s="83"/>
      <c r="F39" s="83"/>
      <c r="N39" s="60" t="n">
        <v>32</v>
      </c>
      <c r="O39" s="61" t="n">
        <v>51866.5034870686</v>
      </c>
      <c r="Q39" s="50" t="n">
        <v>67</v>
      </c>
      <c r="R39" s="61" t="n">
        <v>17170.7706017767</v>
      </c>
    </row>
    <row r="40" customFormat="false" ht="14.4" hidden="false" customHeight="false" outlineLevel="0" collapsed="false">
      <c r="N40" s="60" t="n">
        <v>33</v>
      </c>
      <c r="O40" s="61" t="n">
        <v>51684.5040000352</v>
      </c>
      <c r="Q40" s="60" t="n">
        <v>68</v>
      </c>
      <c r="R40" s="61" t="n">
        <v>16263.0902521617</v>
      </c>
    </row>
    <row r="41" customFormat="false" ht="15" hidden="false" customHeight="false" outlineLevel="0" collapsed="false">
      <c r="N41" s="65" t="n">
        <v>34</v>
      </c>
      <c r="O41" s="61" t="n">
        <v>51464.3884240399</v>
      </c>
      <c r="Q41" s="84" t="n">
        <v>69</v>
      </c>
      <c r="R41" s="85" t="n">
        <v>15349.5490227608</v>
      </c>
    </row>
  </sheetData>
  <mergeCells count="8">
    <mergeCell ref="A4:A6"/>
    <mergeCell ref="B4:F4"/>
    <mergeCell ref="B6:F6"/>
    <mergeCell ref="B12:F12"/>
    <mergeCell ref="B18:F18"/>
    <mergeCell ref="B24:F24"/>
    <mergeCell ref="B30:F30"/>
    <mergeCell ref="A36:F39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G8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G8" activeCellId="0" sqref="G8"/>
    </sheetView>
  </sheetViews>
  <sheetFormatPr defaultRowHeight="14.4"/>
  <cols>
    <col collapsed="false" hidden="false" max="1025" min="1" style="0" width="10.530612244898"/>
  </cols>
  <sheetData>
    <row r="2" customFormat="false" ht="14.4" hidden="false" customHeight="true" outlineLevel="0" collapsed="false">
      <c r="B2" s="86" t="s">
        <v>84</v>
      </c>
      <c r="C2" s="86"/>
      <c r="F2" s="86" t="s">
        <v>85</v>
      </c>
      <c r="G2" s="86"/>
    </row>
    <row r="3" customFormat="false" ht="14.4" hidden="false" customHeight="false" outlineLevel="0" collapsed="false">
      <c r="B3" s="86"/>
      <c r="C3" s="86"/>
      <c r="F3" s="86"/>
      <c r="G3" s="86"/>
    </row>
    <row r="4" customFormat="false" ht="15" hidden="false" customHeight="false" outlineLevel="0" collapsed="false"/>
    <row r="5" customFormat="false" ht="14.4" hidden="false" customHeight="false" outlineLevel="0" collapsed="false">
      <c r="B5" s="87" t="s">
        <v>24</v>
      </c>
      <c r="C5" s="88" t="s">
        <v>52</v>
      </c>
      <c r="F5" s="87" t="s">
        <v>24</v>
      </c>
      <c r="G5" s="88" t="s">
        <v>52</v>
      </c>
    </row>
    <row r="6" customFormat="false" ht="14.4" hidden="false" customHeight="false" outlineLevel="0" collapsed="false">
      <c r="B6" s="60" t="n">
        <v>0</v>
      </c>
      <c r="C6" s="89" t="n">
        <v>58886.4770712848</v>
      </c>
      <c r="F6" s="60" t="n">
        <v>0</v>
      </c>
      <c r="G6" s="89" t="n">
        <v>58886.4770712848</v>
      </c>
    </row>
    <row r="7" customFormat="false" ht="14.4" hidden="false" customHeight="false" outlineLevel="0" collapsed="false">
      <c r="B7" s="60" t="n">
        <v>1</v>
      </c>
      <c r="C7" s="89" t="n">
        <v>61566.0859823641</v>
      </c>
      <c r="F7" s="60" t="n">
        <v>1</v>
      </c>
      <c r="G7" s="89" t="n">
        <v>61566.0859823641</v>
      </c>
    </row>
    <row r="8" customFormat="false" ht="14.4" hidden="false" customHeight="false" outlineLevel="0" collapsed="false">
      <c r="B8" s="60" t="n">
        <v>2</v>
      </c>
      <c r="C8" s="89" t="n">
        <v>63614.7417829677</v>
      </c>
      <c r="F8" s="60" t="n">
        <v>2</v>
      </c>
      <c r="G8" s="89" t="n">
        <f aca="false">(-C6+4*C7+10*C8+4*C9-C10)/16</f>
        <v>63614.7417829677</v>
      </c>
    </row>
    <row r="9" customFormat="false" ht="14.4" hidden="false" customHeight="false" outlineLevel="0" collapsed="false">
      <c r="B9" s="60" t="n">
        <v>3</v>
      </c>
      <c r="C9" s="89" t="n">
        <v>65141.0041407654</v>
      </c>
      <c r="F9" s="60" t="n">
        <v>3</v>
      </c>
      <c r="G9" s="89" t="n">
        <f aca="false">(-C7+4*C8+10*C9+4*C10-C11)/16</f>
        <v>65140.7092634322</v>
      </c>
    </row>
    <row r="10" customFormat="false" ht="14.4" hidden="false" customHeight="false" outlineLevel="0" collapsed="false">
      <c r="B10" s="60" t="n">
        <v>4</v>
      </c>
      <c r="C10" s="89" t="n">
        <v>66253.4327234267</v>
      </c>
      <c r="F10" s="60" t="n">
        <v>4</v>
      </c>
      <c r="G10" s="89" t="n">
        <f aca="false">(-C8+4*C9+10*C10+4*C11-C12)/16</f>
        <v>66253.7276007599</v>
      </c>
    </row>
    <row r="11" customFormat="false" ht="14.4" hidden="false" customHeight="false" outlineLevel="0" collapsed="false">
      <c r="B11" s="60" t="n">
        <v>5</v>
      </c>
      <c r="C11" s="89" t="n">
        <v>67065.305235952</v>
      </c>
      <c r="F11" s="60" t="n">
        <v>5</v>
      </c>
      <c r="G11" s="89" t="n">
        <f aca="false">(-C9+4*C10+10*C11+4*C12-C13)/16</f>
        <v>67066.1898679514</v>
      </c>
    </row>
    <row r="12" customFormat="false" ht="14.4" hidden="false" customHeight="false" outlineLevel="0" collapsed="false">
      <c r="B12" s="60" t="n">
        <v>6</v>
      </c>
      <c r="C12" s="89" t="n">
        <v>67685.1813460109</v>
      </c>
      <c r="F12" s="60" t="n">
        <v>6</v>
      </c>
      <c r="G12" s="89" t="n">
        <f aca="false">(-C10+4*C11+10*C12+4*C13-C14)/16</f>
        <v>67686.6557326766</v>
      </c>
    </row>
    <row r="13" customFormat="false" ht="14.4" hidden="false" customHeight="false" outlineLevel="0" collapsed="false">
      <c r="B13" s="60" t="n">
        <v>7</v>
      </c>
      <c r="C13" s="89" t="n">
        <v>68207.4666092821</v>
      </c>
      <c r="F13" s="60" t="n">
        <v>7</v>
      </c>
      <c r="G13" s="89" t="n">
        <f aca="false">(-C11+4*C12+10*C13+4*C14-C15)/16</f>
        <v>68211.8897692793</v>
      </c>
    </row>
    <row r="14" customFormat="false" ht="14.4" hidden="false" customHeight="false" outlineLevel="0" collapsed="false">
      <c r="B14" s="60" t="n">
        <v>8</v>
      </c>
      <c r="C14" s="89" t="n">
        <v>68702.9763947924</v>
      </c>
      <c r="F14" s="60" t="n">
        <v>8</v>
      </c>
      <c r="G14" s="89" t="n">
        <f aca="false">(-C12+4*C13+10*C14+4*C15-C16)/16</f>
        <v>68707.6944321228</v>
      </c>
    </row>
    <row r="15" customFormat="false" ht="14.4" hidden="false" customHeight="false" outlineLevel="0" collapsed="false">
      <c r="B15" s="60" t="n">
        <v>9</v>
      </c>
      <c r="C15" s="89" t="n">
        <v>69171.7555116132</v>
      </c>
      <c r="F15" s="60" t="n">
        <v>9</v>
      </c>
      <c r="G15" s="89" t="n">
        <f aca="false">(-C13+4*C14+10*C15+4*C16-C17)/16</f>
        <v>69175.8837942773</v>
      </c>
    </row>
    <row r="16" customFormat="false" ht="14.4" hidden="false" customHeight="false" outlineLevel="0" collapsed="false">
      <c r="B16" s="60" t="n">
        <v>10</v>
      </c>
      <c r="C16" s="89" t="n">
        <v>69538.36017153</v>
      </c>
      <c r="F16" s="60" t="n">
        <v>10</v>
      </c>
      <c r="G16" s="89" t="n">
        <f aca="false">(-C14+4*C15+10*C16+4*C17-C18)/16</f>
        <v>69540.1294355289</v>
      </c>
    </row>
    <row r="17" customFormat="false" ht="14.4" hidden="false" customHeight="false" outlineLevel="0" collapsed="false">
      <c r="B17" s="60" t="n">
        <v>11</v>
      </c>
      <c r="C17" s="89" t="n">
        <v>69661.2940637034</v>
      </c>
      <c r="F17" s="60" t="n">
        <v>11</v>
      </c>
      <c r="G17" s="89" t="n">
        <f aca="false">(-C15+4*C16+10*C17+4*C18-C19)/16</f>
        <v>69656.2811490399</v>
      </c>
    </row>
    <row r="18" customFormat="false" ht="14.4" hidden="false" customHeight="false" outlineLevel="0" collapsed="false">
      <c r="B18" s="60" t="n">
        <v>12</v>
      </c>
      <c r="C18" s="89" t="n">
        <v>69370.7526533114</v>
      </c>
      <c r="F18" s="60" t="n">
        <v>12</v>
      </c>
      <c r="G18" s="89" t="n">
        <f aca="false">(-C16+4*C17+10*C18+4*C19-C20)/16</f>
        <v>69356.008786654</v>
      </c>
    </row>
    <row r="19" customFormat="false" ht="14.4" hidden="false" customHeight="false" outlineLevel="0" collapsed="false">
      <c r="B19" s="60" t="n">
        <v>13</v>
      </c>
      <c r="C19" s="89" t="n">
        <v>68577.1380401487</v>
      </c>
      <c r="F19" s="60" t="n">
        <v>13</v>
      </c>
      <c r="G19" s="89" t="n">
        <f aca="false">(-C17+4*C18+10*C19+4*C20-C21)/16</f>
        <v>68582.3441358962</v>
      </c>
    </row>
    <row r="20" customFormat="false" ht="14.4" hidden="false" customHeight="false" outlineLevel="0" collapsed="false">
      <c r="B20" s="60" t="n">
        <v>14</v>
      </c>
      <c r="C20" s="89" t="n">
        <v>67426.7541905279</v>
      </c>
      <c r="F20" s="60" t="n">
        <v>14</v>
      </c>
      <c r="G20" s="89" t="n">
        <f aca="false">(-C18+4*C19+10*C20+4*C21-C22)/16</f>
        <v>67408.9802306858</v>
      </c>
    </row>
    <row r="21" customFormat="false" ht="14.4" hidden="false" customHeight="false" outlineLevel="0" collapsed="false">
      <c r="B21" s="60" t="n">
        <v>15</v>
      </c>
      <c r="C21" s="89" t="n">
        <v>65982.6075388013</v>
      </c>
      <c r="F21" s="60" t="n">
        <v>15</v>
      </c>
      <c r="G21" s="89" t="n">
        <f aca="false">(-C19+4*C20+10*C21+4*C22-C23)/16</f>
        <v>65981.5771777765</v>
      </c>
    </row>
    <row r="22" customFormat="false" ht="14.4" hidden="false" customHeight="false" outlineLevel="0" collapsed="false">
      <c r="B22" s="60" t="n">
        <v>16</v>
      </c>
      <c r="C22" s="89" t="n">
        <v>64592.0878767947</v>
      </c>
      <c r="F22" s="60" t="n">
        <v>16</v>
      </c>
      <c r="G22" s="89" t="n">
        <f aca="false">(-C20+4*C21+10*C22+4*C23-C24)/16</f>
        <v>64601.4798722465</v>
      </c>
    </row>
    <row r="23" customFormat="false" ht="14.4" hidden="false" customHeight="false" outlineLevel="0" collapsed="false">
      <c r="B23" s="60" t="n">
        <v>17</v>
      </c>
      <c r="C23" s="89" t="n">
        <v>63619.0707727313</v>
      </c>
      <c r="F23" s="60" t="n">
        <v>17</v>
      </c>
      <c r="G23" s="89" t="n">
        <f aca="false">(-C21+4*C22+10*C23+4*C24-C25)/16</f>
        <v>63646.1859031169</v>
      </c>
    </row>
    <row r="24" customFormat="false" ht="14.4" hidden="false" customHeight="false" outlineLevel="0" collapsed="false">
      <c r="B24" s="60" t="n">
        <v>18</v>
      </c>
      <c r="C24" s="89" t="n">
        <v>63277.1598676055</v>
      </c>
      <c r="F24" s="60" t="n">
        <v>18</v>
      </c>
      <c r="G24" s="89" t="n">
        <f aca="false">(-C22+4*C23+10*C24+4*C25-C26)/16</f>
        <v>63276.1981438512</v>
      </c>
    </row>
    <row r="25" customFormat="false" ht="14.4" hidden="false" customHeight="false" outlineLevel="0" collapsed="false">
      <c r="B25" s="60" t="n">
        <v>19</v>
      </c>
      <c r="C25" s="89" t="n">
        <v>63346.1167162414</v>
      </c>
      <c r="F25" s="60" t="n">
        <v>19</v>
      </c>
      <c r="G25" s="89" t="n">
        <f aca="false">(-C23+4*C24+10*C25+4*C26-C27)/16</f>
        <v>63363.4929671384</v>
      </c>
    </row>
    <row r="26" customFormat="false" ht="14.4" hidden="false" customHeight="false" outlineLevel="0" collapsed="false">
      <c r="B26" s="60" t="n">
        <v>20</v>
      </c>
      <c r="C26" s="89" t="n">
        <v>63621.090453531</v>
      </c>
      <c r="F26" s="60" t="n">
        <v>20</v>
      </c>
      <c r="G26" s="89" t="n">
        <f aca="false">(-C24+4*C25+10*C26+4*C27-C28)/16</f>
        <v>63614.0536839767</v>
      </c>
    </row>
    <row r="27" customFormat="false" ht="14.4" hidden="false" customHeight="false" outlineLevel="0" collapsed="false">
      <c r="B27" s="60" t="n">
        <v>21</v>
      </c>
      <c r="C27" s="89" t="n">
        <v>63619.2102000141</v>
      </c>
      <c r="F27" s="60" t="n">
        <v>21</v>
      </c>
      <c r="G27" s="89" t="n">
        <f aca="false">(-C25+4*C26+10*C27+4*C28-C29)/16</f>
        <v>63612.1452211471</v>
      </c>
    </row>
    <row r="28" customFormat="false" ht="14.4" hidden="false" customHeight="false" outlineLevel="0" collapsed="false">
      <c r="B28" s="60" t="n">
        <v>22</v>
      </c>
      <c r="C28" s="89" t="n">
        <v>62970.1933890998</v>
      </c>
      <c r="F28" s="60" t="n">
        <v>22</v>
      </c>
      <c r="G28" s="89" t="n">
        <f aca="false">(-C26+4*C27+10*C28+4*C29-C30)/16</f>
        <v>62936.2759683572</v>
      </c>
    </row>
    <row r="29" customFormat="false" ht="14.4" hidden="false" customHeight="false" outlineLevel="0" collapsed="false">
      <c r="B29" s="60" t="n">
        <v>23</v>
      </c>
      <c r="C29" s="89" t="n">
        <v>61416.7971160701</v>
      </c>
      <c r="F29" s="60" t="n">
        <v>23</v>
      </c>
      <c r="G29" s="89" t="n">
        <f aca="false">(-C27+4*C28+10*C29+4*C30-C31)/16</f>
        <v>61409.9244169539</v>
      </c>
    </row>
    <row r="30" customFormat="false" ht="14.4" hidden="false" customHeight="false" outlineLevel="0" collapsed="false">
      <c r="B30" s="60" t="n">
        <v>24</v>
      </c>
      <c r="C30" s="89" t="n">
        <v>59244.4572080894</v>
      </c>
      <c r="F30" s="60" t="n">
        <v>24</v>
      </c>
      <c r="G30" s="89" t="n">
        <f aca="false">(-C28+4*C29+10*C30+4*C31-C32)/16</f>
        <v>59237.0786078669</v>
      </c>
    </row>
    <row r="31" customFormat="false" ht="14.4" hidden="false" customHeight="false" outlineLevel="0" collapsed="false">
      <c r="B31" s="60" t="n">
        <v>25</v>
      </c>
      <c r="C31" s="89" t="n">
        <v>56848.5726781814</v>
      </c>
      <c r="F31" s="60" t="n">
        <v>25</v>
      </c>
      <c r="G31" s="89" t="n">
        <f aca="false">(-C29+4*C30+10*C31+4*C32-C33)/16</f>
        <v>56865.7495278553</v>
      </c>
    </row>
    <row r="32" customFormat="false" ht="14.4" hidden="false" customHeight="false" outlineLevel="0" collapsed="false">
      <c r="B32" s="60" t="n">
        <v>26</v>
      </c>
      <c r="C32" s="89" t="n">
        <v>54742.6001429299</v>
      </c>
      <c r="F32" s="60" t="n">
        <v>26</v>
      </c>
      <c r="G32" s="89" t="n">
        <f aca="false">(-C30+4*C31+10*C32+4*C33-C34)/16</f>
        <v>54741.8663062878</v>
      </c>
    </row>
    <row r="33" customFormat="false" ht="14.4" hidden="false" customHeight="false" outlineLevel="0" collapsed="false">
      <c r="B33" s="60" t="n">
        <v>27</v>
      </c>
      <c r="C33" s="89" t="n">
        <v>53165.1666241369</v>
      </c>
      <c r="F33" s="60" t="n">
        <v>27</v>
      </c>
      <c r="G33" s="89" t="n">
        <f aca="false">(-C31+4*C32+10*C33+4*C34-C35)/16</f>
        <v>53192.6378281353</v>
      </c>
    </row>
    <row r="34" customFormat="false" ht="14.4" hidden="false" customHeight="false" outlineLevel="0" collapsed="false">
      <c r="B34" s="60" t="n">
        <v>28</v>
      </c>
      <c r="C34" s="89" t="n">
        <v>52366.6405298779</v>
      </c>
      <c r="F34" s="60" t="n">
        <v>28</v>
      </c>
      <c r="G34" s="89" t="n">
        <f aca="false">(-C32+4*C33+10*C34+4*C35-C36)/16</f>
        <v>52381.0213904465</v>
      </c>
    </row>
    <row r="35" customFormat="false" ht="14.4" hidden="false" customHeight="false" outlineLevel="0" collapsed="false">
      <c r="B35" s="60" t="n">
        <v>29</v>
      </c>
      <c r="C35" s="89" t="n">
        <v>52157.8510042547</v>
      </c>
      <c r="F35" s="60" t="n">
        <v>29</v>
      </c>
      <c r="G35" s="89" t="n">
        <f aca="false">(-C33+4*C34+10*C35+4*C36-C37)/16</f>
        <v>52148.1572811095</v>
      </c>
    </row>
    <row r="36" customFormat="false" ht="14.4" hidden="false" customHeight="false" outlineLevel="0" collapsed="false">
      <c r="B36" s="60" t="n">
        <v>30</v>
      </c>
      <c r="C36" s="89" t="n">
        <v>52119.5334222712</v>
      </c>
      <c r="F36" s="60" t="n">
        <v>30</v>
      </c>
      <c r="G36" s="89" t="n">
        <f aca="false">(-C34+4*C35+10*C36+4*C37-C38)/16</f>
        <v>52096.4803212376</v>
      </c>
    </row>
    <row r="37" customFormat="false" ht="14.4" hidden="false" customHeight="false" outlineLevel="0" collapsed="false">
      <c r="B37" s="60" t="n">
        <v>31</v>
      </c>
      <c r="C37" s="89" t="n">
        <v>51987.5227292542</v>
      </c>
      <c r="F37" s="60" t="n">
        <v>31</v>
      </c>
      <c r="G37" s="89" t="n">
        <f aca="false">(-C35+4*C36+10*C37+4*C38-C39)/16</f>
        <v>51998.5637453507</v>
      </c>
    </row>
    <row r="38" customFormat="false" ht="14.4" hidden="false" customHeight="false" outlineLevel="0" collapsed="false">
      <c r="B38" s="60" t="n">
        <v>32</v>
      </c>
      <c r="C38" s="89" t="n">
        <v>51866.5034870686</v>
      </c>
      <c r="F38" s="60" t="n">
        <v>32</v>
      </c>
      <c r="G38" s="89" t="n">
        <f aca="false">(-C36+4*C37+10*C38+4*C39-C40)/16</f>
        <v>51860.5762463458</v>
      </c>
    </row>
    <row r="39" customFormat="false" ht="14.4" hidden="false" customHeight="false" outlineLevel="0" collapsed="false">
      <c r="B39" s="60" t="n">
        <v>33</v>
      </c>
      <c r="C39" s="89" t="n">
        <v>51684.5040000352</v>
      </c>
      <c r="F39" s="60" t="n">
        <v>33</v>
      </c>
      <c r="G39" s="89" t="n">
        <f aca="false">(-C37+4*C38+10*C39+4*C40-C41)/16</f>
        <v>51685.1467199194</v>
      </c>
    </row>
    <row r="40" customFormat="false" ht="14.4" hidden="false" customHeight="false" outlineLevel="0" collapsed="false">
      <c r="B40" s="60" t="n">
        <v>34</v>
      </c>
      <c r="C40" s="89" t="n">
        <v>51464.3884240399</v>
      </c>
      <c r="F40" s="60" t="n">
        <v>34</v>
      </c>
      <c r="G40" s="89" t="n">
        <f aca="false">(-C38+4*C39+10*C40+4*C41-C42)/16</f>
        <v>51459.8211829393</v>
      </c>
    </row>
    <row r="41" customFormat="false" ht="14.4" hidden="false" customHeight="false" outlineLevel="0" collapsed="false">
      <c r="B41" s="60" t="n">
        <v>35</v>
      </c>
      <c r="C41" s="90" t="n">
        <v>51218.7373968217</v>
      </c>
      <c r="F41" s="60" t="n">
        <v>35</v>
      </c>
      <c r="G41" s="89" t="n">
        <f aca="false">(-C39+4*C40+10*C41+4*C42-C43)/16</f>
        <v>51219.8270919708</v>
      </c>
    </row>
    <row r="42" customFormat="false" ht="14.4" hidden="false" customHeight="false" outlineLevel="0" collapsed="false">
      <c r="B42" s="60" t="n">
        <v>36</v>
      </c>
      <c r="C42" s="90" t="n">
        <v>51033.2074137291</v>
      </c>
      <c r="F42" s="60" t="n">
        <v>36</v>
      </c>
      <c r="G42" s="89" t="n">
        <f aca="false">(-C40+4*C41+10*C42+4*C43-C44)/16</f>
        <v>51035.2643676757</v>
      </c>
    </row>
    <row r="43" customFormat="false" ht="14.4" hidden="false" customHeight="false" outlineLevel="0" collapsed="false">
      <c r="B43" s="60" t="n">
        <v>37</v>
      </c>
      <c r="C43" s="90" t="n">
        <v>50976.0198477247</v>
      </c>
      <c r="F43" s="60" t="n">
        <v>37</v>
      </c>
      <c r="G43" s="89" t="n">
        <f aca="false">(-C41+4*C42+10*C43+4*C44-C45)/16</f>
        <v>50984.2349476261</v>
      </c>
    </row>
    <row r="44" customFormat="false" ht="14.4" hidden="false" customHeight="false" outlineLevel="0" collapsed="false">
      <c r="B44" s="60" t="n">
        <v>38</v>
      </c>
      <c r="C44" s="90" t="n">
        <v>51082.4848086259</v>
      </c>
      <c r="F44" s="60" t="n">
        <v>38</v>
      </c>
      <c r="G44" s="89" t="n">
        <f aca="false">(-C42+4*C43+10*C44+4*C45-C46)/16</f>
        <v>51077.182279974</v>
      </c>
    </row>
    <row r="45" customFormat="false" ht="14.4" hidden="false" customHeight="false" outlineLevel="0" collapsed="false">
      <c r="B45" s="60" t="n">
        <v>39</v>
      </c>
      <c r="C45" s="90" t="n">
        <v>51256.4708078274</v>
      </c>
      <c r="F45" s="60" t="n">
        <v>39</v>
      </c>
      <c r="G45" s="89" t="n">
        <f aca="false">(-C43+4*C44+10*C45+4*C46-C47)/16</f>
        <v>51270.644027596</v>
      </c>
    </row>
    <row r="46" customFormat="false" ht="14.4" hidden="false" customHeight="false" outlineLevel="0" collapsed="false">
      <c r="B46" s="60" t="n">
        <v>40</v>
      </c>
      <c r="C46" s="90" t="n">
        <v>51486.6868151541</v>
      </c>
      <c r="F46" s="60" t="n">
        <v>40</v>
      </c>
      <c r="G46" s="89" t="n">
        <f aca="false">(-C44+4*C45+10*C46+4*C47-C48)/16</f>
        <v>51489.7516300815</v>
      </c>
    </row>
    <row r="47" customFormat="false" ht="14.4" hidden="false" customHeight="false" outlineLevel="0" collapsed="false">
      <c r="B47" s="60" t="n">
        <v>41</v>
      </c>
      <c r="C47" s="90" t="n">
        <v>51535.0702841333</v>
      </c>
      <c r="F47" s="60" t="n">
        <v>41</v>
      </c>
      <c r="G47" s="89" t="n">
        <f aca="false">(-C45+4*C46+10*C47+4*C48-C49)/16</f>
        <v>51526.9906542712</v>
      </c>
    </row>
    <row r="48" customFormat="false" ht="14.4" hidden="false" customHeight="false" outlineLevel="0" collapsed="false">
      <c r="B48" s="60" t="n">
        <v>42</v>
      </c>
      <c r="C48" s="90" t="n">
        <v>51114.5216294534</v>
      </c>
      <c r="F48" s="60" t="n">
        <v>42</v>
      </c>
      <c r="G48" s="89" t="n">
        <f aca="false">(-C46+4*C47+10*C48+4*C49-C50)/16</f>
        <v>51094.965717252</v>
      </c>
    </row>
    <row r="49" customFormat="false" ht="14.4" hidden="false" customHeight="false" outlineLevel="0" collapsed="false">
      <c r="B49" s="60" t="n">
        <v>43</v>
      </c>
      <c r="C49" s="90" t="n">
        <v>50067.2153435973</v>
      </c>
      <c r="F49" s="60" t="n">
        <v>43</v>
      </c>
      <c r="G49" s="89" t="n">
        <f aca="false">(-C47+4*C48+10*C49+4*C50-C51)/16</f>
        <v>50060.4715990183</v>
      </c>
    </row>
    <row r="50" customFormat="false" ht="14.4" hidden="false" customHeight="false" outlineLevel="0" collapsed="false">
      <c r="B50" s="60" t="n">
        <v>44</v>
      </c>
      <c r="C50" s="90" t="n">
        <v>48548.2205142703</v>
      </c>
      <c r="F50" s="60" t="n">
        <v>44</v>
      </c>
      <c r="G50" s="89" t="n">
        <f aca="false">(-C48+4*C49+10*C50+4*C51-C52)/16</f>
        <v>48548.9104220277</v>
      </c>
    </row>
    <row r="51" customFormat="false" ht="14.4" hidden="false" customHeight="false" outlineLevel="0" collapsed="false">
      <c r="B51" s="60" t="n">
        <v>45</v>
      </c>
      <c r="C51" s="90" t="n">
        <v>46820.5061424417</v>
      </c>
      <c r="F51" s="60" t="n">
        <v>45</v>
      </c>
      <c r="G51" s="89" t="n">
        <f aca="false">(-C49+4*C50+10*C51+4*C52-C53)/16</f>
        <v>46833.2939996945</v>
      </c>
    </row>
    <row r="52" customFormat="false" ht="14.4" hidden="false" customHeight="false" outlineLevel="0" collapsed="false">
      <c r="B52" s="60" t="n">
        <v>46</v>
      </c>
      <c r="C52" s="90" t="n">
        <v>45136.0027049629</v>
      </c>
      <c r="F52" s="60" t="n">
        <v>46</v>
      </c>
      <c r="G52" s="89" t="n">
        <f aca="false">(-C50+4*C51+10*C52+4*C53-C54)/16</f>
        <v>45132.2834477577</v>
      </c>
    </row>
    <row r="53" customFormat="false" ht="14.4" hidden="false" customHeight="false" outlineLevel="0" collapsed="false">
      <c r="B53" s="60" t="n">
        <v>47</v>
      </c>
      <c r="C53" s="90" t="n">
        <v>43542.0349626415</v>
      </c>
      <c r="F53" s="60" t="n">
        <v>47</v>
      </c>
      <c r="G53" s="89" t="n">
        <f aca="false">(-C51+4*C52+10*C53+4*C54-C55)/16</f>
        <v>43552.7239241784</v>
      </c>
    </row>
    <row r="54" customFormat="false" ht="14.4" hidden="false" customHeight="false" outlineLevel="0" collapsed="false">
      <c r="B54" s="60" t="n">
        <v>48</v>
      </c>
      <c r="C54" s="90" t="n">
        <v>42145.4357915682</v>
      </c>
      <c r="F54" s="60" t="n">
        <v>48</v>
      </c>
      <c r="G54" s="89" t="n">
        <f aca="false">(-C52+4*C53+10*C54+4*C55-C56)/16</f>
        <v>42149.6831110135</v>
      </c>
    </row>
    <row r="55" customFormat="false" ht="14.4" hidden="false" customHeight="false" outlineLevel="0" collapsed="false">
      <c r="B55" s="60" t="n">
        <v>49</v>
      </c>
      <c r="C55" s="90" t="n">
        <v>40882.0146832431</v>
      </c>
      <c r="F55" s="60" t="n">
        <v>49</v>
      </c>
      <c r="G55" s="89" t="n">
        <f aca="false">(-C53+4*C54+10*C55+4*C56-C57)/16</f>
        <v>40880.6397375617</v>
      </c>
    </row>
    <row r="56" customFormat="false" ht="14.4" hidden="false" customHeight="false" outlineLevel="0" collapsed="false">
      <c r="B56" s="60" t="n">
        <v>50</v>
      </c>
      <c r="C56" s="90" t="n">
        <v>39619.6240180423</v>
      </c>
      <c r="F56" s="60" t="n">
        <v>50</v>
      </c>
      <c r="G56" s="89" t="n">
        <f aca="false">(-C54+4*C55+10*C56+4*C57-C58)/16</f>
        <v>39612.0522907548</v>
      </c>
    </row>
    <row r="57" customFormat="false" ht="14.4" hidden="false" customHeight="false" outlineLevel="0" collapsed="false">
      <c r="B57" s="60" t="n">
        <v>51</v>
      </c>
      <c r="C57" s="90" t="n">
        <v>38248.1153072438</v>
      </c>
      <c r="F57" s="60" t="n">
        <v>51</v>
      </c>
      <c r="G57" s="89" t="n">
        <f aca="false">(-C55+4*C56+10*C57+4*C58-C59)/16</f>
        <v>38250.8134312875</v>
      </c>
    </row>
    <row r="58" customFormat="false" ht="14.4" hidden="false" customHeight="false" outlineLevel="0" collapsed="false">
      <c r="B58" s="60" t="n">
        <v>52</v>
      </c>
      <c r="C58" s="90" t="n">
        <v>36778.4876987251</v>
      </c>
      <c r="F58" s="60" t="n">
        <v>52</v>
      </c>
      <c r="G58" s="89" t="n">
        <f aca="false">(-C56+4*C57+10*C58+4*C59-C60)/16</f>
        <v>36773.6847062467</v>
      </c>
    </row>
    <row r="59" customFormat="false" ht="14.4" hidden="false" customHeight="false" outlineLevel="0" collapsed="false">
      <c r="B59" s="60" t="n">
        <v>53</v>
      </c>
      <c r="C59" s="90" t="n">
        <v>35178.5703556646</v>
      </c>
      <c r="F59" s="60" t="n">
        <v>53</v>
      </c>
      <c r="G59" s="89" t="n">
        <f aca="false">(-C57+4*C58+10*C59+4*C60-C61)/16</f>
        <v>35177.1321638074</v>
      </c>
    </row>
    <row r="60" customFormat="false" ht="14.4" hidden="false" customHeight="false" outlineLevel="0" collapsed="false">
      <c r="B60" s="60" t="n">
        <v>54</v>
      </c>
      <c r="C60" s="90" t="n">
        <v>33493.0403208954</v>
      </c>
      <c r="F60" s="60" t="n">
        <v>54</v>
      </c>
      <c r="G60" s="89" t="n">
        <f aca="false">(-C58+4*C59+10*C60+4*C61-C62)/16</f>
        <v>33492.8220440984</v>
      </c>
    </row>
    <row r="61" customFormat="false" ht="14.4" hidden="false" customHeight="false" outlineLevel="0" collapsed="false">
      <c r="B61" s="60" t="n">
        <v>55</v>
      </c>
      <c r="C61" s="90" t="n">
        <v>31789.5857069657</v>
      </c>
      <c r="F61" s="60" t="n">
        <v>55</v>
      </c>
      <c r="G61" s="89" t="n">
        <f aca="false">(-C59+4*C60+10*C61+4*C62-C63)/16</f>
        <v>31792.5002740705</v>
      </c>
    </row>
    <row r="62" customFormat="false" ht="14.4" hidden="false" customHeight="false" outlineLevel="0" collapsed="false">
      <c r="B62" s="60" t="n">
        <v>56</v>
      </c>
      <c r="C62" s="90" t="n">
        <v>30139.3870551755</v>
      </c>
      <c r="F62" s="60" t="n">
        <v>56</v>
      </c>
      <c r="G62" s="89" t="n">
        <f aca="false">(-C60+4*C61+10*C62+4*C63-C64)/16</f>
        <v>30138.7320742937</v>
      </c>
    </row>
    <row r="63" customFormat="false" ht="14.4" hidden="false" customHeight="false" outlineLevel="0" collapsed="false">
      <c r="B63" s="60" t="n">
        <v>57</v>
      </c>
      <c r="C63" s="90" t="n">
        <v>28566.9918331483</v>
      </c>
      <c r="F63" s="60" t="n">
        <v>57</v>
      </c>
      <c r="G63" s="89" t="n">
        <f aca="false">(-C61+4*C62+10*C63+4*C64-C65)/16</f>
        <v>28570.0209504243</v>
      </c>
    </row>
    <row r="64" customFormat="false" ht="14.4" hidden="false" customHeight="false" outlineLevel="0" collapsed="false">
      <c r="B64" s="60" t="n">
        <v>58</v>
      </c>
      <c r="C64" s="90" t="n">
        <v>27107.4272026159</v>
      </c>
      <c r="F64" s="60" t="n">
        <v>58</v>
      </c>
      <c r="G64" s="89" t="n">
        <f aca="false">(-C62+4*C63+10*C64+4*C65-C66)/16</f>
        <v>27110.8074065749</v>
      </c>
    </row>
    <row r="65" customFormat="false" ht="14.4" hidden="false" customHeight="false" outlineLevel="0" collapsed="false">
      <c r="B65" s="60" t="n">
        <v>59</v>
      </c>
      <c r="C65" s="90" t="n">
        <v>25747.2544488947</v>
      </c>
      <c r="F65" s="60" t="n">
        <v>59</v>
      </c>
      <c r="G65" s="89" t="n">
        <f aca="false">(-C63+4*C64+10*C65+4*C66-C67)/16</f>
        <v>25742.9953540604</v>
      </c>
    </row>
    <row r="66" customFormat="false" ht="14.4" hidden="false" customHeight="false" outlineLevel="0" collapsed="false">
      <c r="B66" s="60" t="n">
        <v>60</v>
      </c>
      <c r="C66" s="90" t="n">
        <v>24418.951593958</v>
      </c>
      <c r="F66" s="60" t="n">
        <v>60</v>
      </c>
      <c r="G66" s="89" t="n">
        <f aca="false">(-C64+4*C65+10*C66+4*C67-C68)/16</f>
        <v>24414.5486810299</v>
      </c>
    </row>
    <row r="67" customFormat="false" ht="14.4" hidden="false" customHeight="false" outlineLevel="0" collapsed="false">
      <c r="B67" s="60" t="n">
        <v>61</v>
      </c>
      <c r="C67" s="90" t="n">
        <v>23123.1421771271</v>
      </c>
      <c r="F67" s="60" t="n">
        <v>61</v>
      </c>
      <c r="G67" s="89" t="n">
        <f aca="false">(-C65+4*C66+10*C67+4*C68-C69)/16</f>
        <v>23126.4864265626</v>
      </c>
    </row>
    <row r="68" customFormat="false" ht="14.4" hidden="false" customHeight="false" outlineLevel="0" collapsed="false">
      <c r="B68" s="60" t="n">
        <v>62</v>
      </c>
      <c r="C68" s="90" t="n">
        <v>21930.8963445729</v>
      </c>
      <c r="F68" s="60" t="n">
        <v>62</v>
      </c>
      <c r="G68" s="89" t="n">
        <f aca="false">(-C66+4*C67+10*C68+4*C69-C70)/16</f>
        <v>21933.5659166143</v>
      </c>
    </row>
    <row r="69" customFormat="false" ht="14.4" hidden="false" customHeight="false" outlineLevel="0" collapsed="false">
      <c r="B69" s="60" t="n">
        <v>63</v>
      </c>
      <c r="C69" s="90" t="n">
        <v>20859.776251498</v>
      </c>
      <c r="F69" s="60" t="n">
        <v>63</v>
      </c>
      <c r="G69" s="89" t="n">
        <f aca="false">(-C67+4*C68+10*C69+4*C70-C71)/16</f>
        <v>20860.683905992</v>
      </c>
    </row>
    <row r="70" customFormat="false" ht="14.4" hidden="false" customHeight="false" outlineLevel="0" collapsed="false">
      <c r="B70" s="60" t="n">
        <v>64</v>
      </c>
      <c r="C70" s="90" t="n">
        <v>19884.630900443</v>
      </c>
      <c r="F70" s="60" t="n">
        <v>64</v>
      </c>
      <c r="G70" s="89" t="n">
        <f aca="false">(-C68+4*C69+10*C70+4*C71-C72)/16</f>
        <v>19884.3105517981</v>
      </c>
    </row>
    <row r="71" customFormat="false" ht="14.4" hidden="false" customHeight="false" outlineLevel="0" collapsed="false">
      <c r="B71" s="60" t="n">
        <v>65</v>
      </c>
      <c r="C71" s="90" t="n">
        <v>18965.7868220436</v>
      </c>
      <c r="F71" s="60" t="n">
        <v>65</v>
      </c>
      <c r="G71" s="89" t="n">
        <f aca="false">(-C69+4*C70+10*C71+4*C72-C73)/16</f>
        <v>18965.0393418721</v>
      </c>
    </row>
    <row r="72" customFormat="false" ht="14.4" hidden="false" customHeight="false" outlineLevel="0" collapsed="false">
      <c r="B72" s="60" t="n">
        <v>66</v>
      </c>
      <c r="C72" s="90" t="n">
        <v>18068.6961252547</v>
      </c>
      <c r="F72" s="60" t="n">
        <v>66</v>
      </c>
      <c r="G72" s="89" t="n">
        <f aca="false">(-C70+4*C71+10*C72+4*C73-C74)/16</f>
        <v>18067.8418622015</v>
      </c>
    </row>
    <row r="73" customFormat="false" ht="14.4" hidden="false" customHeight="false" outlineLevel="0" collapsed="false">
      <c r="B73" s="60" t="n">
        <v>67</v>
      </c>
      <c r="C73" s="90" t="n">
        <v>17170.7706017767</v>
      </c>
      <c r="F73" s="60" t="n">
        <v>67</v>
      </c>
      <c r="G73" s="89" t="n">
        <f aca="false">(-C71+4*C72+10*C73+4*C74-C75)/16</f>
        <v>17169.9697301643</v>
      </c>
    </row>
    <row r="74" customFormat="false" ht="14.4" hidden="false" customHeight="false" outlineLevel="0" collapsed="false">
      <c r="B74" s="60" t="n">
        <v>68</v>
      </c>
      <c r="C74" s="90" t="n">
        <v>16263.0902521617</v>
      </c>
      <c r="F74" s="60" t="n">
        <v>68</v>
      </c>
      <c r="G74" s="89" t="n">
        <f aca="false">(-C72+4*C73+10*C74+4*C75-C76)/16</f>
        <v>16262.8232949576</v>
      </c>
    </row>
    <row r="75" customFormat="false" ht="14.4" hidden="false" customHeight="false" outlineLevel="0" collapsed="false">
      <c r="B75" s="60" t="n">
        <v>69</v>
      </c>
      <c r="C75" s="90" t="n">
        <v>15349.5490227608</v>
      </c>
      <c r="F75" s="60" t="n">
        <v>69</v>
      </c>
      <c r="G75" s="89" t="n">
        <f aca="false">(-C73+4*C74+10*C75+4*C76-C77)/16</f>
        <v>15349.3888484383</v>
      </c>
    </row>
    <row r="76" customFormat="false" ht="14.4" hidden="false" customHeight="false" outlineLevel="0" collapsed="false">
      <c r="B76" s="60" t="n">
        <v>70</v>
      </c>
      <c r="C76" s="90" t="n">
        <v>14438.312175191</v>
      </c>
      <c r="F76" s="60" t="n">
        <v>70</v>
      </c>
      <c r="G76" s="89" t="n">
        <f aca="false">(-C74+4*C75+10*C76+4*C77-C78)/16</f>
        <v>14438.2587837502</v>
      </c>
    </row>
    <row r="77" customFormat="false" ht="14.4" hidden="false" customHeight="false" outlineLevel="0" collapsed="false">
      <c r="B77" s="60" t="n">
        <v>71</v>
      </c>
      <c r="C77" s="90" t="n">
        <v>13540.1077602291</v>
      </c>
      <c r="F77" s="60" t="n">
        <v>71</v>
      </c>
      <c r="G77" s="89" t="n">
        <f aca="false">(-C75+4*C76+10*C77+4*C78-C79)/16</f>
        <v>13540.1611516699</v>
      </c>
    </row>
    <row r="78" customFormat="false" ht="14.4" hidden="false" customHeight="false" outlineLevel="0" collapsed="false">
      <c r="B78" s="60" t="n">
        <v>72</v>
      </c>
      <c r="C78" s="90" t="n">
        <v>12666.5180917052</v>
      </c>
      <c r="F78" s="60" t="n">
        <v>72</v>
      </c>
      <c r="G78" s="89" t="n">
        <f aca="false">(-C76+4*C77+10*C78+4*C79-C80)/16</f>
        <v>12666.5180917052</v>
      </c>
    </row>
    <row r="79" customFormat="false" ht="14.4" hidden="false" customHeight="false" outlineLevel="0" collapsed="false">
      <c r="B79" s="60" t="n">
        <v>73</v>
      </c>
      <c r="C79" s="90" t="n">
        <v>11828.2712203962</v>
      </c>
      <c r="F79" s="60" t="n">
        <v>73</v>
      </c>
      <c r="G79" s="89" t="n">
        <f aca="false">C79</f>
        <v>11828.2712203962</v>
      </c>
    </row>
    <row r="80" customFormat="false" ht="14.4" hidden="false" customHeight="false" outlineLevel="0" collapsed="false">
      <c r="B80" s="60" t="n">
        <v>74</v>
      </c>
      <c r="C80" s="90" t="n">
        <v>11036.0951970788</v>
      </c>
      <c r="F80" s="60" t="n">
        <v>74</v>
      </c>
      <c r="G80" s="89" t="n">
        <f aca="false">C80</f>
        <v>11036.0951970788</v>
      </c>
    </row>
    <row r="81" customFormat="false" ht="15" hidden="false" customHeight="false" outlineLevel="0" collapsed="false">
      <c r="B81" s="65" t="s">
        <v>59</v>
      </c>
      <c r="C81" s="91" t="n">
        <v>82555.492271528</v>
      </c>
      <c r="F81" s="65" t="s">
        <v>59</v>
      </c>
      <c r="G81" s="89" t="n">
        <f aca="false">C81</f>
        <v>82555.492271528</v>
      </c>
    </row>
  </sheetData>
  <mergeCells count="2">
    <mergeCell ref="B2:C3"/>
    <mergeCell ref="F2:G3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4:P75"/>
  <sheetViews>
    <sheetView windowProtection="false" showFormulas="false" showGridLines="true" showRowColHeaders="true" showZeros="true" rightToLeft="false" tabSelected="true" showOutlineSymbols="true" defaultGridColor="true" view="normal" topLeftCell="D1" colorId="64" zoomScale="110" zoomScaleNormal="110" zoomScalePageLayoutView="100" workbookViewId="0">
      <selection pane="topLeft" activeCell="L32" activeCellId="0" sqref="L32"/>
    </sheetView>
  </sheetViews>
  <sheetFormatPr defaultRowHeight="12.8"/>
  <cols>
    <col collapsed="false" hidden="false" max="5" min="1" style="0" width="11.5204081632653"/>
    <col collapsed="false" hidden="false" max="6" min="6" style="0" width="15.8367346938776"/>
    <col collapsed="false" hidden="false" max="1025" min="7" style="0" width="11.5204081632653"/>
  </cols>
  <sheetData>
    <row r="4" customFormat="false" ht="23.95" hidden="false" customHeight="true" outlineLevel="0" collapsed="false">
      <c r="B4" s="10" t="s">
        <v>24</v>
      </c>
      <c r="C4" s="11" t="s">
        <v>2</v>
      </c>
      <c r="D4" s="12" t="s">
        <v>3</v>
      </c>
      <c r="E4" s="39" t="s">
        <v>51</v>
      </c>
      <c r="I4" s="92"/>
      <c r="J4" s="93" t="s">
        <v>51</v>
      </c>
      <c r="K4" s="93"/>
      <c r="L4" s="93" t="s">
        <v>86</v>
      </c>
      <c r="M4" s="93"/>
      <c r="N4" s="94" t="s">
        <v>87</v>
      </c>
      <c r="O4" s="94"/>
      <c r="P4" s="95"/>
    </row>
    <row r="5" customFormat="false" ht="13.8" hidden="false" customHeight="false" outlineLevel="0" collapsed="false">
      <c r="B5" s="46" t="s">
        <v>25</v>
      </c>
      <c r="C5" s="47" t="n">
        <v>158341.037424258</v>
      </c>
      <c r="D5" s="48" t="n">
        <v>157120.704276551</v>
      </c>
      <c r="E5" s="49" t="n">
        <f aca="false">C5+D5</f>
        <v>315461.741700809</v>
      </c>
      <c r="I5" s="92" t="s">
        <v>24</v>
      </c>
      <c r="J5" s="92" t="s">
        <v>2</v>
      </c>
      <c r="K5" s="92" t="s">
        <v>3</v>
      </c>
      <c r="L5" s="92" t="s">
        <v>2</v>
      </c>
      <c r="M5" s="92" t="s">
        <v>3</v>
      </c>
      <c r="N5" s="92" t="s">
        <v>2</v>
      </c>
      <c r="O5" s="92" t="s">
        <v>3</v>
      </c>
      <c r="P5" s="92" t="s">
        <v>88</v>
      </c>
    </row>
    <row r="6" customFormat="false" ht="13.8" hidden="false" customHeight="false" outlineLevel="0" collapsed="false">
      <c r="B6" s="29" t="s">
        <v>26</v>
      </c>
      <c r="C6" s="57" t="n">
        <v>173378.59386838</v>
      </c>
      <c r="D6" s="58" t="n">
        <v>173378.59386838</v>
      </c>
      <c r="E6" s="59" t="n">
        <f aca="false">C6+D6</f>
        <v>346757.18773676</v>
      </c>
      <c r="G6" s="0" t="n">
        <v>58886</v>
      </c>
      <c r="I6" s="96" t="n">
        <v>0</v>
      </c>
      <c r="J6" s="97" t="n">
        <v>29556</v>
      </c>
      <c r="K6" s="97" t="n">
        <v>29329</v>
      </c>
      <c r="L6" s="97" t="n">
        <v>538</v>
      </c>
      <c r="M6" s="97" t="n">
        <v>408</v>
      </c>
      <c r="N6" s="98" t="n">
        <f aca="false">G24</f>
        <v>2.4031007751938</v>
      </c>
      <c r="O6" s="99" t="n">
        <v>1</v>
      </c>
      <c r="P6" s="100" t="n">
        <v>0.0898</v>
      </c>
    </row>
    <row r="7" customFormat="false" ht="13.8" hidden="false" customHeight="false" outlineLevel="0" collapsed="false">
      <c r="B7" s="29" t="s">
        <v>27</v>
      </c>
      <c r="C7" s="57" t="n">
        <v>175607.565710407</v>
      </c>
      <c r="D7" s="58" t="n">
        <v>175607.565710407</v>
      </c>
      <c r="E7" s="59" t="n">
        <f aca="false">C7+D7</f>
        <v>351215.131420813</v>
      </c>
      <c r="G7" s="0" t="n">
        <f aca="false">C5/SUM(C5:D5)*G6</f>
        <v>29556.8973895035</v>
      </c>
      <c r="I7" s="96" t="s">
        <v>89</v>
      </c>
      <c r="J7" s="97" t="n">
        <f aca="false">C5-J6</f>
        <v>128785.037424258</v>
      </c>
      <c r="K7" s="97" t="n">
        <f aca="false">D5-K6</f>
        <v>127791.704276551</v>
      </c>
      <c r="L7" s="97" t="n">
        <f aca="false">SUM(G49:G52)</f>
        <v>92.5728500355366</v>
      </c>
      <c r="M7" s="97" t="n">
        <f aca="false">SUM(D49:D52)</f>
        <v>99.2761506276151</v>
      </c>
      <c r="N7" s="98" t="n">
        <f aca="false">SUM(G25:G27)</f>
        <v>8.41085271317829</v>
      </c>
      <c r="O7" s="99" t="n">
        <v>2</v>
      </c>
      <c r="P7" s="100" t="n">
        <v>1.5021</v>
      </c>
    </row>
    <row r="8" customFormat="false" ht="13.8" hidden="false" customHeight="false" outlineLevel="0" collapsed="false">
      <c r="B8" s="29" t="s">
        <v>28</v>
      </c>
      <c r="C8" s="57" t="n">
        <v>160742.084291791</v>
      </c>
      <c r="D8" s="58" t="n">
        <v>160742.084291791</v>
      </c>
      <c r="E8" s="59" t="n">
        <f aca="false">C8+D8</f>
        <v>321484.168583583</v>
      </c>
      <c r="G8" s="0" t="n">
        <f aca="false">D5/SUM(C5:D5)*G6</f>
        <v>29329.1026104965</v>
      </c>
      <c r="I8" s="96" t="s">
        <v>90</v>
      </c>
      <c r="J8" s="97" t="n">
        <v>173378.59386838</v>
      </c>
      <c r="K8" s="97" t="n">
        <v>173378.59386838</v>
      </c>
      <c r="L8" s="97" t="n">
        <v>48.3435994630024</v>
      </c>
      <c r="M8" s="97" t="n">
        <v>36.1004184100418</v>
      </c>
      <c r="N8" s="101" t="n">
        <v>3.6046511627907</v>
      </c>
      <c r="O8" s="102" t="n">
        <v>2.2015503875969</v>
      </c>
      <c r="P8" s="103" t="n">
        <v>2.5</v>
      </c>
    </row>
    <row r="9" customFormat="false" ht="13.8" hidden="false" customHeight="false" outlineLevel="0" collapsed="false">
      <c r="B9" s="29" t="s">
        <v>29</v>
      </c>
      <c r="C9" s="57" t="n">
        <v>154442.337573101</v>
      </c>
      <c r="D9" s="58" t="n">
        <v>154442.337573101</v>
      </c>
      <c r="E9" s="59" t="n">
        <f aca="false">C9+D9</f>
        <v>308884.675146202</v>
      </c>
      <c r="I9" s="96" t="s">
        <v>91</v>
      </c>
      <c r="J9" s="97" t="n">
        <v>175607.565710407</v>
      </c>
      <c r="K9" s="97" t="n">
        <v>175607.565710407</v>
      </c>
      <c r="L9" s="97" t="n">
        <v>61.7152333570244</v>
      </c>
      <c r="M9" s="97" t="n">
        <v>57.1589958158996</v>
      </c>
      <c r="N9" s="101" t="n">
        <v>10.8139534883721</v>
      </c>
      <c r="O9" s="102" t="n">
        <v>5.50387596899225</v>
      </c>
      <c r="P9" s="103" t="n">
        <v>2.5</v>
      </c>
    </row>
    <row r="10" customFormat="false" ht="13.8" hidden="false" customHeight="false" outlineLevel="0" collapsed="false">
      <c r="B10" s="29" t="s">
        <v>30</v>
      </c>
      <c r="C10" s="57" t="n">
        <v>131733.436387211</v>
      </c>
      <c r="D10" s="58" t="n">
        <v>131733.436387211</v>
      </c>
      <c r="E10" s="59" t="n">
        <f aca="false">C10+D10</f>
        <v>263466.872774422</v>
      </c>
      <c r="I10" s="96" t="s">
        <v>92</v>
      </c>
      <c r="J10" s="97" t="n">
        <v>160742.084291791</v>
      </c>
      <c r="K10" s="97" t="n">
        <v>160742.084291791</v>
      </c>
      <c r="L10" s="97" t="n">
        <v>304.461817894654</v>
      </c>
      <c r="M10" s="97" t="n">
        <v>99.2761506276151</v>
      </c>
      <c r="N10" s="101" t="n">
        <v>135.77519379845</v>
      </c>
      <c r="O10" s="102" t="n">
        <v>8.8062015503876</v>
      </c>
      <c r="P10" s="103" t="n">
        <v>2.5</v>
      </c>
    </row>
    <row r="11" customFormat="false" ht="13.8" hidden="false" customHeight="false" outlineLevel="0" collapsed="false">
      <c r="B11" s="29" t="s">
        <v>31</v>
      </c>
      <c r="C11" s="57" t="n">
        <v>125952.916053625</v>
      </c>
      <c r="D11" s="58" t="n">
        <v>125952.916053625</v>
      </c>
      <c r="E11" s="59" t="n">
        <f aca="false">C11+D11</f>
        <v>251905.832107249</v>
      </c>
      <c r="I11" s="96" t="s">
        <v>93</v>
      </c>
      <c r="J11" s="97" t="n">
        <v>154442.337573101</v>
      </c>
      <c r="K11" s="97" t="n">
        <v>154442.337573101</v>
      </c>
      <c r="L11" s="97" t="n">
        <v>445.378267393193</v>
      </c>
      <c r="M11" s="97" t="n">
        <v>128.357043235704</v>
      </c>
      <c r="N11" s="101" t="n">
        <v>212.674418604651</v>
      </c>
      <c r="O11" s="102" t="n">
        <v>19.8139534883721</v>
      </c>
      <c r="P11" s="103" t="n">
        <v>2.5</v>
      </c>
    </row>
    <row r="12" customFormat="false" ht="13.8" hidden="false" customHeight="false" outlineLevel="0" collapsed="false">
      <c r="B12" s="29" t="s">
        <v>32</v>
      </c>
      <c r="C12" s="57" t="n">
        <v>124006.067218533</v>
      </c>
      <c r="D12" s="58" t="n">
        <v>124006.067218533</v>
      </c>
      <c r="E12" s="59" t="n">
        <f aca="false">C12+D12</f>
        <v>248012.134437066</v>
      </c>
      <c r="I12" s="96" t="s">
        <v>94</v>
      </c>
      <c r="J12" s="97" t="n">
        <v>131733.436387211</v>
      </c>
      <c r="K12" s="97" t="n">
        <v>131733.436387211</v>
      </c>
      <c r="L12" s="97" t="n">
        <v>447.435441838427</v>
      </c>
      <c r="M12" s="97" t="n">
        <v>114.317991631799</v>
      </c>
      <c r="N12" s="101" t="n">
        <v>227.093023255814</v>
      </c>
      <c r="O12" s="102" t="n">
        <v>26.4186046511628</v>
      </c>
      <c r="P12" s="103" t="n">
        <v>2.5</v>
      </c>
    </row>
    <row r="13" customFormat="false" ht="13.8" hidden="false" customHeight="false" outlineLevel="0" collapsed="false">
      <c r="B13" s="29" t="s">
        <v>33</v>
      </c>
      <c r="C13" s="57" t="n">
        <v>123088.667227896</v>
      </c>
      <c r="D13" s="58" t="n">
        <v>123088.667227896</v>
      </c>
      <c r="E13" s="59" t="n">
        <f aca="false">C13+D13</f>
        <v>246177.334455793</v>
      </c>
      <c r="I13" s="96" t="s">
        <v>95</v>
      </c>
      <c r="J13" s="97" t="n">
        <v>125952.916053625</v>
      </c>
      <c r="K13" s="97" t="n">
        <v>125952.916053625</v>
      </c>
      <c r="L13" s="97" t="n">
        <v>453.606965174129</v>
      </c>
      <c r="M13" s="97" t="n">
        <v>154.429567642957</v>
      </c>
      <c r="N13" s="101" t="n">
        <v>173.023255813953</v>
      </c>
      <c r="O13" s="102" t="n">
        <v>18.7131782945736</v>
      </c>
      <c r="P13" s="103" t="n">
        <v>2.5</v>
      </c>
    </row>
    <row r="14" customFormat="false" ht="13.8" hidden="false" customHeight="false" outlineLevel="0" collapsed="false">
      <c r="B14" s="29" t="s">
        <v>34</v>
      </c>
      <c r="C14" s="57" t="n">
        <v>106508.438171385</v>
      </c>
      <c r="D14" s="58" t="n">
        <v>106508.438171385</v>
      </c>
      <c r="E14" s="59" t="n">
        <f aca="false">C14+D14</f>
        <v>213016.876342769</v>
      </c>
      <c r="I14" s="96" t="s">
        <v>96</v>
      </c>
      <c r="J14" s="97" t="n">
        <v>124006.067218533</v>
      </c>
      <c r="K14" s="97" t="n">
        <v>124006.067218533</v>
      </c>
      <c r="L14" s="97" t="n">
        <v>516.350785753771</v>
      </c>
      <c r="M14" s="97" t="n">
        <v>185.516039051604</v>
      </c>
      <c r="N14" s="101" t="n">
        <v>185.038759689922</v>
      </c>
      <c r="O14" s="102" t="n">
        <v>14.3100775193798</v>
      </c>
      <c r="P14" s="103" t="n">
        <v>2.5</v>
      </c>
    </row>
    <row r="15" customFormat="false" ht="13.8" hidden="false" customHeight="false" outlineLevel="0" collapsed="false">
      <c r="B15" s="29" t="s">
        <v>35</v>
      </c>
      <c r="C15" s="57" t="n">
        <v>88253.4789247684</v>
      </c>
      <c r="D15" s="58" t="n">
        <v>88253.4789247684</v>
      </c>
      <c r="E15" s="59" t="n">
        <f aca="false">C15+D15</f>
        <v>176506.957849537</v>
      </c>
      <c r="I15" s="96" t="s">
        <v>97</v>
      </c>
      <c r="J15" s="97" t="n">
        <v>123088.667227896</v>
      </c>
      <c r="K15" s="97" t="n">
        <v>123088.667227896</v>
      </c>
      <c r="L15" s="97" t="n">
        <v>634.638316354734</v>
      </c>
      <c r="M15" s="97" t="n">
        <v>266.741980474198</v>
      </c>
      <c r="N15" s="101" t="n">
        <v>162.209302325581</v>
      </c>
      <c r="O15" s="102" t="n">
        <v>18.7131782945736</v>
      </c>
      <c r="P15" s="103" t="n">
        <v>2.5</v>
      </c>
    </row>
    <row r="16" customFormat="false" ht="13.8" hidden="false" customHeight="false" outlineLevel="0" collapsed="false">
      <c r="B16" s="29" t="s">
        <v>36</v>
      </c>
      <c r="C16" s="57" t="n">
        <v>68736.9696365024</v>
      </c>
      <c r="D16" s="58" t="n">
        <v>68736.9696365024</v>
      </c>
      <c r="E16" s="59" t="n">
        <f aca="false">C16+D16</f>
        <v>137473.939273005</v>
      </c>
      <c r="I16" s="96" t="s">
        <v>98</v>
      </c>
      <c r="J16" s="97" t="n">
        <v>106508.438171385</v>
      </c>
      <c r="K16" s="97" t="n">
        <v>106508.438171385</v>
      </c>
      <c r="L16" s="97" t="n">
        <v>722.068230277186</v>
      </c>
      <c r="M16" s="97" t="n">
        <v>342.953974895397</v>
      </c>
      <c r="N16" s="101" t="n">
        <v>102.131782945736</v>
      </c>
      <c r="O16" s="102" t="n">
        <v>5.50387596899225</v>
      </c>
      <c r="P16" s="103" t="n">
        <v>2.5</v>
      </c>
    </row>
    <row r="17" customFormat="false" ht="13.8" hidden="false" customHeight="false" outlineLevel="0" collapsed="false">
      <c r="B17" s="29" t="s">
        <v>37</v>
      </c>
      <c r="C17" s="57" t="n">
        <v>52813.0267237831</v>
      </c>
      <c r="D17" s="58" t="n">
        <v>52813.0267237831</v>
      </c>
      <c r="E17" s="59" t="n">
        <f aca="false">C17+D17</f>
        <v>105626.053447566</v>
      </c>
      <c r="I17" s="96" t="s">
        <v>99</v>
      </c>
      <c r="J17" s="97" t="n">
        <v>88253.4789247684</v>
      </c>
      <c r="K17" s="97" t="n">
        <v>88253.4789247684</v>
      </c>
      <c r="L17" s="97" t="n">
        <v>821.841190871042</v>
      </c>
      <c r="M17" s="97" t="n">
        <v>456.269177126918</v>
      </c>
      <c r="N17" s="101" t="n">
        <v>61.2790697674419</v>
      </c>
      <c r="O17" s="102" t="n">
        <v>3.30232558139535</v>
      </c>
      <c r="P17" s="103" t="n">
        <v>2.5</v>
      </c>
    </row>
    <row r="18" customFormat="false" ht="13.8" hidden="false" customHeight="false" outlineLevel="0" collapsed="false">
      <c r="B18" s="29" t="s">
        <v>38</v>
      </c>
      <c r="C18" s="57" t="n">
        <v>40090.4796344414</v>
      </c>
      <c r="D18" s="58" t="n">
        <v>40090.4796344414</v>
      </c>
      <c r="E18" s="59" t="n">
        <f aca="false">C18+D18</f>
        <v>80180.9592688827</v>
      </c>
      <c r="I18" s="96" t="s">
        <v>100</v>
      </c>
      <c r="J18" s="97" t="n">
        <v>68736.9696365024</v>
      </c>
      <c r="K18" s="97" t="n">
        <v>68736.9696365024</v>
      </c>
      <c r="L18" s="97" t="n">
        <v>902.070994235173</v>
      </c>
      <c r="M18" s="97" t="n">
        <v>600.670850767085</v>
      </c>
      <c r="N18" s="101" t="n">
        <v>38.4496124031008</v>
      </c>
      <c r="O18" s="102" t="n">
        <v>6.6046511627907</v>
      </c>
      <c r="P18" s="103" t="n">
        <v>2.5</v>
      </c>
    </row>
    <row r="19" customFormat="false" ht="13.8" hidden="false" customHeight="false" outlineLevel="0" collapsed="false">
      <c r="B19" s="29" t="s">
        <v>39</v>
      </c>
      <c r="C19" s="57" t="n">
        <v>29844.0121272433</v>
      </c>
      <c r="D19" s="58" t="n">
        <v>29844.0121272433</v>
      </c>
      <c r="E19" s="59" t="n">
        <f aca="false">C19+D19</f>
        <v>59688.0242544866</v>
      </c>
      <c r="I19" s="96" t="s">
        <v>101</v>
      </c>
      <c r="J19" s="97" t="n">
        <v>52813.0267237831</v>
      </c>
      <c r="K19" s="97" t="n">
        <v>52813.0267237831</v>
      </c>
      <c r="L19" s="97" t="n">
        <v>949.386006475559</v>
      </c>
      <c r="M19" s="97" t="n">
        <v>752.092050209205</v>
      </c>
      <c r="N19" s="101" t="n">
        <v>27.6356589147287</v>
      </c>
      <c r="O19" s="102" t="n">
        <v>2.2015503875969</v>
      </c>
      <c r="P19" s="103" t="n">
        <v>2.5</v>
      </c>
    </row>
    <row r="20" customFormat="false" ht="13.8" hidden="false" customHeight="false" outlineLevel="0" collapsed="false">
      <c r="B20" s="78" t="s">
        <v>40</v>
      </c>
      <c r="C20" s="79" t="n">
        <v>38735.8890266747</v>
      </c>
      <c r="D20" s="80" t="n">
        <v>43819.6032448533</v>
      </c>
      <c r="E20" s="81" t="n">
        <f aca="false">C20+D20</f>
        <v>82555.492271528</v>
      </c>
      <c r="I20" s="96" t="s">
        <v>102</v>
      </c>
      <c r="J20" s="97" t="n">
        <v>40090.4796344414</v>
      </c>
      <c r="K20" s="97" t="n">
        <v>40090.4796344414</v>
      </c>
      <c r="L20" s="97" t="n">
        <v>1098.53115375503</v>
      </c>
      <c r="M20" s="97" t="n">
        <v>864.404463040446</v>
      </c>
      <c r="N20" s="101" t="n">
        <v>16.8217054263566</v>
      </c>
      <c r="O20" s="102" t="n">
        <v>3.30232558139535</v>
      </c>
      <c r="P20" s="103" t="n">
        <v>2.5</v>
      </c>
    </row>
    <row r="21" customFormat="false" ht="13.8" hidden="false" customHeight="false" outlineLevel="0" collapsed="false">
      <c r="I21" s="96" t="s">
        <v>103</v>
      </c>
      <c r="J21" s="97" t="n">
        <v>29844.0121272433</v>
      </c>
      <c r="K21" s="97" t="n">
        <v>29844.0121272433</v>
      </c>
      <c r="L21" s="97" t="n">
        <v>1199.33270157151</v>
      </c>
      <c r="M21" s="97" t="n">
        <v>1004.7949790795</v>
      </c>
      <c r="N21" s="101" t="n">
        <v>13.2170542635659</v>
      </c>
      <c r="O21" s="102" t="n">
        <v>1.10077519379845</v>
      </c>
      <c r="P21" s="103" t="n">
        <v>2.5</v>
      </c>
    </row>
    <row r="22" customFormat="false" ht="13.8" hidden="false" customHeight="false" outlineLevel="0" collapsed="false">
      <c r="I22" s="96" t="s">
        <v>104</v>
      </c>
      <c r="J22" s="104"/>
      <c r="K22" s="104"/>
      <c r="L22" s="97" t="n">
        <v>1256.93358603806</v>
      </c>
      <c r="M22" s="97" t="n">
        <v>1065.96513249651</v>
      </c>
      <c r="N22" s="101" t="n">
        <v>9.61240310077519</v>
      </c>
      <c r="O22" s="102" t="n">
        <v>1.10077519379845</v>
      </c>
      <c r="P22" s="103" t="n">
        <v>2.5</v>
      </c>
    </row>
    <row r="23" customFormat="false" ht="13.8" hidden="false" customHeight="false" outlineLevel="0" collapsed="false">
      <c r="B23" s="0" t="s">
        <v>105</v>
      </c>
      <c r="C23" s="0" t="s">
        <v>106</v>
      </c>
      <c r="D23" s="0" t="s">
        <v>107</v>
      </c>
      <c r="E23" s="0" t="s">
        <v>105</v>
      </c>
      <c r="F23" s="0" t="s">
        <v>106</v>
      </c>
      <c r="G23" s="0" t="s">
        <v>107</v>
      </c>
      <c r="I23" s="96" t="s">
        <v>108</v>
      </c>
      <c r="J23" s="104"/>
      <c r="K23" s="104"/>
      <c r="L23" s="97" t="n">
        <v>1146.87475321804</v>
      </c>
      <c r="M23" s="97" t="n">
        <v>1059.94839609484</v>
      </c>
      <c r="N23" s="101" t="n">
        <v>4.8062015503876</v>
      </c>
      <c r="O23" s="102" t="n">
        <v>1.10077519379845</v>
      </c>
      <c r="P23" s="103" t="n">
        <v>2.5</v>
      </c>
    </row>
    <row r="24" customFormat="false" ht="13.8" hidden="false" customHeight="false" outlineLevel="0" collapsed="false">
      <c r="B24" s="0" t="s">
        <v>109</v>
      </c>
      <c r="C24" s="0" t="n">
        <v>1</v>
      </c>
      <c r="D24" s="105" t="n">
        <f aca="false">(C24/SUM($C$24:$C$42))*$C$43+C24</f>
        <v>1.10077519379845</v>
      </c>
      <c r="E24" s="0" t="s">
        <v>109</v>
      </c>
      <c r="F24" s="0" t="n">
        <v>2</v>
      </c>
      <c r="G24" s="105" t="n">
        <f aca="false">(F24/SUM($F$24:$F$43))*$F$44+F24</f>
        <v>2.4031007751938</v>
      </c>
      <c r="I24" s="96" t="s">
        <v>110</v>
      </c>
      <c r="J24" s="104"/>
      <c r="K24" s="104"/>
      <c r="L24" s="97" t="n">
        <v>805.383795309169</v>
      </c>
      <c r="M24" s="97" t="n">
        <v>909.529986052999</v>
      </c>
      <c r="N24" s="97" t="n">
        <v>0</v>
      </c>
      <c r="O24" s="97" t="n">
        <v>0</v>
      </c>
      <c r="P24" s="103" t="n">
        <v>2.5</v>
      </c>
    </row>
    <row r="25" customFormat="false" ht="13.8" hidden="false" customHeight="false" outlineLevel="0" collapsed="false">
      <c r="B25" s="0" t="s">
        <v>111</v>
      </c>
      <c r="C25" s="0" t="n">
        <v>1</v>
      </c>
      <c r="D25" s="105" t="n">
        <f aca="false">(C25/SUM($C$24:$C$42))*$C$43+C25</f>
        <v>1.10077519379845</v>
      </c>
      <c r="E25" s="0" t="s">
        <v>111</v>
      </c>
      <c r="F25" s="0" t="n">
        <v>5</v>
      </c>
      <c r="G25" s="105" t="n">
        <f aca="false">(F25/SUM($F$24:$F$43))*$F$44+F25</f>
        <v>6.0077519379845</v>
      </c>
      <c r="I25" s="96" t="s">
        <v>112</v>
      </c>
      <c r="J25" s="104"/>
      <c r="K25" s="104"/>
      <c r="L25" s="97" t="n">
        <v>410.406301824212</v>
      </c>
      <c r="M25" s="97" t="n">
        <v>506.408647140865</v>
      </c>
      <c r="N25" s="97" t="n">
        <v>0</v>
      </c>
      <c r="O25" s="97" t="n">
        <v>0</v>
      </c>
      <c r="P25" s="103" t="n">
        <v>2.5</v>
      </c>
    </row>
    <row r="26" customFormat="false" ht="13.8" hidden="false" customHeight="false" outlineLevel="0" collapsed="false">
      <c r="B26" s="0" t="s">
        <v>113</v>
      </c>
      <c r="C26" s="0" t="n">
        <v>1</v>
      </c>
      <c r="D26" s="105" t="n">
        <f aca="false">(C26/SUM($C$24:$C$42))*$C$43+C26</f>
        <v>1.10077519379845</v>
      </c>
      <c r="E26" s="0" t="s">
        <v>114</v>
      </c>
      <c r="F26" s="0" t="n">
        <v>1</v>
      </c>
      <c r="G26" s="105" t="n">
        <f aca="false">(F26/SUM($F$24:$F$43))*$F$44+F26</f>
        <v>1.2015503875969</v>
      </c>
      <c r="I26" s="96" t="s">
        <v>115</v>
      </c>
      <c r="J26" s="104"/>
      <c r="K26" s="104"/>
      <c r="L26" s="97" t="n">
        <v>139.887862275922</v>
      </c>
      <c r="M26" s="97" t="n">
        <v>186.518828451883</v>
      </c>
      <c r="N26" s="97" t="n">
        <v>0</v>
      </c>
      <c r="O26" s="97" t="n">
        <v>0</v>
      </c>
      <c r="P26" s="103" t="n">
        <v>2.5</v>
      </c>
    </row>
    <row r="27" customFormat="false" ht="13.8" hidden="false" customHeight="false" outlineLevel="0" collapsed="false">
      <c r="B27" s="0" t="s">
        <v>26</v>
      </c>
      <c r="C27" s="0" t="n">
        <v>2</v>
      </c>
      <c r="D27" s="105" t="n">
        <f aca="false">(C27/SUM($C$24:$C$42))*$C$43+C27</f>
        <v>2.2015503875969</v>
      </c>
      <c r="E27" s="0" t="s">
        <v>113</v>
      </c>
      <c r="F27" s="0" t="n">
        <v>1</v>
      </c>
      <c r="G27" s="105" t="n">
        <f aca="false">(F27/SUM($F$24:$F$43))*$F$44+F27</f>
        <v>1.2015503875969</v>
      </c>
      <c r="I27" s="96" t="s">
        <v>116</v>
      </c>
      <c r="J27" s="104"/>
      <c r="K27" s="104"/>
      <c r="L27" s="97" t="n">
        <f aca="false">SUM(G72:G74)</f>
        <v>29.8290294558951</v>
      </c>
      <c r="M27" s="97" t="n">
        <f aca="false">SUM(D72:D73)</f>
        <v>48.1338912133891</v>
      </c>
      <c r="N27" s="97" t="n">
        <v>0</v>
      </c>
      <c r="O27" s="97" t="n">
        <v>0</v>
      </c>
      <c r="P27" s="95"/>
    </row>
    <row r="28" customFormat="false" ht="13.8" hidden="false" customHeight="false" outlineLevel="0" collapsed="false">
      <c r="B28" s="0" t="s">
        <v>27</v>
      </c>
      <c r="C28" s="0" t="n">
        <v>5</v>
      </c>
      <c r="D28" s="105" t="n">
        <f aca="false">(C28/SUM($C$24:$C$42))*$C$43+C28</f>
        <v>5.50387596899225</v>
      </c>
      <c r="E28" s="0" t="s">
        <v>26</v>
      </c>
      <c r="F28" s="0" t="n">
        <v>3</v>
      </c>
      <c r="G28" s="105" t="n">
        <f aca="false">(F28/SUM($F$24:$F$43))*$F$44+F28</f>
        <v>3.6046511627907</v>
      </c>
    </row>
    <row r="29" customFormat="false" ht="13.8" hidden="false" customHeight="false" outlineLevel="0" collapsed="false">
      <c r="B29" s="0" t="s">
        <v>28</v>
      </c>
      <c r="C29" s="0" t="n">
        <v>8</v>
      </c>
      <c r="D29" s="105" t="n">
        <f aca="false">(C29/SUM($C$24:$C$42))*$C$43+C29</f>
        <v>8.8062015503876</v>
      </c>
      <c r="E29" s="0" t="s">
        <v>27</v>
      </c>
      <c r="F29" s="0" t="n">
        <v>9</v>
      </c>
      <c r="G29" s="105" t="n">
        <f aca="false">(F29/SUM($F$24:$F$43))*$F$44+F29</f>
        <v>10.8139534883721</v>
      </c>
    </row>
    <row r="30" customFormat="false" ht="13.8" hidden="false" customHeight="false" outlineLevel="0" collapsed="false">
      <c r="B30" s="0" t="s">
        <v>29</v>
      </c>
      <c r="C30" s="0" t="n">
        <v>18</v>
      </c>
      <c r="D30" s="105" t="n">
        <f aca="false">(C30/SUM($C$24:$C$42))*$C$43+C30</f>
        <v>19.8139534883721</v>
      </c>
      <c r="E30" s="0" t="s">
        <v>28</v>
      </c>
      <c r="F30" s="0" t="n">
        <v>113</v>
      </c>
      <c r="G30" s="105" t="n">
        <f aca="false">(F30/SUM($F$24:$F$43))*$F$44+F30</f>
        <v>135.77519379845</v>
      </c>
    </row>
    <row r="31" customFormat="false" ht="13.8" hidden="false" customHeight="false" outlineLevel="0" collapsed="false">
      <c r="B31" s="0" t="s">
        <v>30</v>
      </c>
      <c r="C31" s="0" t="n">
        <v>24</v>
      </c>
      <c r="D31" s="105" t="n">
        <f aca="false">(C31/SUM($C$24:$C$42))*$C$43+C31</f>
        <v>26.4186046511628</v>
      </c>
      <c r="E31" s="0" t="s">
        <v>29</v>
      </c>
      <c r="F31" s="0" t="n">
        <v>177</v>
      </c>
      <c r="G31" s="105" t="n">
        <f aca="false">(F31/SUM($F$24:$F$43))*$F$44+F31</f>
        <v>212.674418604651</v>
      </c>
    </row>
    <row r="32" customFormat="false" ht="13.8" hidden="false" customHeight="false" outlineLevel="0" collapsed="false">
      <c r="B32" s="0" t="s">
        <v>31</v>
      </c>
      <c r="C32" s="0" t="n">
        <v>17</v>
      </c>
      <c r="D32" s="105" t="n">
        <f aca="false">(C32/SUM($C$24:$C$42))*$C$43+C32</f>
        <v>18.7131782945736</v>
      </c>
      <c r="E32" s="0" t="s">
        <v>30</v>
      </c>
      <c r="F32" s="0" t="n">
        <v>189</v>
      </c>
      <c r="G32" s="105" t="n">
        <f aca="false">(F32/SUM($F$24:$F$43))*$F$44+F32</f>
        <v>227.093023255814</v>
      </c>
    </row>
    <row r="33" customFormat="false" ht="13.8" hidden="false" customHeight="false" outlineLevel="0" collapsed="false">
      <c r="B33" s="0" t="s">
        <v>32</v>
      </c>
      <c r="C33" s="0" t="n">
        <v>13</v>
      </c>
      <c r="D33" s="105" t="n">
        <f aca="false">(C33/SUM($C$24:$C$42))*$C$43+C33</f>
        <v>14.3100775193798</v>
      </c>
      <c r="E33" s="0" t="s">
        <v>31</v>
      </c>
      <c r="F33" s="0" t="n">
        <v>144</v>
      </c>
      <c r="G33" s="105" t="n">
        <f aca="false">(F33/SUM($F$24:$F$43))*$F$44+F33</f>
        <v>173.023255813953</v>
      </c>
    </row>
    <row r="34" customFormat="false" ht="13.8" hidden="false" customHeight="false" outlineLevel="0" collapsed="false">
      <c r="B34" s="0" t="s">
        <v>33</v>
      </c>
      <c r="C34" s="0" t="n">
        <v>17</v>
      </c>
      <c r="D34" s="105" t="n">
        <f aca="false">(C34/SUM($C$24:$C$42))*$C$43+C34</f>
        <v>18.7131782945736</v>
      </c>
      <c r="E34" s="0" t="s">
        <v>32</v>
      </c>
      <c r="F34" s="0" t="n">
        <v>154</v>
      </c>
      <c r="G34" s="105" t="n">
        <f aca="false">(F34/SUM($F$24:$F$43))*$F$44+F34</f>
        <v>185.038759689922</v>
      </c>
    </row>
    <row r="35" customFormat="false" ht="13.8" hidden="false" customHeight="false" outlineLevel="0" collapsed="false">
      <c r="B35" s="0" t="s">
        <v>34</v>
      </c>
      <c r="C35" s="0" t="n">
        <v>5</v>
      </c>
      <c r="D35" s="105" t="n">
        <f aca="false">(C35/SUM($C$24:$C$42))*$C$43+C35</f>
        <v>5.50387596899225</v>
      </c>
      <c r="E35" s="0" t="s">
        <v>33</v>
      </c>
      <c r="F35" s="0" t="n">
        <v>135</v>
      </c>
      <c r="G35" s="105" t="n">
        <f aca="false">(F35/SUM($F$24:$F$43))*$F$44+F35</f>
        <v>162.209302325581</v>
      </c>
    </row>
    <row r="36" customFormat="false" ht="13.8" hidden="false" customHeight="false" outlineLevel="0" collapsed="false">
      <c r="B36" s="0" t="s">
        <v>35</v>
      </c>
      <c r="C36" s="0" t="n">
        <v>3</v>
      </c>
      <c r="D36" s="105" t="n">
        <f aca="false">(C36/SUM($C$24:$C$42))*$C$43+C36</f>
        <v>3.30232558139535</v>
      </c>
      <c r="E36" s="0" t="s">
        <v>34</v>
      </c>
      <c r="F36" s="0" t="n">
        <v>85</v>
      </c>
      <c r="G36" s="105" t="n">
        <f aca="false">(F36/SUM($F$24:$F$43))*$F$44+F36</f>
        <v>102.131782945736</v>
      </c>
    </row>
    <row r="37" customFormat="false" ht="13.8" hidden="false" customHeight="false" outlineLevel="0" collapsed="false">
      <c r="B37" s="0" t="s">
        <v>36</v>
      </c>
      <c r="C37" s="0" t="n">
        <v>6</v>
      </c>
      <c r="D37" s="105" t="n">
        <f aca="false">(C37/SUM($C$24:$C$42))*$C$43+C37</f>
        <v>6.6046511627907</v>
      </c>
      <c r="E37" s="0" t="s">
        <v>35</v>
      </c>
      <c r="F37" s="0" t="n">
        <v>51</v>
      </c>
      <c r="G37" s="105" t="n">
        <f aca="false">(F37/SUM($F$24:$F$43))*$F$44+F37</f>
        <v>61.2790697674419</v>
      </c>
    </row>
    <row r="38" customFormat="false" ht="13.8" hidden="false" customHeight="false" outlineLevel="0" collapsed="false">
      <c r="B38" s="0" t="s">
        <v>37</v>
      </c>
      <c r="C38" s="0" t="n">
        <v>2</v>
      </c>
      <c r="D38" s="105" t="n">
        <f aca="false">(C38/SUM($C$24:$C$42))*$C$43+C38</f>
        <v>2.2015503875969</v>
      </c>
      <c r="E38" s="0" t="s">
        <v>36</v>
      </c>
      <c r="F38" s="0" t="n">
        <v>32</v>
      </c>
      <c r="G38" s="105" t="n">
        <f aca="false">(F38/SUM($F$24:$F$43))*$F$44+F38</f>
        <v>38.4496124031008</v>
      </c>
    </row>
    <row r="39" customFormat="false" ht="13.8" hidden="false" customHeight="false" outlineLevel="0" collapsed="false">
      <c r="B39" s="0" t="s">
        <v>38</v>
      </c>
      <c r="C39" s="0" t="n">
        <v>3</v>
      </c>
      <c r="D39" s="105" t="n">
        <f aca="false">(C39/SUM($C$24:$C$42))*$C$43+C39</f>
        <v>3.30232558139535</v>
      </c>
      <c r="E39" s="0" t="s">
        <v>37</v>
      </c>
      <c r="F39" s="0" t="n">
        <v>23</v>
      </c>
      <c r="G39" s="105" t="n">
        <f aca="false">(F39/SUM($F$24:$F$43))*$F$44+F39</f>
        <v>27.6356589147287</v>
      </c>
    </row>
    <row r="40" customFormat="false" ht="13.8" hidden="false" customHeight="false" outlineLevel="0" collapsed="false">
      <c r="B40" s="0" t="s">
        <v>117</v>
      </c>
      <c r="C40" s="0" t="n">
        <v>1</v>
      </c>
      <c r="D40" s="105" t="n">
        <f aca="false">(C40/SUM($C$24:$C$42))*$C$43+C40</f>
        <v>1.10077519379845</v>
      </c>
      <c r="E40" s="0" t="s">
        <v>38</v>
      </c>
      <c r="F40" s="0" t="n">
        <v>14</v>
      </c>
      <c r="G40" s="105" t="n">
        <f aca="false">(F40/SUM($F$24:$F$43))*$F$44+F40</f>
        <v>16.8217054263566</v>
      </c>
    </row>
    <row r="41" customFormat="false" ht="13.8" hidden="false" customHeight="false" outlineLevel="0" collapsed="false">
      <c r="B41" s="0" t="s">
        <v>118</v>
      </c>
      <c r="C41" s="0" t="n">
        <v>1</v>
      </c>
      <c r="D41" s="105" t="n">
        <f aca="false">(C41/SUM($C$24:$C$42))*$C$43+C41</f>
        <v>1.10077519379845</v>
      </c>
      <c r="E41" s="0" t="s">
        <v>39</v>
      </c>
      <c r="F41" s="0" t="n">
        <v>11</v>
      </c>
      <c r="G41" s="105" t="n">
        <f aca="false">(F41/SUM($F$24:$F$43))*$F$44+F41</f>
        <v>13.2170542635659</v>
      </c>
    </row>
    <row r="42" customFormat="false" ht="13.8" hidden="false" customHeight="false" outlineLevel="0" collapsed="false">
      <c r="B42" s="0" t="s">
        <v>119</v>
      </c>
      <c r="C42" s="0" t="n">
        <v>1</v>
      </c>
      <c r="D42" s="105" t="n">
        <f aca="false">(C42/SUM($C$24:$C$42))*$C$43+C42</f>
        <v>1.10077519379845</v>
      </c>
      <c r="E42" s="0" t="s">
        <v>117</v>
      </c>
      <c r="F42" s="0" t="n">
        <v>8</v>
      </c>
      <c r="G42" s="105" t="n">
        <f aca="false">(F42/SUM($F$24:$F$43))*$F$44+F42</f>
        <v>9.61240310077519</v>
      </c>
    </row>
    <row r="43" customFormat="false" ht="13.8" hidden="false" customHeight="false" outlineLevel="0" collapsed="false">
      <c r="B43" s="0" t="s">
        <v>120</v>
      </c>
      <c r="C43" s="0" t="n">
        <v>13</v>
      </c>
      <c r="D43" s="105"/>
      <c r="E43" s="0" t="s">
        <v>118</v>
      </c>
      <c r="F43" s="0" t="n">
        <v>4</v>
      </c>
      <c r="G43" s="105" t="n">
        <f aca="false">(F43/SUM($F$24:$F$43))*$F$44+F43</f>
        <v>4.8062015503876</v>
      </c>
    </row>
    <row r="44" customFormat="false" ht="13.8" hidden="false" customHeight="false" outlineLevel="0" collapsed="false">
      <c r="E44" s="0" t="s">
        <v>120</v>
      </c>
      <c r="F44" s="0" t="n">
        <v>234</v>
      </c>
    </row>
    <row r="47" customFormat="false" ht="13.8" hidden="false" customHeight="false" outlineLevel="0" collapsed="false">
      <c r="B47" s="0" t="s">
        <v>105</v>
      </c>
      <c r="C47" s="0" t="s">
        <v>106</v>
      </c>
      <c r="D47" s="0" t="s">
        <v>121</v>
      </c>
      <c r="E47" s="0" t="s">
        <v>105</v>
      </c>
      <c r="F47" s="0" t="s">
        <v>106</v>
      </c>
      <c r="G47" s="0" t="s">
        <v>107</v>
      </c>
    </row>
    <row r="48" customFormat="false" ht="13.8" hidden="false" customHeight="false" outlineLevel="0" collapsed="false">
      <c r="B48" s="0" t="s">
        <v>109</v>
      </c>
      <c r="C48" s="0" t="n">
        <v>407</v>
      </c>
      <c r="D48" s="105" t="n">
        <f aca="false">(C48/SUM($C$48:$C$73))*$C$74+C48</f>
        <v>408.135285913529</v>
      </c>
      <c r="E48" s="0" t="s">
        <v>109</v>
      </c>
      <c r="F48" s="0" t="n">
        <v>523</v>
      </c>
      <c r="G48" s="105" t="n">
        <f aca="false">(F48/SUM($F$48:$F$74))*$F$75+F48</f>
        <v>537.951117428729</v>
      </c>
    </row>
    <row r="49" customFormat="false" ht="13.8" hidden="false" customHeight="false" outlineLevel="0" collapsed="false">
      <c r="B49" s="0" t="s">
        <v>111</v>
      </c>
      <c r="C49" s="0" t="n">
        <v>43</v>
      </c>
      <c r="D49" s="105" t="n">
        <f aca="false">(C49/SUM($C$48:$C$73))*$C$74+C49</f>
        <v>43.1199442119944</v>
      </c>
      <c r="E49" s="0" t="s">
        <v>111</v>
      </c>
      <c r="F49" s="0" t="n">
        <v>50</v>
      </c>
      <c r="G49" s="105" t="n">
        <f aca="false">(F49/SUM($F$48:$F$74))*$F$75+F49</f>
        <v>51.4293611308537</v>
      </c>
    </row>
    <row r="50" customFormat="false" ht="13.8" hidden="false" customHeight="false" outlineLevel="0" collapsed="false">
      <c r="B50" s="0" t="s">
        <v>114</v>
      </c>
      <c r="C50" s="0" t="n">
        <v>19</v>
      </c>
      <c r="D50" s="105" t="n">
        <f aca="false">(C50/SUM($C$48:$C$73))*$C$74+C50</f>
        <v>19.0529986052999</v>
      </c>
      <c r="E50" s="0" t="s">
        <v>114</v>
      </c>
      <c r="F50" s="0" t="n">
        <v>15</v>
      </c>
      <c r="G50" s="105" t="n">
        <f aca="false">(F50/SUM($F$48:$F$74))*$F$75+F50</f>
        <v>15.4288083392561</v>
      </c>
    </row>
    <row r="51" customFormat="false" ht="13.8" hidden="false" customHeight="false" outlineLevel="0" collapsed="false">
      <c r="B51" s="0" t="s">
        <v>122</v>
      </c>
      <c r="C51" s="0" t="n">
        <v>22</v>
      </c>
      <c r="D51" s="105" t="n">
        <f aca="false">(C51/SUM($C$48:$C$73))*$C$74+C51</f>
        <v>22.0613668061367</v>
      </c>
      <c r="E51" s="0" t="s">
        <v>122</v>
      </c>
      <c r="F51" s="0" t="n">
        <v>9</v>
      </c>
      <c r="G51" s="105" t="n">
        <f aca="false">(F51/SUM($F$48:$F$74))*$F$75+F51</f>
        <v>9.25728500355366</v>
      </c>
    </row>
    <row r="52" customFormat="false" ht="13.8" hidden="false" customHeight="false" outlineLevel="0" collapsed="false">
      <c r="B52" s="0" t="s">
        <v>113</v>
      </c>
      <c r="C52" s="0" t="n">
        <v>15</v>
      </c>
      <c r="D52" s="105" t="n">
        <f aca="false">(C52/SUM($C$48:$C$73))*$C$74+C52</f>
        <v>15.0418410041841</v>
      </c>
      <c r="E52" s="0" t="s">
        <v>113</v>
      </c>
      <c r="F52" s="0" t="n">
        <v>16</v>
      </c>
      <c r="G52" s="105" t="n">
        <f aca="false">(F52/SUM($F$48:$F$74))*$F$75+F52</f>
        <v>16.4573955618732</v>
      </c>
    </row>
    <row r="53" customFormat="false" ht="13.8" hidden="false" customHeight="false" outlineLevel="0" collapsed="false">
      <c r="B53" s="0" t="s">
        <v>26</v>
      </c>
      <c r="C53" s="0" t="n">
        <v>36</v>
      </c>
      <c r="D53" s="105" t="n">
        <f aca="false">(C53/SUM($C$48:$C$73))*$C$74+C53</f>
        <v>36.1004184100418</v>
      </c>
      <c r="E53" s="0" t="s">
        <v>26</v>
      </c>
      <c r="F53" s="0" t="n">
        <v>47</v>
      </c>
      <c r="G53" s="105" t="n">
        <f aca="false">(F53/SUM($F$48:$F$74))*$F$75+F53</f>
        <v>48.3435994630024</v>
      </c>
    </row>
    <row r="54" customFormat="false" ht="13.8" hidden="false" customHeight="false" outlineLevel="0" collapsed="false">
      <c r="B54" s="0" t="s">
        <v>27</v>
      </c>
      <c r="C54" s="0" t="n">
        <v>57</v>
      </c>
      <c r="D54" s="105" t="n">
        <f aca="false">(C54/SUM($C$48:$C$73))*$C$74+C54</f>
        <v>57.1589958158996</v>
      </c>
      <c r="E54" s="0" t="s">
        <v>27</v>
      </c>
      <c r="F54" s="0" t="n">
        <v>60</v>
      </c>
      <c r="G54" s="105" t="n">
        <f aca="false">(F54/SUM($F$48:$F$74))*$F$75+F54</f>
        <v>61.7152333570244</v>
      </c>
    </row>
    <row r="55" customFormat="false" ht="13.8" hidden="false" customHeight="false" outlineLevel="0" collapsed="false">
      <c r="B55" s="0" t="s">
        <v>28</v>
      </c>
      <c r="C55" s="0" t="n">
        <v>99</v>
      </c>
      <c r="D55" s="105" t="n">
        <f aca="false">(C55/SUM($C$48:$C$73))*$C$74+C55</f>
        <v>99.2761506276151</v>
      </c>
      <c r="E55" s="0" t="s">
        <v>28</v>
      </c>
      <c r="F55" s="0" t="n">
        <v>296</v>
      </c>
      <c r="G55" s="105" t="n">
        <f aca="false">(F55/SUM($F$48:$F$74))*$F$75+F55</f>
        <v>304.461817894654</v>
      </c>
    </row>
    <row r="56" customFormat="false" ht="13.8" hidden="false" customHeight="false" outlineLevel="0" collapsed="false">
      <c r="B56" s="0" t="s">
        <v>29</v>
      </c>
      <c r="C56" s="0" t="n">
        <v>128</v>
      </c>
      <c r="D56" s="105" t="n">
        <f aca="false">(C56/SUM($C$48:$C$73))*$C$74+C56</f>
        <v>128.357043235704</v>
      </c>
      <c r="E56" s="0" t="s">
        <v>29</v>
      </c>
      <c r="F56" s="0" t="n">
        <v>433</v>
      </c>
      <c r="G56" s="105" t="n">
        <f aca="false">(F56/SUM($F$48:$F$74))*$F$75+F56</f>
        <v>445.378267393193</v>
      </c>
    </row>
    <row r="57" customFormat="false" ht="13.8" hidden="false" customHeight="false" outlineLevel="0" collapsed="false">
      <c r="B57" s="0" t="s">
        <v>30</v>
      </c>
      <c r="C57" s="0" t="n">
        <v>114</v>
      </c>
      <c r="D57" s="105" t="n">
        <f aca="false">(C57/SUM($C$48:$C$73))*$C$74+C57</f>
        <v>114.317991631799</v>
      </c>
      <c r="E57" s="0" t="s">
        <v>30</v>
      </c>
      <c r="F57" s="0" t="n">
        <v>435</v>
      </c>
      <c r="G57" s="105" t="n">
        <f aca="false">(F57/SUM($F$48:$F$74))*$F$75+F57</f>
        <v>447.435441838427</v>
      </c>
    </row>
    <row r="58" customFormat="false" ht="13.8" hidden="false" customHeight="false" outlineLevel="0" collapsed="false">
      <c r="B58" s="0" t="s">
        <v>31</v>
      </c>
      <c r="C58" s="0" t="n">
        <v>154</v>
      </c>
      <c r="D58" s="105" t="n">
        <f aca="false">(C58/SUM($C$48:$C$73))*$C$74+C58</f>
        <v>154.429567642957</v>
      </c>
      <c r="E58" s="0" t="s">
        <v>31</v>
      </c>
      <c r="F58" s="0" t="n">
        <v>441</v>
      </c>
      <c r="G58" s="105" t="n">
        <f aca="false">(F58/SUM($F$48:$F$74))*$F$75+F58</f>
        <v>453.606965174129</v>
      </c>
    </row>
    <row r="59" customFormat="false" ht="13.8" hidden="false" customHeight="false" outlineLevel="0" collapsed="false">
      <c r="B59" s="0" t="s">
        <v>32</v>
      </c>
      <c r="C59" s="0" t="n">
        <v>185</v>
      </c>
      <c r="D59" s="105" t="n">
        <f aca="false">(C59/SUM($C$48:$C$73))*$C$74+C59</f>
        <v>185.516039051604</v>
      </c>
      <c r="E59" s="0" t="s">
        <v>32</v>
      </c>
      <c r="F59" s="0" t="n">
        <v>502</v>
      </c>
      <c r="G59" s="105" t="n">
        <f aca="false">(F59/SUM($F$48:$F$74))*$F$75+F59</f>
        <v>516.350785753771</v>
      </c>
    </row>
    <row r="60" customFormat="false" ht="13.8" hidden="false" customHeight="false" outlineLevel="0" collapsed="false">
      <c r="B60" s="0" t="s">
        <v>33</v>
      </c>
      <c r="C60" s="0" t="n">
        <v>266</v>
      </c>
      <c r="D60" s="105" t="n">
        <f aca="false">(C60/SUM($C$48:$C$73))*$C$74+C60</f>
        <v>266.741980474198</v>
      </c>
      <c r="E60" s="0" t="s">
        <v>33</v>
      </c>
      <c r="F60" s="0" t="n">
        <v>617</v>
      </c>
      <c r="G60" s="105" t="n">
        <f aca="false">(F60/SUM($F$48:$F$74))*$F$75+F60</f>
        <v>634.638316354734</v>
      </c>
    </row>
    <row r="61" customFormat="false" ht="13.8" hidden="false" customHeight="false" outlineLevel="0" collapsed="false">
      <c r="B61" s="0" t="s">
        <v>34</v>
      </c>
      <c r="C61" s="0" t="n">
        <v>342</v>
      </c>
      <c r="D61" s="105" t="n">
        <f aca="false">(C61/SUM($C$48:$C$73))*$C$74+C61</f>
        <v>342.953974895397</v>
      </c>
      <c r="E61" s="0" t="s">
        <v>34</v>
      </c>
      <c r="F61" s="0" t="n">
        <v>702</v>
      </c>
      <c r="G61" s="105" t="n">
        <f aca="false">(F61/SUM($F$48:$F$74))*$F$75+F61</f>
        <v>722.068230277186</v>
      </c>
    </row>
    <row r="62" customFormat="false" ht="13.8" hidden="false" customHeight="false" outlineLevel="0" collapsed="false">
      <c r="B62" s="0" t="s">
        <v>35</v>
      </c>
      <c r="C62" s="0" t="n">
        <v>455</v>
      </c>
      <c r="D62" s="105" t="n">
        <f aca="false">(C62/SUM($C$48:$C$73))*$C$74+C62</f>
        <v>456.269177126918</v>
      </c>
      <c r="E62" s="0" t="s">
        <v>35</v>
      </c>
      <c r="F62" s="0" t="n">
        <v>799</v>
      </c>
      <c r="G62" s="105" t="n">
        <f aca="false">(F62/SUM($F$48:$F$74))*$F$75+F62</f>
        <v>821.841190871042</v>
      </c>
    </row>
    <row r="63" customFormat="false" ht="13.8" hidden="false" customHeight="false" outlineLevel="0" collapsed="false">
      <c r="B63" s="0" t="s">
        <v>36</v>
      </c>
      <c r="C63" s="0" t="n">
        <v>599</v>
      </c>
      <c r="D63" s="105" t="n">
        <f aca="false">(C63/SUM($C$48:$C$73))*$C$74+C63</f>
        <v>600.670850767085</v>
      </c>
      <c r="E63" s="0" t="s">
        <v>36</v>
      </c>
      <c r="F63" s="0" t="n">
        <v>877</v>
      </c>
      <c r="G63" s="105" t="n">
        <f aca="false">(F63/SUM($F$48:$F$74))*$F$75+F63</f>
        <v>902.070994235173</v>
      </c>
    </row>
    <row r="64" customFormat="false" ht="13.8" hidden="false" customHeight="false" outlineLevel="0" collapsed="false">
      <c r="B64" s="0" t="s">
        <v>37</v>
      </c>
      <c r="C64" s="0" t="n">
        <v>750</v>
      </c>
      <c r="D64" s="105" t="n">
        <f aca="false">(C64/SUM($C$48:$C$73))*$C$74+C64</f>
        <v>752.092050209205</v>
      </c>
      <c r="E64" s="0" t="s">
        <v>37</v>
      </c>
      <c r="F64" s="0" t="n">
        <v>923</v>
      </c>
      <c r="G64" s="105" t="n">
        <f aca="false">(F64/SUM($F$48:$F$74))*$F$75+F64</f>
        <v>949.386006475559</v>
      </c>
    </row>
    <row r="65" customFormat="false" ht="13.8" hidden="false" customHeight="false" outlineLevel="0" collapsed="false">
      <c r="B65" s="0" t="s">
        <v>38</v>
      </c>
      <c r="C65" s="0" t="n">
        <v>862</v>
      </c>
      <c r="D65" s="105" t="n">
        <f aca="false">(C65/SUM($C$48:$C$73))*$C$74+C65</f>
        <v>864.404463040446</v>
      </c>
      <c r="E65" s="0" t="s">
        <v>38</v>
      </c>
      <c r="F65" s="0" t="n">
        <v>1068</v>
      </c>
      <c r="G65" s="105" t="n">
        <f aca="false">(F65/SUM($F$48:$F$74))*$F$75+F65</f>
        <v>1098.53115375503</v>
      </c>
    </row>
    <row r="66" customFormat="false" ht="13.8" hidden="false" customHeight="false" outlineLevel="0" collapsed="false">
      <c r="B66" s="0" t="s">
        <v>39</v>
      </c>
      <c r="C66" s="0" t="n">
        <v>1002</v>
      </c>
      <c r="D66" s="105" t="n">
        <f aca="false">(C66/SUM($C$48:$C$73))*$C$74+C66</f>
        <v>1004.7949790795</v>
      </c>
      <c r="E66" s="0" t="s">
        <v>39</v>
      </c>
      <c r="F66" s="0" t="n">
        <v>1166</v>
      </c>
      <c r="G66" s="105" t="n">
        <f aca="false">(F66/SUM($F$48:$F$74))*$F$75+F66</f>
        <v>1199.33270157151</v>
      </c>
    </row>
    <row r="67" customFormat="false" ht="13.8" hidden="false" customHeight="false" outlineLevel="0" collapsed="false">
      <c r="B67" s="0" t="s">
        <v>117</v>
      </c>
      <c r="C67" s="0" t="n">
        <v>1063</v>
      </c>
      <c r="D67" s="105" t="n">
        <f aca="false">(C67/SUM($C$48:$C$73))*$C$74+C67</f>
        <v>1065.96513249651</v>
      </c>
      <c r="E67" s="0" t="s">
        <v>117</v>
      </c>
      <c r="F67" s="0" t="n">
        <v>1222</v>
      </c>
      <c r="G67" s="105" t="n">
        <f aca="false">(F67/SUM($F$48:$F$74))*$F$75+F67</f>
        <v>1256.93358603806</v>
      </c>
    </row>
    <row r="68" customFormat="false" ht="13.8" hidden="false" customHeight="false" outlineLevel="0" collapsed="false">
      <c r="B68" s="0" t="s">
        <v>118</v>
      </c>
      <c r="C68" s="0" t="n">
        <v>1057</v>
      </c>
      <c r="D68" s="105" t="n">
        <f aca="false">(C68/SUM($C$48:$C$73))*$C$74+C68</f>
        <v>1059.94839609484</v>
      </c>
      <c r="E68" s="0" t="s">
        <v>118</v>
      </c>
      <c r="F68" s="0" t="n">
        <v>1115</v>
      </c>
      <c r="G68" s="105" t="n">
        <f aca="false">(F68/SUM($F$48:$F$74))*$F$75+F68</f>
        <v>1146.87475321804</v>
      </c>
    </row>
    <row r="69" customFormat="false" ht="13.8" hidden="false" customHeight="false" outlineLevel="0" collapsed="false">
      <c r="B69" s="0" t="s">
        <v>119</v>
      </c>
      <c r="C69" s="0" t="n">
        <v>907</v>
      </c>
      <c r="D69" s="105" t="n">
        <f aca="false">(C69/SUM($C$48:$C$73))*$C$74+C69</f>
        <v>909.529986052999</v>
      </c>
      <c r="E69" s="0" t="s">
        <v>119</v>
      </c>
      <c r="F69" s="0" t="n">
        <v>783</v>
      </c>
      <c r="G69" s="105" t="n">
        <f aca="false">(F69/SUM($F$48:$F$74))*$F$75+F69</f>
        <v>805.383795309169</v>
      </c>
    </row>
    <row r="70" customFormat="false" ht="13.8" hidden="false" customHeight="false" outlineLevel="0" collapsed="false">
      <c r="B70" s="0" t="s">
        <v>123</v>
      </c>
      <c r="C70" s="0" t="n">
        <v>505</v>
      </c>
      <c r="D70" s="105" t="n">
        <f aca="false">(C70/SUM($C$48:$C$73))*$C$74+C70</f>
        <v>506.408647140865</v>
      </c>
      <c r="E70" s="0" t="s">
        <v>123</v>
      </c>
      <c r="F70" s="0" t="n">
        <v>399</v>
      </c>
      <c r="G70" s="105" t="n">
        <f aca="false">(F70/SUM($F$48:$F$74))*$F$75+F70</f>
        <v>410.406301824212</v>
      </c>
    </row>
    <row r="71" customFormat="false" ht="13.8" hidden="false" customHeight="false" outlineLevel="0" collapsed="false">
      <c r="B71" s="0" t="s">
        <v>124</v>
      </c>
      <c r="C71" s="0" t="n">
        <v>186</v>
      </c>
      <c r="D71" s="105" t="n">
        <f aca="false">(C71/SUM($C$48:$C$73))*$C$74+C71</f>
        <v>186.518828451883</v>
      </c>
      <c r="E71" s="0" t="s">
        <v>124</v>
      </c>
      <c r="F71" s="0" t="n">
        <v>136</v>
      </c>
      <c r="G71" s="105" t="n">
        <f aca="false">(F71/SUM($F$48:$F$74))*$F$75+F71</f>
        <v>139.887862275922</v>
      </c>
    </row>
    <row r="72" customFormat="false" ht="13.8" hidden="false" customHeight="false" outlineLevel="0" collapsed="false">
      <c r="B72" s="0" t="s">
        <v>125</v>
      </c>
      <c r="C72" s="0" t="n">
        <v>39</v>
      </c>
      <c r="D72" s="105" t="n">
        <f aca="false">(C72/SUM($C$48:$C$73))*$C$74+C72</f>
        <v>39.1087866108787</v>
      </c>
      <c r="E72" s="0" t="s">
        <v>125</v>
      </c>
      <c r="F72" s="0" t="n">
        <v>22</v>
      </c>
      <c r="G72" s="105" t="n">
        <f aca="false">(F72/SUM($F$48:$F$74))*$F$75+F72</f>
        <v>22.6289188975756</v>
      </c>
    </row>
    <row r="73" customFormat="false" ht="13.8" hidden="false" customHeight="false" outlineLevel="0" collapsed="false">
      <c r="B73" s="0" t="s">
        <v>126</v>
      </c>
      <c r="C73" s="0" t="n">
        <v>9</v>
      </c>
      <c r="D73" s="105" t="n">
        <f aca="false">(C73/SUM($C$48:$C$73))*$C$74+C73</f>
        <v>9.02510460251046</v>
      </c>
      <c r="E73" s="0" t="s">
        <v>126</v>
      </c>
      <c r="F73" s="0" t="n">
        <v>6</v>
      </c>
      <c r="G73" s="105" t="n">
        <f aca="false">(F73/SUM($F$48:$F$74))*$F$75+F73</f>
        <v>6.17152333570244</v>
      </c>
    </row>
    <row r="74" customFormat="false" ht="13.8" hidden="false" customHeight="false" outlineLevel="0" collapsed="false">
      <c r="B74" s="0" t="s">
        <v>120</v>
      </c>
      <c r="C74" s="0" t="n">
        <v>26</v>
      </c>
      <c r="E74" s="0" t="s">
        <v>127</v>
      </c>
      <c r="F74" s="0" t="n">
        <v>1</v>
      </c>
      <c r="G74" s="105" t="n">
        <f aca="false">(F74/SUM($F$48:$F$74))*$F$75+F74</f>
        <v>1.02858722261707</v>
      </c>
    </row>
    <row r="75" customFormat="false" ht="13.8" hidden="false" customHeight="false" outlineLevel="0" collapsed="false">
      <c r="E75" s="0" t="s">
        <v>120</v>
      </c>
      <c r="F75" s="0" t="n">
        <v>362</v>
      </c>
    </row>
  </sheetData>
  <mergeCells count="3">
    <mergeCell ref="J4:K4"/>
    <mergeCell ref="L4:M4"/>
    <mergeCell ref="N4:O4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2017-10-29T19:57:25Z</dcterms:created>
  <dc:creator>angel montoya</dc:creator>
  <dc:description/>
  <dc:language>en-US</dc:language>
  <cp:lastModifiedBy/>
  <dcterms:modified xsi:type="dcterms:W3CDTF">2017-11-02T00:09:47Z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