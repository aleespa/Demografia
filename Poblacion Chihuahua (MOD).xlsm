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 López\Desktop\"/>
    </mc:Choice>
  </mc:AlternateContent>
  <bookViews>
    <workbookView xWindow="0" yWindow="0" windowWidth="16380" windowHeight="8190" tabRatio="633" firstSheet="4" activeTab="7"/>
  </bookViews>
  <sheets>
    <sheet name="Portada" sheetId="7" r:id="rId1"/>
    <sheet name="Población INEGI" sheetId="6" r:id="rId2"/>
    <sheet name="Población (CONAPO)" sheetId="9" r:id="rId3"/>
    <sheet name="Piramide poblacional" sheetId="2" r:id="rId4"/>
    <sheet name="Interpolación de Beers (INEGI)" sheetId="3" r:id="rId5"/>
    <sheet name="Interpolación de Beers (CONAPO)" sheetId="10" r:id="rId6"/>
    <sheet name="Correción e Indice (INEGI)" sheetId="4" r:id="rId7"/>
    <sheet name="Correción e Indice (CONAPO)" sheetId="12" r:id="rId8"/>
    <sheet name="Tablas de Mortalidad" sheetId="5" r:id="rId9"/>
  </sheets>
  <definedNames>
    <definedName name="_xlnm._FilterDatabase" localSheetId="1" hidden="1">'Población INEGI'!$A$8:$F$3572</definedName>
    <definedName name="IDX" localSheetId="1">'Población INEGI'!$F$4</definedName>
  </definedName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9" i="12" l="1"/>
  <c r="G8" i="12"/>
  <c r="G7" i="12"/>
  <c r="G6" i="12"/>
  <c r="G105" i="12"/>
  <c r="G104" i="12"/>
  <c r="G103" i="12"/>
  <c r="G102" i="12"/>
  <c r="G106" i="12"/>
  <c r="G99" i="12"/>
  <c r="G100" i="12"/>
  <c r="G101" i="12"/>
  <c r="G90" i="12"/>
  <c r="G79" i="12"/>
  <c r="G80" i="12"/>
  <c r="G81" i="12"/>
  <c r="G82" i="12"/>
  <c r="G83" i="12"/>
  <c r="G84" i="12"/>
  <c r="G85" i="12"/>
  <c r="G86" i="12"/>
  <c r="G87" i="12"/>
  <c r="G88" i="12"/>
  <c r="G89" i="12"/>
  <c r="G91" i="12"/>
  <c r="G92" i="12"/>
  <c r="G93" i="12"/>
  <c r="G94" i="12"/>
  <c r="G95" i="12"/>
  <c r="G96" i="12"/>
  <c r="G97" i="12"/>
  <c r="G98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M17" i="12"/>
  <c r="G17" i="12"/>
  <c r="M16" i="12"/>
  <c r="G16" i="12"/>
  <c r="M15" i="12"/>
  <c r="G15" i="12"/>
  <c r="G14" i="12"/>
  <c r="G13" i="12"/>
  <c r="G12" i="12"/>
  <c r="G11" i="12"/>
  <c r="G10" i="12"/>
  <c r="M17" i="4"/>
  <c r="M16" i="4"/>
  <c r="M15" i="4"/>
  <c r="Z107" i="10"/>
  <c r="Z106" i="10"/>
  <c r="Z105" i="10"/>
  <c r="Z104" i="10"/>
  <c r="Z103" i="10"/>
  <c r="Z102" i="10"/>
  <c r="Z101" i="10"/>
  <c r="Z100" i="10"/>
  <c r="Z99" i="10"/>
  <c r="Z98" i="10"/>
  <c r="Z97" i="10"/>
  <c r="Z96" i="10"/>
  <c r="Z95" i="10"/>
  <c r="Z94" i="10"/>
  <c r="Z93" i="10"/>
  <c r="Z92" i="10"/>
  <c r="Z91" i="10"/>
  <c r="Z90" i="10"/>
  <c r="Z89" i="10"/>
  <c r="Z88" i="10"/>
  <c r="Z87" i="10"/>
  <c r="Z86" i="10"/>
  <c r="Z85" i="10"/>
  <c r="Z84" i="10"/>
  <c r="Z83" i="10"/>
  <c r="Z82" i="10"/>
  <c r="Z81" i="10"/>
  <c r="Z80" i="10"/>
  <c r="Z79" i="10"/>
  <c r="Z78" i="10"/>
  <c r="Z77" i="10"/>
  <c r="Z76" i="10"/>
  <c r="Z75" i="10"/>
  <c r="Z74" i="10"/>
  <c r="Z73" i="10"/>
  <c r="Z72" i="10"/>
  <c r="Z71" i="10"/>
  <c r="Z70" i="10"/>
  <c r="Z69" i="10"/>
  <c r="Z68" i="10"/>
  <c r="Z67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52" i="10"/>
  <c r="Z51" i="10"/>
  <c r="Z50" i="10"/>
  <c r="Z49" i="10"/>
  <c r="Z48" i="10"/>
  <c r="Z47" i="10"/>
  <c r="Z46" i="10"/>
  <c r="Z45" i="10"/>
  <c r="Z44" i="10"/>
  <c r="Z43" i="10"/>
  <c r="Z42" i="10"/>
  <c r="Z41" i="10"/>
  <c r="Z40" i="10"/>
  <c r="Z39" i="10"/>
  <c r="Z38" i="10"/>
  <c r="Z37" i="10"/>
  <c r="Z36" i="10"/>
  <c r="Z35" i="10"/>
  <c r="Z34" i="10"/>
  <c r="Z33" i="10"/>
  <c r="Z32" i="10"/>
  <c r="Z31" i="10"/>
  <c r="Z30" i="10"/>
  <c r="Z29" i="10"/>
  <c r="Z28" i="10"/>
  <c r="Z27" i="10"/>
  <c r="K27" i="10"/>
  <c r="Z26" i="10"/>
  <c r="K26" i="10"/>
  <c r="Z25" i="10"/>
  <c r="K25" i="10"/>
  <c r="Z24" i="10"/>
  <c r="K24" i="10"/>
  <c r="Z23" i="10"/>
  <c r="K23" i="10"/>
  <c r="Z22" i="10"/>
  <c r="O24" i="10"/>
  <c r="K22" i="10"/>
  <c r="Z21" i="10"/>
  <c r="K21" i="10"/>
  <c r="U17" i="10" s="1" a="1"/>
  <c r="Z20" i="10"/>
  <c r="K20" i="10"/>
  <c r="U12" i="10" s="1" a="1"/>
  <c r="Z19" i="10"/>
  <c r="K19" i="10"/>
  <c r="Z18" i="10"/>
  <c r="K18" i="10"/>
  <c r="R37" i="10" s="1" a="1"/>
  <c r="Z17" i="10"/>
  <c r="O17" i="10" a="1"/>
  <c r="K17" i="10"/>
  <c r="Z16" i="10"/>
  <c r="K16" i="10"/>
  <c r="Z15" i="10"/>
  <c r="K15" i="10"/>
  <c r="Z14" i="10"/>
  <c r="K14" i="10"/>
  <c r="Z13" i="10"/>
  <c r="K13" i="10"/>
  <c r="Z12" i="10"/>
  <c r="U14" i="10"/>
  <c r="R13" i="10"/>
  <c r="R12" i="10" a="1"/>
  <c r="K12" i="10"/>
  <c r="R7" i="10" s="1" a="1"/>
  <c r="Z11" i="10"/>
  <c r="K11" i="10"/>
  <c r="O37" i="10" s="1" a="1"/>
  <c r="Z10" i="10"/>
  <c r="K10" i="10"/>
  <c r="O32" i="10" s="1" a="1"/>
  <c r="Z9" i="10"/>
  <c r="K9" i="10"/>
  <c r="O27" i="10" s="1" a="1"/>
  <c r="Z8" i="10"/>
  <c r="K8" i="10"/>
  <c r="O22" i="10" s="1" a="1"/>
  <c r="Z7" i="10"/>
  <c r="Z108" i="10" s="1"/>
  <c r="U7" i="10" a="1"/>
  <c r="R11" i="10"/>
  <c r="R9" i="10"/>
  <c r="R7" i="10"/>
  <c r="O8" i="10"/>
  <c r="O7" i="10" a="1"/>
  <c r="K7" i="10"/>
  <c r="O12" i="10" s="1" a="1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I8" i="9"/>
  <c r="H8" i="9"/>
  <c r="D8" i="9"/>
  <c r="D7" i="9"/>
  <c r="D6" i="9"/>
  <c r="D5" i="9"/>
  <c r="D4" i="9"/>
  <c r="D3" i="9"/>
  <c r="D2" i="9"/>
  <c r="O31" i="10" l="1"/>
  <c r="O29" i="10"/>
  <c r="O27" i="10"/>
  <c r="O30" i="10"/>
  <c r="O28" i="10"/>
  <c r="O36" i="10"/>
  <c r="O34" i="10"/>
  <c r="O32" i="10"/>
  <c r="O35" i="10"/>
  <c r="O33" i="10"/>
  <c r="U21" i="10"/>
  <c r="U19" i="10"/>
  <c r="U17" i="10"/>
  <c r="U20" i="10"/>
  <c r="U18" i="10"/>
  <c r="O15" i="10"/>
  <c r="O13" i="10"/>
  <c r="U11" i="10"/>
  <c r="U9" i="10"/>
  <c r="U7" i="10"/>
  <c r="U10" i="10"/>
  <c r="O12" i="10"/>
  <c r="O16" i="10"/>
  <c r="O21" i="10"/>
  <c r="O19" i="10"/>
  <c r="O17" i="10"/>
  <c r="O20" i="10"/>
  <c r="R40" i="10"/>
  <c r="R38" i="10"/>
  <c r="R41" i="10"/>
  <c r="R39" i="10"/>
  <c r="R37" i="10"/>
  <c r="S37" i="10" s="1"/>
  <c r="U15" i="10"/>
  <c r="U13" i="10"/>
  <c r="U22" i="10" a="1"/>
  <c r="U32" i="10" a="1"/>
  <c r="R22" i="10" a="1"/>
  <c r="U27" i="10" a="1"/>
  <c r="O11" i="10"/>
  <c r="O9" i="10"/>
  <c r="O7" i="10"/>
  <c r="O10" i="10"/>
  <c r="U8" i="10"/>
  <c r="O25" i="10"/>
  <c r="O23" i="10"/>
  <c r="O41" i="10"/>
  <c r="O39" i="10"/>
  <c r="O37" i="10"/>
  <c r="O40" i="10"/>
  <c r="O38" i="10"/>
  <c r="R10" i="10"/>
  <c r="R8" i="10"/>
  <c r="S7" i="10" s="1"/>
  <c r="O14" i="10"/>
  <c r="R16" i="10"/>
  <c r="R14" i="10"/>
  <c r="R12" i="10"/>
  <c r="R15" i="10"/>
  <c r="U12" i="10"/>
  <c r="U16" i="10"/>
  <c r="R17" i="10" a="1"/>
  <c r="R27" i="10" a="1"/>
  <c r="R32" i="10" a="1"/>
  <c r="O18" i="10"/>
  <c r="O22" i="10"/>
  <c r="O26" i="10"/>
  <c r="R30" i="10" l="1"/>
  <c r="R28" i="10"/>
  <c r="R31" i="10"/>
  <c r="R27" i="10"/>
  <c r="S27" i="10" s="1"/>
  <c r="R29" i="10"/>
  <c r="U31" i="10"/>
  <c r="U29" i="10"/>
  <c r="U27" i="10"/>
  <c r="U28" i="10"/>
  <c r="U30" i="10"/>
  <c r="U36" i="10"/>
  <c r="U34" i="10"/>
  <c r="U32" i="10"/>
  <c r="U35" i="10"/>
  <c r="U33" i="10"/>
  <c r="P17" i="10"/>
  <c r="P12" i="10"/>
  <c r="V7" i="10"/>
  <c r="P32" i="10"/>
  <c r="P22" i="10"/>
  <c r="R35" i="10"/>
  <c r="R33" i="10"/>
  <c r="R36" i="10"/>
  <c r="R34" i="10"/>
  <c r="R32" i="10"/>
  <c r="R20" i="10"/>
  <c r="R18" i="10"/>
  <c r="R19" i="10"/>
  <c r="R21" i="10"/>
  <c r="R17" i="10"/>
  <c r="S17" i="10" s="1"/>
  <c r="V12" i="10"/>
  <c r="S12" i="10"/>
  <c r="P37" i="10"/>
  <c r="P7" i="10"/>
  <c r="R26" i="10"/>
  <c r="R24" i="10"/>
  <c r="R22" i="10"/>
  <c r="R23" i="10"/>
  <c r="R25" i="10"/>
  <c r="U25" i="10"/>
  <c r="U23" i="10"/>
  <c r="U24" i="10"/>
  <c r="U26" i="10"/>
  <c r="U22" i="10"/>
  <c r="V22" i="10" s="1"/>
  <c r="V17" i="10"/>
  <c r="P27" i="10"/>
  <c r="J54" i="5"/>
  <c r="X53" i="5"/>
  <c r="V53" i="5"/>
  <c r="J53" i="5"/>
  <c r="G53" i="5"/>
  <c r="V52" i="5"/>
  <c r="W52" i="5" s="1"/>
  <c r="X52" i="5" s="1"/>
  <c r="J52" i="5"/>
  <c r="G52" i="5"/>
  <c r="V51" i="5"/>
  <c r="W51" i="5" s="1"/>
  <c r="X51" i="5" s="1"/>
  <c r="J51" i="5"/>
  <c r="G51" i="5"/>
  <c r="V50" i="5"/>
  <c r="W50" i="5" s="1"/>
  <c r="X50" i="5" s="1"/>
  <c r="J50" i="5"/>
  <c r="G50" i="5"/>
  <c r="V49" i="5"/>
  <c r="W49" i="5" s="1"/>
  <c r="X49" i="5" s="1"/>
  <c r="J49" i="5"/>
  <c r="G49" i="5"/>
  <c r="V48" i="5"/>
  <c r="W48" i="5" s="1"/>
  <c r="X48" i="5" s="1"/>
  <c r="J48" i="5"/>
  <c r="G48" i="5"/>
  <c r="J47" i="5"/>
  <c r="G47" i="5"/>
  <c r="V46" i="5"/>
  <c r="W46" i="5" s="1"/>
  <c r="X46" i="5" s="1"/>
  <c r="J46" i="5"/>
  <c r="G46" i="5"/>
  <c r="J45" i="5"/>
  <c r="G45" i="5"/>
  <c r="V44" i="5"/>
  <c r="W44" i="5" s="1"/>
  <c r="X44" i="5" s="1"/>
  <c r="J44" i="5"/>
  <c r="G44" i="5"/>
  <c r="J43" i="5"/>
  <c r="G43" i="5"/>
  <c r="V42" i="5"/>
  <c r="W42" i="5" s="1"/>
  <c r="X42" i="5" s="1"/>
  <c r="P42" i="5"/>
  <c r="O42" i="5"/>
  <c r="N42" i="5"/>
  <c r="M42" i="5"/>
  <c r="V27" i="5" s="1"/>
  <c r="J42" i="5"/>
  <c r="G42" i="5"/>
  <c r="N41" i="5"/>
  <c r="M41" i="5"/>
  <c r="V26" i="5" s="1"/>
  <c r="J41" i="5"/>
  <c r="G41" i="5"/>
  <c r="X40" i="5"/>
  <c r="N40" i="5"/>
  <c r="M40" i="5"/>
  <c r="V25" i="5" s="1"/>
  <c r="J40" i="5"/>
  <c r="G40" i="5"/>
  <c r="N39" i="5"/>
  <c r="M39" i="5"/>
  <c r="V24" i="5" s="1"/>
  <c r="J39" i="5"/>
  <c r="G39" i="5"/>
  <c r="N38" i="5"/>
  <c r="M38" i="5"/>
  <c r="V23" i="5" s="1"/>
  <c r="W23" i="5" s="1"/>
  <c r="X23" i="5" s="1"/>
  <c r="J38" i="5"/>
  <c r="G38" i="5"/>
  <c r="N37" i="5"/>
  <c r="M37" i="5"/>
  <c r="J37" i="5"/>
  <c r="G37" i="5"/>
  <c r="N36" i="5"/>
  <c r="V47" i="5" s="1"/>
  <c r="W47" i="5" s="1"/>
  <c r="X47" i="5" s="1"/>
  <c r="M36" i="5"/>
  <c r="V21" i="5" s="1"/>
  <c r="J36" i="5"/>
  <c r="G36" i="5"/>
  <c r="AE35" i="5"/>
  <c r="AE36" i="5" s="1"/>
  <c r="AE37" i="5" s="1"/>
  <c r="AE38" i="5" s="1"/>
  <c r="AE39" i="5" s="1"/>
  <c r="AE40" i="5" s="1"/>
  <c r="AE41" i="5" s="1"/>
  <c r="AE42" i="5" s="1"/>
  <c r="AE43" i="5" s="1"/>
  <c r="AE44" i="5" s="1"/>
  <c r="AE45" i="5" s="1"/>
  <c r="AE46" i="5" s="1"/>
  <c r="AE47" i="5" s="1"/>
  <c r="AE48" i="5" s="1"/>
  <c r="AE49" i="5" s="1"/>
  <c r="AE50" i="5" s="1"/>
  <c r="AE51" i="5" s="1"/>
  <c r="AE52" i="5" s="1"/>
  <c r="AE53" i="5" s="1"/>
  <c r="X35" i="5"/>
  <c r="N35" i="5"/>
  <c r="M35" i="5"/>
  <c r="J35" i="5"/>
  <c r="G35" i="5"/>
  <c r="N34" i="5"/>
  <c r="V45" i="5" s="1"/>
  <c r="W45" i="5" s="1"/>
  <c r="X45" i="5" s="1"/>
  <c r="M34" i="5"/>
  <c r="J34" i="5"/>
  <c r="G34" i="5"/>
  <c r="N33" i="5"/>
  <c r="M33" i="5"/>
  <c r="J33" i="5"/>
  <c r="G33" i="5"/>
  <c r="X32" i="5"/>
  <c r="N32" i="5"/>
  <c r="V43" i="5" s="1"/>
  <c r="W43" i="5" s="1"/>
  <c r="X43" i="5" s="1"/>
  <c r="M32" i="5"/>
  <c r="J32" i="5"/>
  <c r="G32" i="5"/>
  <c r="N31" i="5"/>
  <c r="M31" i="5"/>
  <c r="J31" i="5"/>
  <c r="G31" i="5"/>
  <c r="N30" i="5"/>
  <c r="V41" i="5" s="1"/>
  <c r="W41" i="5" s="1"/>
  <c r="X41" i="5" s="1"/>
  <c r="M30" i="5"/>
  <c r="J30" i="5"/>
  <c r="G30" i="5"/>
  <c r="N29" i="5"/>
  <c r="V40" i="5" s="1"/>
  <c r="W40" i="5" s="1"/>
  <c r="M29" i="5"/>
  <c r="J29" i="5"/>
  <c r="G29" i="5"/>
  <c r="N28" i="5"/>
  <c r="V39" i="5" s="1"/>
  <c r="W39" i="5" s="1"/>
  <c r="X39" i="5" s="1"/>
  <c r="M28" i="5"/>
  <c r="J28" i="5"/>
  <c r="G28" i="5"/>
  <c r="X27" i="5"/>
  <c r="N27" i="5"/>
  <c r="V38" i="5" s="1"/>
  <c r="W38" i="5" s="1"/>
  <c r="X38" i="5" s="1"/>
  <c r="M27" i="5"/>
  <c r="W26" i="5"/>
  <c r="X26" i="5" s="1"/>
  <c r="N26" i="5"/>
  <c r="V37" i="5" s="1"/>
  <c r="W37" i="5" s="1"/>
  <c r="X37" i="5" s="1"/>
  <c r="M26" i="5"/>
  <c r="W25" i="5"/>
  <c r="X25" i="5" s="1"/>
  <c r="N25" i="5"/>
  <c r="V36" i="5" s="1"/>
  <c r="W36" i="5" s="1"/>
  <c r="X36" i="5" s="1"/>
  <c r="M25" i="5"/>
  <c r="W24" i="5"/>
  <c r="X24" i="5" s="1"/>
  <c r="N24" i="5"/>
  <c r="V35" i="5" s="1"/>
  <c r="W35" i="5" s="1"/>
  <c r="M24" i="5"/>
  <c r="N23" i="5"/>
  <c r="V34" i="5" s="1"/>
  <c r="W34" i="5" s="1"/>
  <c r="X34" i="5" s="1"/>
  <c r="M23" i="5"/>
  <c r="J23" i="5"/>
  <c r="X22" i="5"/>
  <c r="V22" i="5"/>
  <c r="W22" i="5" s="1"/>
  <c r="P22" i="5"/>
  <c r="V33" i="5" s="1"/>
  <c r="W33" i="5" s="1"/>
  <c r="X33" i="5" s="1"/>
  <c r="O22" i="5"/>
  <c r="N22" i="5"/>
  <c r="M22" i="5"/>
  <c r="J22" i="5"/>
  <c r="G22" i="5"/>
  <c r="W21" i="5"/>
  <c r="X21" i="5" s="1"/>
  <c r="N21" i="5"/>
  <c r="V32" i="5" s="1"/>
  <c r="W32" i="5" s="1"/>
  <c r="Z32" i="5" s="1"/>
  <c r="M21" i="5"/>
  <c r="J21" i="5"/>
  <c r="G21" i="5"/>
  <c r="X20" i="5"/>
  <c r="V20" i="5"/>
  <c r="W20" i="5" s="1"/>
  <c r="J20" i="5"/>
  <c r="G20" i="5"/>
  <c r="X19" i="5"/>
  <c r="V19" i="5"/>
  <c r="W19" i="5" s="1"/>
  <c r="J19" i="5"/>
  <c r="G19" i="5"/>
  <c r="V18" i="5"/>
  <c r="W18" i="5" s="1"/>
  <c r="X18" i="5" s="1"/>
  <c r="J18" i="5"/>
  <c r="G18" i="5"/>
  <c r="V17" i="5"/>
  <c r="W17" i="5" s="1"/>
  <c r="X17" i="5" s="1"/>
  <c r="J17" i="5"/>
  <c r="G17" i="5"/>
  <c r="V16" i="5"/>
  <c r="W16" i="5" s="1"/>
  <c r="X16" i="5" s="1"/>
  <c r="J16" i="5"/>
  <c r="G16" i="5"/>
  <c r="X15" i="5"/>
  <c r="V15" i="5"/>
  <c r="W15" i="5" s="1"/>
  <c r="J15" i="5"/>
  <c r="G15" i="5"/>
  <c r="V14" i="5"/>
  <c r="W14" i="5" s="1"/>
  <c r="X14" i="5" s="1"/>
  <c r="J14" i="5"/>
  <c r="G14" i="5"/>
  <c r="V13" i="5"/>
  <c r="W13" i="5" s="1"/>
  <c r="X13" i="5" s="1"/>
  <c r="J13" i="5"/>
  <c r="G13" i="5"/>
  <c r="V12" i="5"/>
  <c r="W12" i="5" s="1"/>
  <c r="X12" i="5" s="1"/>
  <c r="J12" i="5"/>
  <c r="G12" i="5"/>
  <c r="X11" i="5"/>
  <c r="V11" i="5"/>
  <c r="W11" i="5" s="1"/>
  <c r="J11" i="5"/>
  <c r="G11" i="5"/>
  <c r="V10" i="5"/>
  <c r="W10" i="5" s="1"/>
  <c r="X10" i="5" s="1"/>
  <c r="J10" i="5"/>
  <c r="G10" i="5"/>
  <c r="AE9" i="5"/>
  <c r="AE10" i="5" s="1"/>
  <c r="AE11" i="5" s="1"/>
  <c r="AE12" i="5" s="1"/>
  <c r="AE13" i="5" s="1"/>
  <c r="AE14" i="5" s="1"/>
  <c r="AE15" i="5" s="1"/>
  <c r="AE16" i="5" s="1"/>
  <c r="AE17" i="5" s="1"/>
  <c r="AE18" i="5" s="1"/>
  <c r="AE19" i="5" s="1"/>
  <c r="AE20" i="5" s="1"/>
  <c r="AE21" i="5" s="1"/>
  <c r="AE22" i="5" s="1"/>
  <c r="AE23" i="5" s="1"/>
  <c r="AE24" i="5" s="1"/>
  <c r="AE25" i="5" s="1"/>
  <c r="AE26" i="5" s="1"/>
  <c r="AE27" i="5" s="1"/>
  <c r="X9" i="5"/>
  <c r="V9" i="5"/>
  <c r="W9" i="5" s="1"/>
  <c r="J9" i="5"/>
  <c r="G9" i="5"/>
  <c r="W8" i="5"/>
  <c r="X8" i="5" s="1"/>
  <c r="V8" i="5"/>
  <c r="J8" i="5"/>
  <c r="G8" i="5"/>
  <c r="V7" i="5"/>
  <c r="W7" i="5" s="1"/>
  <c r="X7" i="5" s="1"/>
  <c r="J7" i="5"/>
  <c r="G7" i="5"/>
  <c r="V6" i="5"/>
  <c r="W6" i="5" s="1"/>
  <c r="J6" i="5"/>
  <c r="G6" i="5"/>
  <c r="J5" i="5"/>
  <c r="G5" i="5"/>
  <c r="J4" i="5"/>
  <c r="Q21" i="5" s="1"/>
  <c r="G4" i="5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R32" i="3" a="1"/>
  <c r="R36" i="3" s="1"/>
  <c r="K22" i="3"/>
  <c r="K21" i="3"/>
  <c r="K20" i="3"/>
  <c r="K19" i="3"/>
  <c r="K18" i="3"/>
  <c r="K17" i="3"/>
  <c r="R37" i="3" s="1" a="1"/>
  <c r="K16" i="3"/>
  <c r="K15" i="3"/>
  <c r="K14" i="3"/>
  <c r="K13" i="3"/>
  <c r="R7" i="3" s="1" a="1"/>
  <c r="R11" i="3" s="1"/>
  <c r="U12" i="3"/>
  <c r="V12" i="3" s="1"/>
  <c r="O12" i="3" a="1"/>
  <c r="O15" i="3" s="1"/>
  <c r="K12" i="3"/>
  <c r="K11" i="3"/>
  <c r="K10" i="3"/>
  <c r="O32" i="3" s="1" a="1"/>
  <c r="K9" i="3"/>
  <c r="K8" i="3"/>
  <c r="R9" i="3"/>
  <c r="O7" i="3" a="1"/>
  <c r="O10" i="3" s="1"/>
  <c r="K7" i="3"/>
  <c r="L22" i="2"/>
  <c r="K22" i="2"/>
  <c r="H22" i="2"/>
  <c r="G22" i="2"/>
  <c r="L21" i="2"/>
  <c r="K21" i="2"/>
  <c r="H21" i="2"/>
  <c r="G21" i="2"/>
  <c r="L20" i="2"/>
  <c r="K20" i="2"/>
  <c r="H20" i="2"/>
  <c r="G20" i="2"/>
  <c r="L19" i="2"/>
  <c r="K19" i="2"/>
  <c r="H19" i="2"/>
  <c r="G19" i="2"/>
  <c r="L18" i="2"/>
  <c r="K18" i="2"/>
  <c r="H18" i="2"/>
  <c r="G18" i="2"/>
  <c r="L17" i="2"/>
  <c r="K17" i="2"/>
  <c r="H17" i="2"/>
  <c r="G17" i="2"/>
  <c r="L16" i="2"/>
  <c r="K16" i="2"/>
  <c r="H16" i="2"/>
  <c r="G16" i="2"/>
  <c r="L15" i="2"/>
  <c r="K15" i="2"/>
  <c r="H15" i="2"/>
  <c r="G15" i="2"/>
  <c r="L14" i="2"/>
  <c r="K14" i="2"/>
  <c r="H14" i="2"/>
  <c r="G14" i="2"/>
  <c r="L13" i="2"/>
  <c r="K13" i="2"/>
  <c r="H13" i="2"/>
  <c r="G13" i="2"/>
  <c r="L12" i="2"/>
  <c r="K12" i="2"/>
  <c r="H12" i="2"/>
  <c r="G12" i="2"/>
  <c r="L11" i="2"/>
  <c r="K11" i="2"/>
  <c r="H11" i="2"/>
  <c r="G11" i="2"/>
  <c r="L10" i="2"/>
  <c r="K10" i="2"/>
  <c r="H10" i="2"/>
  <c r="G10" i="2"/>
  <c r="L9" i="2"/>
  <c r="K9" i="2"/>
  <c r="H9" i="2"/>
  <c r="G9" i="2"/>
  <c r="L8" i="2"/>
  <c r="K8" i="2"/>
  <c r="H8" i="2"/>
  <c r="G8" i="2"/>
  <c r="L7" i="2"/>
  <c r="K7" i="2"/>
  <c r="H7" i="2"/>
  <c r="G7" i="2"/>
  <c r="V27" i="10" l="1"/>
  <c r="S22" i="10"/>
  <c r="S32" i="10"/>
  <c r="V32" i="10"/>
  <c r="O34" i="3"/>
  <c r="O33" i="3"/>
  <c r="O36" i="3"/>
  <c r="O8" i="3"/>
  <c r="R10" i="3"/>
  <c r="O37" i="3" a="1"/>
  <c r="R17" i="3" a="1"/>
  <c r="R22" i="3" a="1"/>
  <c r="Z6" i="5"/>
  <c r="X6" i="5"/>
  <c r="O14" i="3"/>
  <c r="O13" i="3"/>
  <c r="R35" i="3"/>
  <c r="R32" i="3"/>
  <c r="R34" i="3"/>
  <c r="R33" i="3"/>
  <c r="O17" i="3" a="1"/>
  <c r="O9" i="3"/>
  <c r="R7" i="3"/>
  <c r="O22" i="3" a="1"/>
  <c r="O16" i="3"/>
  <c r="O32" i="3"/>
  <c r="O11" i="3"/>
  <c r="R38" i="3"/>
  <c r="R41" i="3"/>
  <c r="R40" i="3"/>
  <c r="R37" i="3"/>
  <c r="R39" i="3"/>
  <c r="O7" i="3"/>
  <c r="R8" i="3"/>
  <c r="U7" i="3" a="1"/>
  <c r="O27" i="3" a="1"/>
  <c r="O12" i="3"/>
  <c r="R12" i="3" a="1"/>
  <c r="R27" i="3" a="1"/>
  <c r="O35" i="3"/>
  <c r="Q22" i="5"/>
  <c r="Y33" i="5"/>
  <c r="AD32" i="5"/>
  <c r="O31" i="3" l="1"/>
  <c r="O30" i="3"/>
  <c r="O27" i="3"/>
  <c r="O29" i="3"/>
  <c r="O28" i="3"/>
  <c r="R28" i="3"/>
  <c r="R31" i="3"/>
  <c r="R30" i="3"/>
  <c r="R27" i="3"/>
  <c r="R29" i="3"/>
  <c r="U9" i="3"/>
  <c r="U8" i="3"/>
  <c r="U10" i="3"/>
  <c r="U7" i="3"/>
  <c r="U11" i="3"/>
  <c r="S37" i="3"/>
  <c r="S7" i="3"/>
  <c r="R19" i="3"/>
  <c r="R18" i="3"/>
  <c r="R21" i="3"/>
  <c r="R17" i="3"/>
  <c r="R20" i="3"/>
  <c r="O24" i="3"/>
  <c r="O23" i="3"/>
  <c r="O26" i="3"/>
  <c r="O22" i="3"/>
  <c r="O25" i="3"/>
  <c r="AA32" i="5"/>
  <c r="Z33" i="5"/>
  <c r="AD33" i="5" s="1"/>
  <c r="R15" i="3"/>
  <c r="R12" i="3"/>
  <c r="R14" i="3"/>
  <c r="R13" i="3"/>
  <c r="R16" i="3"/>
  <c r="P32" i="3"/>
  <c r="S32" i="3"/>
  <c r="O41" i="3"/>
  <c r="O40" i="3"/>
  <c r="O37" i="3"/>
  <c r="O39" i="3"/>
  <c r="O38" i="3"/>
  <c r="R25" i="3"/>
  <c r="R22" i="3"/>
  <c r="R24" i="3"/>
  <c r="R23" i="3"/>
  <c r="R26" i="3"/>
  <c r="P12" i="3"/>
  <c r="P7" i="3"/>
  <c r="O18" i="3"/>
  <c r="O21" i="3"/>
  <c r="O20" i="3"/>
  <c r="O19" i="3"/>
  <c r="O17" i="3"/>
  <c r="Y7" i="5"/>
  <c r="AD6" i="5"/>
  <c r="Z7" i="5" l="1"/>
  <c r="AD7" i="5" s="1"/>
  <c r="AA6" i="5"/>
  <c r="P17" i="3"/>
  <c r="P22" i="3"/>
  <c r="V7" i="3"/>
  <c r="P27" i="3"/>
  <c r="S17" i="3"/>
  <c r="S27" i="3"/>
  <c r="S22" i="3"/>
  <c r="P37" i="3"/>
  <c r="S12" i="3"/>
  <c r="Y34" i="5"/>
  <c r="Y8" i="5" l="1"/>
  <c r="Z8" i="5" s="1"/>
  <c r="Z34" i="5"/>
  <c r="AD34" i="5" s="1"/>
  <c r="Y35" i="5"/>
  <c r="AA33" i="5"/>
  <c r="AD8" i="5" l="1"/>
  <c r="Y9" i="5"/>
  <c r="AA7" i="5"/>
  <c r="Z9" i="5"/>
  <c r="AD9" i="5" s="1"/>
  <c r="AA8" i="5"/>
  <c r="Z35" i="5"/>
  <c r="AD35" i="5" s="1"/>
  <c r="Y36" i="5"/>
  <c r="AA34" i="5"/>
  <c r="AA35" i="5" l="1"/>
  <c r="Z36" i="5"/>
  <c r="AD36" i="5" s="1"/>
  <c r="Y10" i="5"/>
  <c r="AA9" i="5" l="1"/>
  <c r="Z10" i="5"/>
  <c r="AD10" i="5" s="1"/>
  <c r="Y37" i="5"/>
  <c r="Y11" i="5" l="1"/>
  <c r="AA36" i="5"/>
  <c r="Z37" i="5"/>
  <c r="AD37" i="5" s="1"/>
  <c r="Y38" i="5"/>
  <c r="AA37" i="5" l="1"/>
  <c r="Z38" i="5"/>
  <c r="AD38" i="5" s="1"/>
  <c r="Y39" i="5"/>
  <c r="Z11" i="5"/>
  <c r="AD11" i="5" s="1"/>
  <c r="AA10" i="5"/>
  <c r="AA38" i="5" l="1"/>
  <c r="Z39" i="5"/>
  <c r="AD39" i="5" s="1"/>
  <c r="Y12" i="5"/>
  <c r="AA11" i="5" l="1"/>
  <c r="Z12" i="5"/>
  <c r="AD12" i="5" s="1"/>
  <c r="Y40" i="5"/>
  <c r="Y13" i="5" l="1"/>
  <c r="AA39" i="5"/>
  <c r="Z40" i="5"/>
  <c r="AD40" i="5" s="1"/>
  <c r="Z13" i="5" l="1"/>
  <c r="AD13" i="5" s="1"/>
  <c r="AA12" i="5"/>
  <c r="Y41" i="5"/>
  <c r="Y14" i="5" l="1"/>
  <c r="Y42" i="5"/>
  <c r="AA40" i="5"/>
  <c r="Z41" i="5"/>
  <c r="AD41" i="5" s="1"/>
  <c r="AA41" i="5" l="1"/>
  <c r="Z42" i="5"/>
  <c r="AD42" i="5" s="1"/>
  <c r="AA13" i="5"/>
  <c r="Z14" i="5"/>
  <c r="AD14" i="5" s="1"/>
  <c r="Y15" i="5" l="1"/>
  <c r="Z15" i="5" s="1"/>
  <c r="AD15" i="5" s="1"/>
  <c r="Y43" i="5"/>
  <c r="AA14" i="5" l="1"/>
  <c r="Z43" i="5"/>
  <c r="AD43" i="5" s="1"/>
  <c r="AA42" i="5"/>
  <c r="Y16" i="5"/>
  <c r="AA15" i="5" l="1"/>
  <c r="Z16" i="5"/>
  <c r="AD16" i="5" s="1"/>
  <c r="Y44" i="5"/>
  <c r="AA43" i="5" l="1"/>
  <c r="Z44" i="5"/>
  <c r="AD44" i="5" s="1"/>
  <c r="Y17" i="5"/>
  <c r="Y45" i="5" l="1"/>
  <c r="Z17" i="5"/>
  <c r="AD17" i="5" s="1"/>
  <c r="AA16" i="5"/>
  <c r="Y18" i="5" l="1"/>
  <c r="Z45" i="5"/>
  <c r="AD45" i="5" s="1"/>
  <c r="AA44" i="5"/>
  <c r="AA17" i="5" l="1"/>
  <c r="Z18" i="5"/>
  <c r="AD18" i="5" s="1"/>
  <c r="Y46" i="5"/>
  <c r="Y19" i="5" l="1"/>
  <c r="AA45" i="5"/>
  <c r="Z46" i="5"/>
  <c r="AD46" i="5" s="1"/>
  <c r="Y47" i="5" l="1"/>
  <c r="Z19" i="5"/>
  <c r="AD19" i="5" s="1"/>
  <c r="AA18" i="5"/>
  <c r="Y20" i="5" l="1"/>
  <c r="Z47" i="5"/>
  <c r="AD47" i="5" s="1"/>
  <c r="AA46" i="5"/>
  <c r="Y48" i="5" l="1"/>
  <c r="Z20" i="5"/>
  <c r="AD20" i="5" s="1"/>
  <c r="AA19" i="5"/>
  <c r="Y21" i="5"/>
  <c r="Z21" i="5" l="1"/>
  <c r="AD21" i="5" s="1"/>
  <c r="AA20" i="5"/>
  <c r="Y49" i="5"/>
  <c r="AA47" i="5"/>
  <c r="Z48" i="5"/>
  <c r="AD48" i="5" s="1"/>
  <c r="Y22" i="5" l="1"/>
  <c r="Y50" i="5"/>
  <c r="AA48" i="5"/>
  <c r="Z49" i="5"/>
  <c r="AD49" i="5" s="1"/>
  <c r="Y51" i="5" l="1"/>
  <c r="AA49" i="5"/>
  <c r="Z50" i="5"/>
  <c r="AD50" i="5" s="1"/>
  <c r="AA21" i="5"/>
  <c r="Z22" i="5"/>
  <c r="AD22" i="5" s="1"/>
  <c r="Y52" i="5" l="1"/>
  <c r="AA50" i="5"/>
  <c r="Z51" i="5"/>
  <c r="AD51" i="5" s="1"/>
  <c r="Y23" i="5"/>
  <c r="Z23" i="5" l="1"/>
  <c r="AD23" i="5" s="1"/>
  <c r="AA22" i="5"/>
  <c r="AA51" i="5"/>
  <c r="Z52" i="5"/>
  <c r="AD52" i="5" s="1"/>
  <c r="Y53" i="5" l="1"/>
  <c r="Y24" i="5"/>
  <c r="Z24" i="5" l="1"/>
  <c r="AD24" i="5" s="1"/>
  <c r="AA23" i="5"/>
  <c r="Z53" i="5"/>
  <c r="AA52" i="5"/>
  <c r="Y25" i="5" l="1"/>
  <c r="Z25" i="5" s="1"/>
  <c r="AD25" i="5" s="1"/>
  <c r="AD53" i="5"/>
  <c r="AA53" i="5"/>
  <c r="AB53" i="5" s="1"/>
  <c r="AC53" i="5" s="1"/>
  <c r="AA24" i="5" l="1"/>
  <c r="Y26" i="5"/>
  <c r="AA25" i="5" s="1"/>
  <c r="AB52" i="5"/>
  <c r="Z26" i="5"/>
  <c r="AD26" i="5" s="1"/>
  <c r="Y27" i="5" l="1"/>
  <c r="AC52" i="5"/>
  <c r="AB51" i="5"/>
  <c r="AA26" i="5" l="1"/>
  <c r="Z27" i="5"/>
  <c r="AC51" i="5"/>
  <c r="AB50" i="5"/>
  <c r="AC50" i="5" l="1"/>
  <c r="AB49" i="5"/>
  <c r="AA27" i="5"/>
  <c r="AB27" i="5" s="1"/>
  <c r="AD27" i="5"/>
  <c r="AC27" i="5" l="1"/>
  <c r="AB26" i="5"/>
  <c r="AC49" i="5"/>
  <c r="AB48" i="5"/>
  <c r="AC48" i="5" l="1"/>
  <c r="AB47" i="5"/>
  <c r="AB25" i="5"/>
  <c r="AC26" i="5"/>
  <c r="AB24" i="5" l="1"/>
  <c r="AC25" i="5"/>
  <c r="AC47" i="5"/>
  <c r="AB46" i="5"/>
  <c r="AB23" i="5" l="1"/>
  <c r="AC24" i="5"/>
  <c r="AC46" i="5"/>
  <c r="AB45" i="5"/>
  <c r="AC45" i="5" l="1"/>
  <c r="AB44" i="5"/>
  <c r="AC23" i="5"/>
  <c r="AB22" i="5"/>
  <c r="AB21" i="5" l="1"/>
  <c r="AC22" i="5"/>
  <c r="AC44" i="5"/>
  <c r="AB43" i="5"/>
  <c r="AC43" i="5" l="1"/>
  <c r="AB42" i="5"/>
  <c r="AC21" i="5"/>
  <c r="AB20" i="5"/>
  <c r="AC42" i="5" l="1"/>
  <c r="AB41" i="5"/>
  <c r="AC20" i="5"/>
  <c r="AB19" i="5"/>
  <c r="AC41" i="5" l="1"/>
  <c r="AB40" i="5"/>
  <c r="AC19" i="5"/>
  <c r="AB18" i="5"/>
  <c r="AC40" i="5" l="1"/>
  <c r="AB39" i="5"/>
  <c r="AC18" i="5"/>
  <c r="AB17" i="5"/>
  <c r="AC39" i="5" l="1"/>
  <c r="AB38" i="5"/>
  <c r="AB16" i="5"/>
  <c r="AC17" i="5"/>
  <c r="AC38" i="5" l="1"/>
  <c r="AB37" i="5"/>
  <c r="AC16" i="5"/>
  <c r="AB15" i="5"/>
  <c r="AC37" i="5" l="1"/>
  <c r="AB36" i="5"/>
  <c r="AB14" i="5"/>
  <c r="AC15" i="5"/>
  <c r="AC36" i="5" l="1"/>
  <c r="AB35" i="5"/>
  <c r="AC14" i="5"/>
  <c r="AB13" i="5"/>
  <c r="AB12" i="5" l="1"/>
  <c r="AC13" i="5"/>
  <c r="AC35" i="5"/>
  <c r="AB34" i="5"/>
  <c r="AC34" i="5" l="1"/>
  <c r="AB33" i="5"/>
  <c r="AC12" i="5"/>
  <c r="AB11" i="5"/>
  <c r="AB10" i="5" l="1"/>
  <c r="AC11" i="5"/>
  <c r="AC33" i="5"/>
  <c r="AB32" i="5"/>
  <c r="AC32" i="5" s="1"/>
  <c r="AF32" i="5" l="1"/>
  <c r="AF33" i="5"/>
  <c r="AG33" i="5" s="1"/>
  <c r="AF34" i="5"/>
  <c r="AG34" i="5" s="1"/>
  <c r="AF35" i="5"/>
  <c r="AG35" i="5" s="1"/>
  <c r="AF36" i="5"/>
  <c r="AG36" i="5" s="1"/>
  <c r="AF37" i="5"/>
  <c r="AG37" i="5" s="1"/>
  <c r="AF38" i="5"/>
  <c r="AG38" i="5" s="1"/>
  <c r="AF39" i="5"/>
  <c r="AG39" i="5" s="1"/>
  <c r="AF40" i="5"/>
  <c r="AG40" i="5" s="1"/>
  <c r="AF41" i="5"/>
  <c r="AG41" i="5" s="1"/>
  <c r="AF42" i="5"/>
  <c r="AG42" i="5" s="1"/>
  <c r="AF43" i="5"/>
  <c r="AG43" i="5" s="1"/>
  <c r="AF44" i="5"/>
  <c r="AG44" i="5" s="1"/>
  <c r="AF45" i="5"/>
  <c r="AG45" i="5" s="1"/>
  <c r="AF46" i="5"/>
  <c r="AG46" i="5" s="1"/>
  <c r="AF47" i="5"/>
  <c r="AG47" i="5" s="1"/>
  <c r="AC10" i="5"/>
  <c r="AB9" i="5"/>
  <c r="AB8" i="5" l="1"/>
  <c r="AC9" i="5"/>
  <c r="AG32" i="5"/>
  <c r="AG54" i="5" s="1"/>
  <c r="AF54" i="5"/>
  <c r="AB7" i="5" l="1"/>
  <c r="AC8" i="5"/>
  <c r="AC7" i="5" l="1"/>
  <c r="AB6" i="5"/>
  <c r="AC6" i="5" s="1"/>
  <c r="AF6" i="5" l="1"/>
  <c r="AF7" i="5"/>
  <c r="AG7" i="5" s="1"/>
  <c r="AF8" i="5"/>
  <c r="AG8" i="5" s="1"/>
  <c r="AF9" i="5"/>
  <c r="AG9" i="5" s="1"/>
  <c r="AF10" i="5"/>
  <c r="AG10" i="5" s="1"/>
  <c r="AF11" i="5"/>
  <c r="AG11" i="5" s="1"/>
  <c r="AF12" i="5"/>
  <c r="AG12" i="5" s="1"/>
  <c r="AF13" i="5"/>
  <c r="AG13" i="5" s="1"/>
  <c r="AF14" i="5"/>
  <c r="AG14" i="5" s="1"/>
  <c r="AF15" i="5"/>
  <c r="AG15" i="5" s="1"/>
  <c r="AF16" i="5"/>
  <c r="AG16" i="5" s="1"/>
  <c r="AF17" i="5"/>
  <c r="AG17" i="5" s="1"/>
  <c r="AF18" i="5"/>
  <c r="AG18" i="5" s="1"/>
  <c r="AF19" i="5"/>
  <c r="AG19" i="5" s="1"/>
  <c r="AF20" i="5"/>
  <c r="AG20" i="5" s="1"/>
  <c r="AF28" i="5" l="1"/>
  <c r="AG6" i="5"/>
  <c r="AG28" i="5" s="1"/>
</calcChain>
</file>

<file path=xl/sharedStrings.xml><?xml version="1.0" encoding="utf-8"?>
<sst xmlns="http://schemas.openxmlformats.org/spreadsheetml/2006/main" count="11126" uniqueCount="199">
  <si>
    <t>Grupos quinquenales de edad</t>
  </si>
  <si>
    <t>Población total</t>
  </si>
  <si>
    <t>Hombres</t>
  </si>
  <si>
    <t>Mujeres</t>
  </si>
  <si>
    <t>00-04 años</t>
  </si>
  <si>
    <t>05-09 años</t>
  </si>
  <si>
    <t>10-14 años</t>
  </si>
  <si>
    <t>15-19 años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</si>
  <si>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</si>
  <si>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</si>
  <si>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</si>
  <si>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</si>
  <si>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</si>
  <si>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</si>
  <si>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</si>
  <si>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55-59 años</t>
  </si>
  <si>
    <t>60-64 años</t>
  </si>
  <si>
    <t>65-69 años</t>
  </si>
  <si>
    <t>70-74 años</t>
  </si>
  <si>
    <t>75 años y más</t>
  </si>
  <si>
    <t>No especificado</t>
  </si>
  <si>
    <t>Población quinquenal de Chihuahua.</t>
  </si>
  <si>
    <t>Distribuyendo no especificados</t>
  </si>
  <si>
    <t>Porcentajes</t>
  </si>
  <si>
    <t>Edad</t>
  </si>
  <si>
    <t>De 0 a 4 años</t>
  </si>
  <si>
    <t>De 5 a 9 años</t>
  </si>
  <si>
    <t>De 10 a 14 años</t>
  </si>
  <si>
    <t>De 15 a 19 años</t>
  </si>
  <si>
    <t>De 20 a 24 años</t>
  </si>
  <si>
    <t>De 25 a 29 años</t>
  </si>
  <si>
    <t>De 30 a 34 años</t>
  </si>
  <si>
    <t>De 35 a 39 años</t>
  </si>
  <si>
    <t>De 40 a 44 años</t>
  </si>
  <si>
    <t>De 45 a 49 años</t>
  </si>
  <si>
    <t>De 50 a 54 años</t>
  </si>
  <si>
    <t>De 55 a 59 años</t>
  </si>
  <si>
    <t>De 60 a 64 años</t>
  </si>
  <si>
    <t>De 65 a 69 años</t>
  </si>
  <si>
    <t>De 70 a 74 años</t>
  </si>
  <si>
    <t>De 75 y más</t>
  </si>
  <si>
    <t>Interpolation Coefficients based on the Beers "Ordinary" Formula</t>
  </si>
  <si>
    <t>For subdivision of groups into fifiths</t>
  </si>
  <si>
    <t>Interpolated
subgroup</t>
  </si>
  <si>
    <t>Coefficients to be applied to</t>
  </si>
  <si>
    <t>G1</t>
  </si>
  <si>
    <t>G2</t>
  </si>
  <si>
    <t>G3</t>
  </si>
  <si>
    <t>G4</t>
  </si>
  <si>
    <t>G5</t>
  </si>
  <si>
    <t>First panel</t>
  </si>
  <si>
    <t>Población</t>
  </si>
  <si>
    <t>Pob</t>
  </si>
  <si>
    <t>1st fifth of G1</t>
  </si>
  <si>
    <t>2nd fifth of G1</t>
  </si>
  <si>
    <t>3th fifth of G1</t>
  </si>
  <si>
    <t>4th fifth of G1</t>
  </si>
  <si>
    <t>5th fifth of G1</t>
  </si>
  <si>
    <t>Next to first panel</t>
  </si>
  <si>
    <t>75 y mas</t>
  </si>
  <si>
    <t>1st fifth of G2</t>
  </si>
  <si>
    <t>2nd fifth of G2</t>
  </si>
  <si>
    <t>3th fifth of G2</t>
  </si>
  <si>
    <t>4th fifth of G2</t>
  </si>
  <si>
    <t>5th fifth of G2</t>
  </si>
  <si>
    <t>Middle panel</t>
  </si>
  <si>
    <t>1st fifth of G3</t>
  </si>
  <si>
    <t>2nd fifth of G3</t>
  </si>
  <si>
    <t>3th fifth of G3</t>
  </si>
  <si>
    <t>4th fifth of G3</t>
  </si>
  <si>
    <t>5th fifth of G3</t>
  </si>
  <si>
    <t>Next to last panel</t>
  </si>
  <si>
    <t>1st fifth of G4</t>
  </si>
  <si>
    <t>2nd fifth of G4</t>
  </si>
  <si>
    <t>3th fifth of G4</t>
  </si>
  <si>
    <t>4th fifth of G4</t>
  </si>
  <si>
    <t>5th fifth of G4</t>
  </si>
  <si>
    <t>Last panel</t>
  </si>
  <si>
    <t>1st fifth of G5</t>
  </si>
  <si>
    <t>2nd fifth of G5</t>
  </si>
  <si>
    <t>3th fifth of G5</t>
  </si>
  <si>
    <t>4th fifth of G5</t>
  </si>
  <si>
    <t>5th fifth of G5</t>
  </si>
  <si>
    <t xml:space="preserve">Source: Beers, Henry S. (1945) "Six-Term Formulas for Routine Actuarial 
Interpolation" in Discussion of Papers Presented in the Record, No.68, The 
Record of the American Institute of Actuaries, 34, Part I (69):59-60. </t>
  </si>
  <si>
    <t>Población interpolada por el metodo de Beers.</t>
  </si>
  <si>
    <t>Población corregida por el metodo de 1/16</t>
  </si>
  <si>
    <t>DESCRIP</t>
  </si>
  <si>
    <t>TOTAL</t>
  </si>
  <si>
    <t>Corregida</t>
  </si>
  <si>
    <t>Menores de un año</t>
  </si>
  <si>
    <t>HOMBRES</t>
  </si>
  <si>
    <t>De un año</t>
  </si>
  <si>
    <t>n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</si>
  <si>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m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</si>
  <si>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q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</si>
  <si>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p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</si>
  <si>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</si>
  <si>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</si>
  <si>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</si>
  <si>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T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</si>
  <si>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e°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</si>
  <si>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x,j</t>
    </r>
  </si>
  <si>
    <t>x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</si>
  <si>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AEVP</t>
    </r>
    <r>
      <rPr>
        <b/>
        <sz val="11"/>
        <color rgb="FF000000"/>
        <rFont val="Calibri"/>
        <family val="2"/>
        <charset val="1"/>
      </rPr>
      <t>x,j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</si>
  <si>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i/>
        <sz val="16"/>
        <color rgb="FF000000"/>
        <rFont val="Calibri"/>
        <family val="2"/>
        <charset val="1"/>
      </rPr>
      <t>avpp</t>
    </r>
    <r>
      <rPr>
        <b/>
        <sz val="11"/>
        <color rgb="FF000000"/>
        <rFont val="Calibri"/>
        <family val="2"/>
        <charset val="1"/>
      </rPr>
      <t>x,j</t>
    </r>
  </si>
  <si>
    <t>De 4 años</t>
  </si>
  <si>
    <t>De 2 años</t>
  </si>
  <si>
    <t>Defunciones</t>
  </si>
  <si>
    <t>Defunciones por agresiones</t>
  </si>
  <si>
    <t>De 75 a 79 años</t>
  </si>
  <si>
    <t>ax</t>
  </si>
  <si>
    <t>De 80 a 84 años</t>
  </si>
  <si>
    <t>De 85 a 89 años</t>
  </si>
  <si>
    <t>1-4</t>
  </si>
  <si>
    <t>Edad no  especificada</t>
  </si>
  <si>
    <t>5-9</t>
  </si>
  <si>
    <t>10-14</t>
  </si>
  <si>
    <t>15-19</t>
  </si>
  <si>
    <t>20-24</t>
  </si>
  <si>
    <t>Coregida</t>
  </si>
  <si>
    <t>25-29</t>
  </si>
  <si>
    <t>30-34</t>
  </si>
  <si>
    <t>35-39</t>
  </si>
  <si>
    <t>40-44</t>
  </si>
  <si>
    <t>MUJERES</t>
  </si>
  <si>
    <t>De 3 años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</si>
  <si>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</si>
  <si>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</si>
  <si>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</si>
  <si>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</si>
  <si>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</si>
  <si>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</si>
  <si>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</si>
  <si>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</si>
  <si>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</si>
  <si>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</si>
  <si>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95-99</t>
  </si>
  <si>
    <t>100+</t>
  </si>
  <si>
    <t>De 90 a 94 años</t>
  </si>
  <si>
    <t>De 95 a 99 años</t>
  </si>
  <si>
    <t>De 100 a 104 años</t>
  </si>
  <si>
    <t>De 105 a 109 años</t>
  </si>
  <si>
    <t>De 110 a 114 años</t>
  </si>
  <si>
    <t>INEGI. Tabulados de la Encuesta Intercensal 2015</t>
  </si>
  <si>
    <t>Índice</t>
  </si>
  <si>
    <t>Fecha de elaboración: 24/10/2016</t>
  </si>
  <si>
    <t>Estimadores de la población total en viviendas particulares habitadas por entidad federativa</t>
  </si>
  <si>
    <t>Población 2</t>
  </si>
  <si>
    <t>y grupos quinquenales de edad según sexo</t>
  </si>
  <si>
    <t>Entidad federativa</t>
  </si>
  <si>
    <t>Estimador</t>
  </si>
  <si>
    <t>Estados Unidos Mexicanos</t>
  </si>
  <si>
    <t>Total</t>
  </si>
  <si>
    <t>Valor</t>
  </si>
  <si>
    <t>Error estándar</t>
  </si>
  <si>
    <t>Límite inferior de confianza</t>
  </si>
  <si>
    <t>Límite superior de confianza</t>
  </si>
  <si>
    <t>Coeficiente de variación</t>
  </si>
  <si>
    <t>DEFF</t>
  </si>
  <si>
    <t>01 Aguascalientes</t>
  </si>
  <si>
    <t>02 Baja California</t>
  </si>
  <si>
    <t>03 Baja California Sur</t>
  </si>
  <si>
    <t>04 Campeche</t>
  </si>
  <si>
    <t>05 Coahuila de Zaragoza</t>
  </si>
  <si>
    <t>06 Colima</t>
  </si>
  <si>
    <t>07 Chiapas</t>
  </si>
  <si>
    <t>08 Chihuahua</t>
  </si>
  <si>
    <t>09 Ciudad de México</t>
  </si>
  <si>
    <t>10 Durango</t>
  </si>
  <si>
    <t>11 Guanajuato</t>
  </si>
  <si>
    <t>12 Guerrero</t>
  </si>
  <si>
    <t>13 Hidalgo</t>
  </si>
  <si>
    <t>14 Jalisco</t>
  </si>
  <si>
    <t>15 México</t>
  </si>
  <si>
    <t>16 Michoacán de Ocampo</t>
  </si>
  <si>
    <t>17 Morelos</t>
  </si>
  <si>
    <t>18 Nayarit</t>
  </si>
  <si>
    <t>19 Nuevo León</t>
  </si>
  <si>
    <t>20 Oaxaca</t>
  </si>
  <si>
    <t>21 Puebla</t>
  </si>
  <si>
    <t>22 Querétaro</t>
  </si>
  <si>
    <t>23 Quintana Roo</t>
  </si>
  <si>
    <t>24 San Luis Potosí</t>
  </si>
  <si>
    <t>25 Sinaloa</t>
  </si>
  <si>
    <t>26 Sonora</t>
  </si>
  <si>
    <t>27 Tabasco</t>
  </si>
  <si>
    <t>28 Tamaulipas</t>
  </si>
  <si>
    <t>29 Tlaxcala</t>
  </si>
  <si>
    <t>30 Veracruz de Ignacio de la Llave</t>
  </si>
  <si>
    <t>31 Yucatán</t>
  </si>
  <si>
    <t>32 Zacatecas</t>
  </si>
  <si>
    <t>Nota: Los límites de confianza se calculan al 90 por ciento.</t>
  </si>
  <si>
    <t>Indice De Whipple para los digitos 0 y 5</t>
  </si>
  <si>
    <t>0-4</t>
  </si>
  <si>
    <t xml:space="preserve">P. Real </t>
  </si>
  <si>
    <t>P. estimada</t>
  </si>
  <si>
    <t>ECM</t>
  </si>
  <si>
    <t>Mas de 100 años</t>
  </si>
  <si>
    <t>Más de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</si>
</sst>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##,##0.00"/>
    <numFmt numFmtId="165" formatCode="##,##0"/>
    <numFmt numFmtId="166" formatCode="_-* #,##0.00_-;\-* #,##0.00_-;_-* \-??_-;_-@_-"/>
    <numFmt numFmtId="167" formatCode="_-* #,##0_-;\-* #,##0_-;_-* \-??_-;_-@_-"/>
    <numFmt numFmtId="168" formatCode="_-* #,##0.0000_-;\-* #,##0.0000_-;_-* \-??_-;_-@_-"/>
    <numFmt numFmtId="169" formatCode="###0.000000"/>
    <numFmt numFmtId="170" formatCode="_-* #,##0.000_-;\-* #,##0.000_-;_-* &quot;-&quot;??_-;_-@_-"/>
    <numFmt numFmtId="171" formatCode="#,##0.000"/>
  </numFmts>
  <fonts count="41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000000"/>
      <name val="Book Antiqua"/>
      <family val="1"/>
      <charset val="1"/>
    </font>
    <font>
      <b/>
      <sz val="11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b/>
      <sz val="9"/>
      <color rgb="FF000000"/>
      <name val="Arial Narrow"/>
      <family val="2"/>
      <charset val="1"/>
    </font>
    <font>
      <b/>
      <sz val="9"/>
      <name val="Arial"/>
      <family val="2"/>
      <charset val="1"/>
    </font>
    <font>
      <b/>
      <sz val="10"/>
      <name val="Arial"/>
      <family val="2"/>
      <charset val="1"/>
    </font>
    <font>
      <sz val="12"/>
      <color rgb="FF000000"/>
      <name val="Calibri"/>
      <family val="2"/>
      <charset val="1"/>
    </font>
    <font>
      <sz val="10"/>
      <name val="Arial"/>
      <family val="2"/>
      <charset val="1"/>
    </font>
    <font>
      <i/>
      <sz val="10"/>
      <name val="Arial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sz val="10"/>
      <name val="Times New Roman"/>
      <family val="1"/>
      <charset val="1"/>
    </font>
    <font>
      <b/>
      <sz val="14"/>
      <color rgb="FF000000"/>
      <name val="Calibri"/>
      <family val="2"/>
      <charset val="1"/>
    </font>
    <font>
      <b/>
      <i/>
      <sz val="16"/>
      <color rgb="FF000000"/>
      <name val="Calibri"/>
      <family val="2"/>
      <charset val="1"/>
    </font>
    <font>
      <b/>
      <sz val="14"/>
      <color rgb="FFFF000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1"/>
      <color theme="1"/>
      <name val="Calibri"/>
      <family val="2"/>
      <scheme val="minor"/>
    </font>
    <font>
      <sz val="11"/>
      <color rgb="FF003361"/>
      <name val="Arial"/>
      <family val="2"/>
    </font>
    <font>
      <sz val="10"/>
      <color rgb="FF000000"/>
      <name val="Arial Narrow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  <font>
      <sz val="10"/>
      <color rgb="FF003361"/>
      <name val="Arial"/>
      <family val="2"/>
    </font>
    <font>
      <b/>
      <sz val="10"/>
      <color rgb="FF000000"/>
      <name val="Arial Narrow"/>
      <family val="2"/>
    </font>
    <font>
      <sz val="8"/>
      <color rgb="FF000000"/>
      <name val="Arial Narrow"/>
      <family val="2"/>
    </font>
    <font>
      <b/>
      <sz val="24"/>
      <color rgb="FF000000"/>
      <name val="Arial Narrow"/>
      <family val="2"/>
    </font>
    <font>
      <b/>
      <sz val="7"/>
      <color rgb="FFFFFFFF"/>
      <name val="Arial Narrow"/>
      <family val="2"/>
    </font>
    <font>
      <b/>
      <sz val="7"/>
      <color rgb="FF000000"/>
      <name val="Arial Narrow"/>
      <family val="2"/>
    </font>
    <font>
      <sz val="7"/>
      <color rgb="FF000000"/>
      <name val="Arial Narrow"/>
      <family val="2"/>
    </font>
    <font>
      <b/>
      <i/>
      <sz val="10"/>
      <color rgb="FF000000"/>
      <name val="Calibri"/>
      <family val="2"/>
    </font>
    <font>
      <b/>
      <i/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2"/>
      <color rgb="FF000000"/>
      <name val="Calibri"/>
      <family val="2"/>
      <charset val="1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rgb="FFFFFFFF"/>
        <bgColor rgb="FFE3FDFC"/>
      </patternFill>
    </fill>
    <fill>
      <patternFill patternType="solid">
        <fgColor rgb="FFFFFF00"/>
        <bgColor rgb="FFCCFF00"/>
      </patternFill>
    </fill>
    <fill>
      <patternFill patternType="solid">
        <fgColor rgb="FF99FF99"/>
        <bgColor rgb="FFCBFDB5"/>
      </patternFill>
    </fill>
    <fill>
      <patternFill patternType="solid">
        <fgColor rgb="FFD9D9D9"/>
        <bgColor rgb="FFE0E0E0"/>
      </patternFill>
    </fill>
    <fill>
      <patternFill patternType="solid">
        <fgColor rgb="FF9AE2FC"/>
        <bgColor rgb="FF99FFFF"/>
      </patternFill>
    </fill>
    <fill>
      <patternFill patternType="solid">
        <fgColor rgb="FFFFCB97"/>
        <bgColor rgb="FFFFCC99"/>
      </patternFill>
    </fill>
    <fill>
      <patternFill patternType="solid">
        <fgColor rgb="FFFFCC99"/>
        <bgColor rgb="FFFFCB97"/>
      </patternFill>
    </fill>
    <fill>
      <patternFill patternType="solid">
        <fgColor rgb="FF2DFF2D"/>
        <bgColor rgb="FF34F0EC"/>
      </patternFill>
    </fill>
    <fill>
      <patternFill patternType="solid">
        <fgColor rgb="FF34F0EC"/>
        <bgColor rgb="FF00FFFF"/>
      </patternFill>
    </fill>
    <fill>
      <patternFill patternType="solid">
        <fgColor rgb="FFCBFDB5"/>
        <bgColor rgb="FFE3FDFC"/>
      </patternFill>
    </fill>
    <fill>
      <patternFill patternType="solid">
        <fgColor rgb="FFE3FDFC"/>
        <bgColor rgb="FFFFFFFF"/>
      </patternFill>
    </fill>
    <fill>
      <patternFill patternType="solid">
        <fgColor rgb="FFC5ECFF"/>
        <bgColor rgb="FFE0E5EB"/>
      </patternFill>
    </fill>
    <fill>
      <patternFill patternType="solid">
        <fgColor rgb="FFFFFFFF"/>
        <bgColor indexed="64"/>
      </patternFill>
    </fill>
    <fill>
      <patternFill patternType="solid">
        <fgColor rgb="FF306A5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D3F0FD"/>
        <bgColor rgb="FFFFFF00"/>
      </patternFill>
    </fill>
    <fill>
      <patternFill patternType="solid">
        <fgColor rgb="FF00B0F0"/>
        <bgColor indexed="64"/>
      </patternFill>
    </fill>
    <fill>
      <patternFill patternType="solid">
        <fgColor rgb="FF65FF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7FF"/>
        <bgColor rgb="FFFFFF00"/>
      </patternFill>
    </fill>
    <fill>
      <patternFill patternType="solid">
        <fgColor rgb="FFFFABFF"/>
        <bgColor indexed="64"/>
      </patternFill>
    </fill>
    <fill>
      <patternFill patternType="solid">
        <fgColor rgb="FF65FF65"/>
        <bgColor rgb="FFFF8080"/>
      </patternFill>
    </fill>
    <fill>
      <patternFill patternType="solid">
        <fgColor rgb="FFFFABFF"/>
        <bgColor rgb="FFFF8080"/>
      </patternFill>
    </fill>
    <fill>
      <patternFill patternType="solid">
        <fgColor rgb="FF00B0F0"/>
        <bgColor rgb="FFFF8080"/>
      </patternFill>
    </fill>
    <fill>
      <patternFill patternType="solid">
        <fgColor rgb="FFD3F0FD"/>
        <bgColor rgb="FF9AE2FC"/>
      </patternFill>
    </fill>
    <fill>
      <patternFill patternType="solid">
        <fgColor rgb="FFFFE7FF"/>
        <bgColor rgb="FF9AE2FC"/>
      </patternFill>
    </fill>
    <fill>
      <patternFill patternType="solid">
        <fgColor rgb="FFB9FFB9"/>
        <bgColor indexed="64"/>
      </patternFill>
    </fill>
  </fills>
  <borders count="58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9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thin">
        <color rgb="FFE0E0E0"/>
      </left>
      <right style="thin">
        <color indexed="9"/>
      </right>
      <top style="thin">
        <color rgb="FF808080"/>
      </top>
      <bottom style="thin">
        <color rgb="FFE0E0E0"/>
      </bottom>
      <diagonal/>
    </border>
    <border>
      <left/>
      <right/>
      <top/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6">
    <xf numFmtId="0" fontId="0" fillId="0" borderId="0"/>
    <xf numFmtId="166" fontId="19" fillId="0" borderId="0" applyBorder="0" applyProtection="0"/>
    <xf numFmtId="9" fontId="19" fillId="0" borderId="0" applyBorder="0" applyProtection="0"/>
    <xf numFmtId="0" fontId="9" fillId="0" borderId="0"/>
    <xf numFmtId="0" fontId="2" fillId="0" borderId="0"/>
    <xf numFmtId="0" fontId="23" fillId="0" borderId="0" applyNumberFormat="0" applyFill="0" applyBorder="0" applyAlignment="0" applyProtection="0"/>
  </cellStyleXfs>
  <cellXfs count="247">
    <xf numFmtId="0" fontId="0" fillId="0" borderId="0" xfId="0"/>
    <xf numFmtId="0" fontId="4" fillId="0" borderId="0" xfId="0" applyFont="1"/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vertical="center" wrapText="1"/>
    </xf>
    <xf numFmtId="167" fontId="6" fillId="6" borderId="11" xfId="1" applyNumberFormat="1" applyFont="1" applyFill="1" applyBorder="1" applyAlignment="1" applyProtection="1">
      <alignment horizontal="center" vertical="center" wrapText="1"/>
    </xf>
    <xf numFmtId="167" fontId="6" fillId="7" borderId="12" xfId="1" applyNumberFormat="1" applyFont="1" applyFill="1" applyBorder="1" applyAlignment="1" applyProtection="1">
      <alignment horizontal="center" vertical="center" wrapText="1"/>
    </xf>
    <xf numFmtId="0" fontId="5" fillId="0" borderId="0" xfId="0" applyFont="1"/>
    <xf numFmtId="0" fontId="5" fillId="5" borderId="13" xfId="0" applyFont="1" applyFill="1" applyBorder="1" applyAlignment="1">
      <alignment vertical="center"/>
    </xf>
    <xf numFmtId="167" fontId="7" fillId="6" borderId="14" xfId="1" applyNumberFormat="1" applyFont="1" applyFill="1" applyBorder="1" applyAlignment="1" applyProtection="1">
      <alignment horizontal="right" vertical="center"/>
    </xf>
    <xf numFmtId="167" fontId="7" fillId="8" borderId="15" xfId="1" applyNumberFormat="1" applyFont="1" applyFill="1" applyBorder="1" applyAlignment="1" applyProtection="1">
      <alignment horizontal="right" vertical="center"/>
    </xf>
    <xf numFmtId="0" fontId="5" fillId="5" borderId="13" xfId="0" applyFont="1" applyFill="1" applyBorder="1" applyAlignment="1">
      <alignment vertical="center" wrapText="1"/>
    </xf>
    <xf numFmtId="10" fontId="7" fillId="6" borderId="14" xfId="2" applyNumberFormat="1" applyFont="1" applyFill="1" applyBorder="1" applyAlignment="1" applyProtection="1">
      <alignment horizontal="right" vertical="center"/>
    </xf>
    <xf numFmtId="10" fontId="7" fillId="8" borderId="15" xfId="2" applyNumberFormat="1" applyFont="1" applyFill="1" applyBorder="1" applyAlignment="1" applyProtection="1">
      <alignment horizontal="right" vertical="center"/>
    </xf>
    <xf numFmtId="0" fontId="5" fillId="5" borderId="16" xfId="0" applyFont="1" applyFill="1" applyBorder="1" applyAlignment="1">
      <alignment vertical="center" wrapText="1"/>
    </xf>
    <xf numFmtId="167" fontId="6" fillId="6" borderId="17" xfId="1" applyNumberFormat="1" applyFont="1" applyFill="1" applyBorder="1" applyAlignment="1" applyProtection="1">
      <alignment horizontal="center" vertical="center" wrapText="1"/>
    </xf>
    <xf numFmtId="167" fontId="6" fillId="7" borderId="18" xfId="1" applyNumberFormat="1" applyFont="1" applyFill="1" applyBorder="1" applyAlignment="1" applyProtection="1">
      <alignment horizontal="center" vertical="center" wrapText="1"/>
    </xf>
    <xf numFmtId="0" fontId="5" fillId="5" borderId="16" xfId="0" applyFont="1" applyFill="1" applyBorder="1" applyAlignment="1">
      <alignment vertical="center"/>
    </xf>
    <xf numFmtId="0" fontId="5" fillId="5" borderId="19" xfId="0" applyFont="1" applyFill="1" applyBorder="1" applyAlignment="1">
      <alignment vertical="center" wrapText="1"/>
    </xf>
    <xf numFmtId="167" fontId="6" fillId="6" borderId="20" xfId="1" applyNumberFormat="1" applyFont="1" applyFill="1" applyBorder="1" applyAlignment="1" applyProtection="1">
      <alignment horizontal="center" vertical="center" wrapText="1"/>
    </xf>
    <xf numFmtId="167" fontId="6" fillId="7" borderId="21" xfId="1" applyNumberFormat="1" applyFont="1" applyFill="1" applyBorder="1" applyAlignment="1" applyProtection="1">
      <alignment horizontal="center" vertical="center" wrapText="1"/>
    </xf>
    <xf numFmtId="0" fontId="8" fillId="0" borderId="0" xfId="3" applyFont="1"/>
    <xf numFmtId="0" fontId="10" fillId="0" borderId="0" xfId="3" applyFont="1"/>
    <xf numFmtId="0" fontId="11" fillId="0" borderId="0" xfId="3" applyFont="1"/>
    <xf numFmtId="0" fontId="10" fillId="2" borderId="17" xfId="3" applyFont="1" applyFill="1" applyBorder="1" applyAlignment="1">
      <alignment horizontal="center"/>
    </xf>
    <xf numFmtId="0" fontId="10" fillId="2" borderId="23" xfId="3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 vertical="center"/>
    </xf>
    <xf numFmtId="0" fontId="12" fillId="9" borderId="7" xfId="3" applyFont="1" applyFill="1" applyBorder="1" applyAlignment="1">
      <alignment horizontal="center" vertical="center"/>
    </xf>
    <xf numFmtId="167" fontId="12" fillId="10" borderId="9" xfId="0" applyNumberFormat="1" applyFont="1" applyFill="1" applyBorder="1" applyAlignment="1" applyProtection="1">
      <alignment horizontal="center" vertical="center"/>
    </xf>
    <xf numFmtId="0" fontId="10" fillId="2" borderId="24" xfId="3" applyFont="1" applyFill="1" applyBorder="1"/>
    <xf numFmtId="168" fontId="10" fillId="2" borderId="25" xfId="0" applyNumberFormat="1" applyFont="1" applyFill="1" applyBorder="1" applyAlignment="1" applyProtection="1">
      <protection locked="0"/>
    </xf>
    <xf numFmtId="168" fontId="10" fillId="2" borderId="26" xfId="0" applyNumberFormat="1" applyFont="1" applyFill="1" applyBorder="1" applyAlignment="1" applyProtection="1">
      <protection locked="0"/>
    </xf>
    <xf numFmtId="168" fontId="10" fillId="2" borderId="27" xfId="0" applyNumberFormat="1" applyFont="1" applyFill="1" applyBorder="1" applyAlignment="1" applyProtection="1">
      <protection locked="0"/>
    </xf>
    <xf numFmtId="0" fontId="5" fillId="5" borderId="10" xfId="0" applyFont="1" applyFill="1" applyBorder="1" applyAlignment="1">
      <alignment vertical="center"/>
    </xf>
    <xf numFmtId="167" fontId="7" fillId="6" borderId="11" xfId="1" applyNumberFormat="1" applyFont="1" applyFill="1" applyBorder="1" applyAlignment="1" applyProtection="1">
      <alignment horizontal="right" vertical="center"/>
    </xf>
    <xf numFmtId="167" fontId="7" fillId="8" borderId="11" xfId="1" applyNumberFormat="1" applyFont="1" applyFill="1" applyBorder="1" applyAlignment="1" applyProtection="1">
      <alignment horizontal="right" vertical="center"/>
    </xf>
    <xf numFmtId="167" fontId="0" fillId="11" borderId="12" xfId="0" applyNumberFormat="1" applyFill="1" applyBorder="1"/>
    <xf numFmtId="0" fontId="12" fillId="5" borderId="13" xfId="3" applyFont="1" applyFill="1" applyBorder="1" applyAlignment="1">
      <alignment horizontal="center" vertical="center"/>
    </xf>
    <xf numFmtId="167" fontId="13" fillId="12" borderId="15" xfId="0" applyNumberFormat="1" applyFont="1" applyFill="1" applyBorder="1" applyAlignment="1" applyProtection="1">
      <alignment horizontal="center" vertical="center"/>
    </xf>
    <xf numFmtId="167" fontId="13" fillId="0" borderId="0" xfId="0" applyNumberFormat="1" applyFont="1" applyBorder="1" applyAlignment="1" applyProtection="1">
      <alignment horizontal="left" vertical="center"/>
    </xf>
    <xf numFmtId="0" fontId="10" fillId="2" borderId="28" xfId="3" applyFont="1" applyFill="1" applyBorder="1"/>
    <xf numFmtId="168" fontId="10" fillId="2" borderId="29" xfId="0" applyNumberFormat="1" applyFont="1" applyFill="1" applyBorder="1" applyAlignment="1" applyProtection="1">
      <protection locked="0"/>
    </xf>
    <xf numFmtId="168" fontId="10" fillId="2" borderId="0" xfId="0" applyNumberFormat="1" applyFont="1" applyFill="1" applyBorder="1" applyAlignment="1" applyProtection="1">
      <protection locked="0"/>
    </xf>
    <xf numFmtId="168" fontId="10" fillId="2" borderId="23" xfId="0" applyNumberFormat="1" applyFont="1" applyFill="1" applyBorder="1" applyAlignment="1" applyProtection="1">
      <protection locked="0"/>
    </xf>
    <xf numFmtId="167" fontId="7" fillId="6" borderId="17" xfId="1" applyNumberFormat="1" applyFont="1" applyFill="1" applyBorder="1" applyAlignment="1" applyProtection="1">
      <alignment horizontal="right" vertical="center"/>
    </xf>
    <xf numFmtId="167" fontId="7" fillId="8" borderId="17" xfId="1" applyNumberFormat="1" applyFont="1" applyFill="1" applyBorder="1" applyAlignment="1" applyProtection="1">
      <alignment horizontal="right" vertical="center"/>
    </xf>
    <xf numFmtId="167" fontId="0" fillId="11" borderId="18" xfId="0" applyNumberFormat="1" applyFill="1" applyBorder="1"/>
    <xf numFmtId="0" fontId="12" fillId="5" borderId="16" xfId="3" applyFont="1" applyFill="1" applyBorder="1" applyAlignment="1">
      <alignment horizontal="center" vertical="center"/>
    </xf>
    <xf numFmtId="167" fontId="13" fillId="12" borderId="18" xfId="0" applyNumberFormat="1" applyFont="1" applyFill="1" applyBorder="1" applyAlignment="1" applyProtection="1">
      <alignment horizontal="center" vertical="center"/>
    </xf>
    <xf numFmtId="168" fontId="10" fillId="2" borderId="30" xfId="0" applyNumberFormat="1" applyFont="1" applyFill="1" applyBorder="1" applyAlignment="1" applyProtection="1">
      <protection locked="0"/>
    </xf>
    <xf numFmtId="168" fontId="10" fillId="2" borderId="31" xfId="0" applyNumberFormat="1" applyFont="1" applyFill="1" applyBorder="1" applyAlignment="1" applyProtection="1">
      <protection locked="0"/>
    </xf>
    <xf numFmtId="168" fontId="10" fillId="2" borderId="32" xfId="0" applyNumberFormat="1" applyFont="1" applyFill="1" applyBorder="1" applyAlignment="1" applyProtection="1">
      <protection locked="0"/>
    </xf>
    <xf numFmtId="0" fontId="12" fillId="5" borderId="19" xfId="3" applyFont="1" applyFill="1" applyBorder="1" applyAlignment="1">
      <alignment horizontal="center" vertical="center"/>
    </xf>
    <xf numFmtId="167" fontId="13" fillId="12" borderId="33" xfId="0" applyNumberFormat="1" applyFont="1" applyFill="1" applyBorder="1" applyAlignment="1" applyProtection="1">
      <alignment horizontal="center" vertical="center"/>
    </xf>
    <xf numFmtId="168" fontId="10" fillId="2" borderId="25" xfId="3" applyNumberFormat="1" applyFont="1" applyFill="1" applyBorder="1" applyProtection="1">
      <protection locked="0"/>
    </xf>
    <xf numFmtId="168" fontId="10" fillId="2" borderId="26" xfId="3" applyNumberFormat="1" applyFont="1" applyFill="1" applyBorder="1" applyProtection="1">
      <protection locked="0"/>
    </xf>
    <xf numFmtId="168" fontId="10" fillId="2" borderId="27" xfId="3" applyNumberFormat="1" applyFont="1" applyFill="1" applyBorder="1" applyProtection="1">
      <protection locked="0"/>
    </xf>
    <xf numFmtId="0" fontId="12" fillId="0" borderId="0" xfId="3" applyFont="1" applyBorder="1" applyAlignment="1">
      <alignment horizontal="center" vertical="center"/>
    </xf>
    <xf numFmtId="167" fontId="13" fillId="0" borderId="0" xfId="0" applyNumberFormat="1" applyFont="1" applyBorder="1" applyAlignment="1" applyProtection="1">
      <alignment horizontal="center" vertical="center"/>
    </xf>
    <xf numFmtId="168" fontId="10" fillId="2" borderId="29" xfId="3" applyNumberFormat="1" applyFont="1" applyFill="1" applyBorder="1" applyProtection="1">
      <protection locked="0"/>
    </xf>
    <xf numFmtId="168" fontId="10" fillId="2" borderId="0" xfId="3" applyNumberFormat="1" applyFont="1" applyFill="1" applyBorder="1" applyProtection="1">
      <protection locked="0"/>
    </xf>
    <xf numFmtId="168" fontId="10" fillId="2" borderId="23" xfId="3" applyNumberFormat="1" applyFont="1" applyFill="1" applyBorder="1" applyProtection="1">
      <protection locked="0"/>
    </xf>
    <xf numFmtId="168" fontId="10" fillId="2" borderId="30" xfId="3" applyNumberFormat="1" applyFont="1" applyFill="1" applyBorder="1" applyProtection="1">
      <protection locked="0"/>
    </xf>
    <xf numFmtId="168" fontId="10" fillId="2" borderId="31" xfId="3" applyNumberFormat="1" applyFont="1" applyFill="1" applyBorder="1" applyProtection="1">
      <protection locked="0"/>
    </xf>
    <xf numFmtId="168" fontId="10" fillId="2" borderId="32" xfId="3" applyNumberFormat="1" applyFont="1" applyFill="1" applyBorder="1" applyProtection="1">
      <protection locked="0"/>
    </xf>
    <xf numFmtId="0" fontId="5" fillId="5" borderId="19" xfId="0" applyFont="1" applyFill="1" applyBorder="1" applyAlignment="1">
      <alignment vertical="center"/>
    </xf>
    <xf numFmtId="167" fontId="7" fillId="6" borderId="20" xfId="1" applyNumberFormat="1" applyFont="1" applyFill="1" applyBorder="1" applyAlignment="1" applyProtection="1">
      <alignment horizontal="right" vertical="center"/>
    </xf>
    <xf numFmtId="167" fontId="7" fillId="8" borderId="20" xfId="1" applyNumberFormat="1" applyFont="1" applyFill="1" applyBorder="1" applyAlignment="1" applyProtection="1">
      <alignment horizontal="right" vertical="center"/>
    </xf>
    <xf numFmtId="167" fontId="0" fillId="11" borderId="21" xfId="0" applyNumberFormat="1" applyFill="1" applyBorder="1"/>
    <xf numFmtId="0" fontId="10" fillId="2" borderId="14" xfId="3" applyFont="1" applyFill="1" applyBorder="1"/>
    <xf numFmtId="0" fontId="12" fillId="5" borderId="34" xfId="3" applyFont="1" applyFill="1" applyBorder="1" applyAlignment="1">
      <alignment horizontal="center" vertical="center"/>
    </xf>
    <xf numFmtId="167" fontId="13" fillId="12" borderId="21" xfId="0" applyNumberFormat="1" applyFont="1" applyFill="1" applyBorder="1" applyAlignment="1" applyProtection="1">
      <alignment horizontal="center" vertical="center"/>
    </xf>
    <xf numFmtId="0" fontId="12" fillId="9" borderId="10" xfId="3" applyFont="1" applyFill="1" applyBorder="1" applyAlignment="1">
      <alignment horizontal="center" vertical="center"/>
    </xf>
    <xf numFmtId="167" fontId="12" fillId="10" borderId="12" xfId="0" applyNumberFormat="1" applyFont="1" applyFill="1" applyBorder="1" applyAlignment="1" applyProtection="1">
      <alignment horizontal="center" vertical="center"/>
    </xf>
    <xf numFmtId="167" fontId="12" fillId="13" borderId="18" xfId="0" applyNumberFormat="1" applyFont="1" applyFill="1" applyBorder="1" applyAlignment="1" applyProtection="1">
      <alignment horizontal="center" vertical="center"/>
    </xf>
    <xf numFmtId="167" fontId="4" fillId="13" borderId="18" xfId="1" applyNumberFormat="1" applyFont="1" applyFill="1" applyBorder="1" applyAlignment="1" applyProtection="1"/>
    <xf numFmtId="167" fontId="4" fillId="13" borderId="21" xfId="1" applyNumberFormat="1" applyFont="1" applyFill="1" applyBorder="1" applyAlignment="1" applyProtection="1"/>
    <xf numFmtId="0" fontId="15" fillId="0" borderId="0" xfId="0" applyFont="1" applyAlignment="1">
      <alignment horizontal="center"/>
    </xf>
    <xf numFmtId="3" fontId="15" fillId="0" borderId="0" xfId="0" applyNumberFormat="1" applyFont="1"/>
    <xf numFmtId="1" fontId="0" fillId="0" borderId="0" xfId="0" applyNumberFormat="1"/>
    <xf numFmtId="0" fontId="21" fillId="14" borderId="0" xfId="4" applyFont="1" applyFill="1" applyAlignment="1">
      <alignment horizontal="left"/>
    </xf>
    <xf numFmtId="0" fontId="22" fillId="14" borderId="0" xfId="4" applyFont="1" applyFill="1" applyAlignment="1">
      <alignment horizontal="center"/>
    </xf>
    <xf numFmtId="0" fontId="24" fillId="14" borderId="0" xfId="5" applyFont="1" applyFill="1" applyAlignment="1">
      <alignment horizontal="right"/>
    </xf>
    <xf numFmtId="0" fontId="25" fillId="14" borderId="0" xfId="4" applyFont="1" applyFill="1" applyAlignment="1">
      <alignment horizontal="left"/>
    </xf>
    <xf numFmtId="0" fontId="26" fillId="14" borderId="0" xfId="4" applyFont="1" applyFill="1" applyAlignment="1">
      <alignment horizontal="left"/>
    </xf>
    <xf numFmtId="0" fontId="27" fillId="14" borderId="0" xfId="4" applyFont="1" applyFill="1" applyAlignment="1">
      <alignment horizontal="right"/>
    </xf>
    <xf numFmtId="0" fontId="28" fillId="14" borderId="0" xfId="4" applyFont="1" applyFill="1" applyAlignment="1">
      <alignment horizontal="left"/>
    </xf>
    <xf numFmtId="0" fontId="29" fillId="15" borderId="35" xfId="4" applyFont="1" applyFill="1" applyBorder="1" applyAlignment="1">
      <alignment horizontal="center" vertical="center" wrapText="1"/>
    </xf>
    <xf numFmtId="0" fontId="29" fillId="15" borderId="1" xfId="4" applyFont="1" applyFill="1" applyBorder="1" applyAlignment="1">
      <alignment horizontal="center" vertical="center" wrapText="1"/>
    </xf>
    <xf numFmtId="0" fontId="29" fillId="15" borderId="36" xfId="4" applyFont="1" applyFill="1" applyBorder="1" applyAlignment="1">
      <alignment horizontal="center" vertical="center" wrapText="1"/>
    </xf>
    <xf numFmtId="0" fontId="29" fillId="16" borderId="0" xfId="4" applyFont="1" applyFill="1" applyBorder="1" applyAlignment="1">
      <alignment horizontal="center" vertical="center" wrapText="1"/>
    </xf>
    <xf numFmtId="164" fontId="30" fillId="14" borderId="0" xfId="4" applyNumberFormat="1" applyFont="1" applyFill="1" applyAlignment="1">
      <alignment horizontal="left" vertical="top" wrapText="1"/>
    </xf>
    <xf numFmtId="165" fontId="30" fillId="14" borderId="0" xfId="4" applyNumberFormat="1" applyFont="1" applyFill="1" applyAlignment="1">
      <alignment horizontal="right" vertical="top" wrapText="1"/>
    </xf>
    <xf numFmtId="164" fontId="31" fillId="14" borderId="0" xfId="4" applyNumberFormat="1" applyFont="1" applyFill="1" applyAlignment="1">
      <alignment horizontal="left" vertical="top" wrapText="1"/>
    </xf>
    <xf numFmtId="165" fontId="31" fillId="14" borderId="0" xfId="4" applyNumberFormat="1" applyFont="1" applyFill="1" applyAlignment="1">
      <alignment horizontal="right" vertical="top" wrapText="1"/>
    </xf>
    <xf numFmtId="164" fontId="31" fillId="14" borderId="0" xfId="4" applyNumberFormat="1" applyFont="1" applyFill="1" applyAlignment="1">
      <alignment horizontal="right" vertical="top" wrapText="1"/>
    </xf>
    <xf numFmtId="164" fontId="30" fillId="17" borderId="0" xfId="4" applyNumberFormat="1" applyFont="1" applyFill="1" applyAlignment="1">
      <alignment horizontal="left" vertical="top" wrapText="1"/>
    </xf>
    <xf numFmtId="165" fontId="30" fillId="17" borderId="0" xfId="4" applyNumberFormat="1" applyFont="1" applyFill="1" applyAlignment="1">
      <alignment horizontal="right" vertical="top" wrapText="1"/>
    </xf>
    <xf numFmtId="164" fontId="31" fillId="17" borderId="0" xfId="4" applyNumberFormat="1" applyFont="1" applyFill="1" applyAlignment="1">
      <alignment horizontal="left" vertical="top" wrapText="1"/>
    </xf>
    <xf numFmtId="165" fontId="31" fillId="17" borderId="0" xfId="4" applyNumberFormat="1" applyFont="1" applyFill="1" applyAlignment="1">
      <alignment horizontal="right" vertical="top" wrapText="1"/>
    </xf>
    <xf numFmtId="164" fontId="31" fillId="17" borderId="0" xfId="4" applyNumberFormat="1" applyFont="1" applyFill="1" applyAlignment="1">
      <alignment horizontal="right" vertical="top" wrapText="1"/>
    </xf>
    <xf numFmtId="164" fontId="31" fillId="17" borderId="37" xfId="4" applyNumberFormat="1" applyFont="1" applyFill="1" applyBorder="1" applyAlignment="1">
      <alignment horizontal="left" vertical="top" wrapText="1"/>
    </xf>
    <xf numFmtId="164" fontId="31" fillId="17" borderId="37" xfId="4" applyNumberFormat="1" applyFont="1" applyFill="1" applyBorder="1" applyAlignment="1">
      <alignment horizontal="right" vertical="top" wrapText="1"/>
    </xf>
    <xf numFmtId="0" fontId="27" fillId="14" borderId="0" xfId="4" applyFont="1" applyFill="1" applyAlignment="1">
      <alignment horizontal="left"/>
    </xf>
    <xf numFmtId="0" fontId="0" fillId="18" borderId="45" xfId="0" applyFill="1" applyBorder="1" applyAlignment="1">
      <alignment vertical="center" wrapText="1"/>
    </xf>
    <xf numFmtId="0" fontId="0" fillId="18" borderId="46" xfId="0" applyFill="1" applyBorder="1"/>
    <xf numFmtId="0" fontId="0" fillId="18" borderId="47" xfId="0" applyFill="1" applyBorder="1"/>
    <xf numFmtId="0" fontId="0" fillId="0" borderId="0" xfId="0" applyFill="1" applyBorder="1"/>
    <xf numFmtId="0" fontId="20" fillId="0" borderId="0" xfId="0" applyFont="1" applyFill="1" applyBorder="1" applyAlignment="1">
      <alignment horizontal="center" vertical="center"/>
    </xf>
    <xf numFmtId="170" fontId="0" fillId="0" borderId="0" xfId="0" applyNumberFormat="1" applyFill="1" applyBorder="1"/>
    <xf numFmtId="170" fontId="0" fillId="19" borderId="50" xfId="0" applyNumberFormat="1" applyFill="1" applyBorder="1"/>
    <xf numFmtId="170" fontId="0" fillId="19" borderId="51" xfId="0" applyNumberFormat="1" applyFill="1" applyBorder="1"/>
    <xf numFmtId="170" fontId="0" fillId="19" borderId="45" xfId="0" applyNumberFormat="1" applyFill="1" applyBorder="1"/>
    <xf numFmtId="171" fontId="0" fillId="0" borderId="0" xfId="0" applyNumberFormat="1"/>
    <xf numFmtId="3" fontId="0" fillId="0" borderId="0" xfId="0" applyNumberFormat="1"/>
    <xf numFmtId="171" fontId="18" fillId="0" borderId="52" xfId="0" applyNumberFormat="1" applyFont="1" applyBorder="1"/>
    <xf numFmtId="171" fontId="34" fillId="20" borderId="13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3" fontId="34" fillId="20" borderId="14" xfId="0" applyNumberFormat="1" applyFont="1" applyFill="1" applyBorder="1" applyAlignment="1">
      <alignment horizontal="center" vertical="center"/>
    </xf>
    <xf numFmtId="171" fontId="34" fillId="20" borderId="14" xfId="1" applyNumberFormat="1" applyFont="1" applyFill="1" applyBorder="1" applyAlignment="1" applyProtection="1">
      <alignment horizontal="center" vertical="center"/>
    </xf>
    <xf numFmtId="171" fontId="34" fillId="20" borderId="15" xfId="0" applyNumberFormat="1" applyFont="1" applyFill="1" applyBorder="1" applyAlignment="1">
      <alignment horizontal="center" vertical="center"/>
    </xf>
    <xf numFmtId="171" fontId="34" fillId="20" borderId="16" xfId="0" applyNumberFormat="1" applyFont="1" applyFill="1" applyBorder="1" applyAlignment="1">
      <alignment horizontal="center" vertical="center"/>
    </xf>
    <xf numFmtId="171" fontId="34" fillId="20" borderId="17" xfId="0" applyNumberFormat="1" applyFont="1" applyFill="1" applyBorder="1" applyAlignment="1">
      <alignment horizontal="center" vertical="center"/>
    </xf>
    <xf numFmtId="3" fontId="34" fillId="20" borderId="17" xfId="0" applyNumberFormat="1" applyFont="1" applyFill="1" applyBorder="1" applyAlignment="1">
      <alignment horizontal="center" vertical="center"/>
    </xf>
    <xf numFmtId="171" fontId="34" fillId="20" borderId="17" xfId="1" applyNumberFormat="1" applyFont="1" applyFill="1" applyBorder="1" applyAlignment="1" applyProtection="1">
      <alignment horizontal="center" vertical="center"/>
    </xf>
    <xf numFmtId="171" fontId="34" fillId="20" borderId="18" xfId="0" applyNumberFormat="1" applyFont="1" applyFill="1" applyBorder="1" applyAlignment="1">
      <alignment horizontal="center" vertical="center"/>
    </xf>
    <xf numFmtId="171" fontId="34" fillId="20" borderId="19" xfId="0" applyNumberFormat="1" applyFont="1" applyFill="1" applyBorder="1" applyAlignment="1">
      <alignment horizontal="center" vertical="center"/>
    </xf>
    <xf numFmtId="171" fontId="34" fillId="20" borderId="20" xfId="0" applyNumberFormat="1" applyFont="1" applyFill="1" applyBorder="1" applyAlignment="1">
      <alignment horizontal="center" vertical="center"/>
    </xf>
    <xf numFmtId="3" fontId="34" fillId="20" borderId="20" xfId="0" applyNumberFormat="1" applyFont="1" applyFill="1" applyBorder="1" applyAlignment="1">
      <alignment horizontal="center" vertical="center"/>
    </xf>
    <xf numFmtId="171" fontId="34" fillId="20" borderId="20" xfId="1" applyNumberFormat="1" applyFont="1" applyFill="1" applyBorder="1" applyAlignment="1" applyProtection="1">
      <alignment horizontal="center" vertical="center"/>
    </xf>
    <xf numFmtId="171" fontId="34" fillId="20" borderId="21" xfId="0" applyNumberFormat="1" applyFont="1" applyFill="1" applyBorder="1" applyAlignment="1">
      <alignment horizontal="center" vertical="center"/>
    </xf>
    <xf numFmtId="0" fontId="4" fillId="22" borderId="7" xfId="0" applyFont="1" applyFill="1" applyBorder="1" applyAlignment="1">
      <alignment horizontal="center"/>
    </xf>
    <xf numFmtId="0" fontId="4" fillId="22" borderId="8" xfId="0" applyFont="1" applyFill="1" applyBorder="1" applyAlignment="1">
      <alignment horizontal="center"/>
    </xf>
    <xf numFmtId="0" fontId="16" fillId="22" borderId="8" xfId="0" applyFont="1" applyFill="1" applyBorder="1" applyAlignment="1">
      <alignment horizontal="center"/>
    </xf>
    <xf numFmtId="0" fontId="4" fillId="22" borderId="9" xfId="0" applyFont="1" applyFill="1" applyBorder="1" applyAlignment="1">
      <alignment horizontal="center"/>
    </xf>
    <xf numFmtId="3" fontId="34" fillId="23" borderId="55" xfId="0" applyNumberFormat="1" applyFont="1" applyFill="1" applyBorder="1" applyAlignment="1">
      <alignment horizontal="center" vertical="center"/>
    </xf>
    <xf numFmtId="3" fontId="34" fillId="23" borderId="53" xfId="0" applyNumberFormat="1" applyFont="1" applyFill="1" applyBorder="1" applyAlignment="1">
      <alignment horizontal="center" vertical="center"/>
    </xf>
    <xf numFmtId="171" fontId="0" fillId="23" borderId="54" xfId="0" applyNumberFormat="1" applyFill="1" applyBorder="1"/>
    <xf numFmtId="171" fontId="18" fillId="0" borderId="14" xfId="0" applyNumberFormat="1" applyFont="1" applyBorder="1"/>
    <xf numFmtId="3" fontId="34" fillId="23" borderId="55" xfId="1" applyNumberFormat="1" applyFont="1" applyFill="1" applyBorder="1" applyAlignment="1" applyProtection="1">
      <alignment horizontal="center" vertical="center"/>
    </xf>
    <xf numFmtId="3" fontId="34" fillId="23" borderId="53" xfId="1" applyNumberFormat="1" applyFont="1" applyFill="1" applyBorder="1" applyAlignment="1" applyProtection="1">
      <alignment horizontal="center" vertical="center"/>
    </xf>
    <xf numFmtId="3" fontId="34" fillId="23" borderId="54" xfId="0" applyNumberFormat="1" applyFont="1" applyFill="1" applyBorder="1" applyAlignment="1">
      <alignment horizontal="center" vertical="center"/>
    </xf>
    <xf numFmtId="171" fontId="34" fillId="24" borderId="10" xfId="0" applyNumberFormat="1" applyFont="1" applyFill="1" applyBorder="1" applyAlignment="1">
      <alignment horizontal="center" vertical="center"/>
    </xf>
    <xf numFmtId="171" fontId="34" fillId="24" borderId="11" xfId="0" applyNumberFormat="1" applyFont="1" applyFill="1" applyBorder="1" applyAlignment="1">
      <alignment horizontal="center" vertical="center"/>
    </xf>
    <xf numFmtId="3" fontId="34" fillId="24" borderId="11" xfId="0" applyNumberFormat="1" applyFont="1" applyFill="1" applyBorder="1" applyAlignment="1">
      <alignment horizontal="center" vertical="center"/>
    </xf>
    <xf numFmtId="171" fontId="34" fillId="24" borderId="11" xfId="1" applyNumberFormat="1" applyFont="1" applyFill="1" applyBorder="1" applyAlignment="1" applyProtection="1">
      <alignment horizontal="center" vertical="center"/>
    </xf>
    <xf numFmtId="171" fontId="34" fillId="24" borderId="12" xfId="0" applyNumberFormat="1" applyFont="1" applyFill="1" applyBorder="1" applyAlignment="1">
      <alignment horizontal="center" vertical="center"/>
    </xf>
    <xf numFmtId="171" fontId="34" fillId="24" borderId="16" xfId="0" applyNumberFormat="1" applyFont="1" applyFill="1" applyBorder="1" applyAlignment="1">
      <alignment horizontal="center" vertical="center"/>
    </xf>
    <xf numFmtId="171" fontId="34" fillId="24" borderId="17" xfId="0" applyNumberFormat="1" applyFont="1" applyFill="1" applyBorder="1" applyAlignment="1">
      <alignment horizontal="center" vertical="center"/>
    </xf>
    <xf numFmtId="3" fontId="34" fillId="24" borderId="17" xfId="0" applyNumberFormat="1" applyFont="1" applyFill="1" applyBorder="1" applyAlignment="1">
      <alignment horizontal="center" vertical="center"/>
    </xf>
    <xf numFmtId="171" fontId="34" fillId="24" borderId="17" xfId="1" applyNumberFormat="1" applyFont="1" applyFill="1" applyBorder="1" applyAlignment="1" applyProtection="1">
      <alignment horizontal="center" vertical="center"/>
    </xf>
    <xf numFmtId="171" fontId="34" fillId="24" borderId="18" xfId="0" applyNumberFormat="1" applyFont="1" applyFill="1" applyBorder="1" applyAlignment="1">
      <alignment horizontal="center" vertical="center"/>
    </xf>
    <xf numFmtId="171" fontId="34" fillId="24" borderId="19" xfId="0" applyNumberFormat="1" applyFont="1" applyFill="1" applyBorder="1" applyAlignment="1">
      <alignment horizontal="center" vertical="center"/>
    </xf>
    <xf numFmtId="171" fontId="34" fillId="24" borderId="20" xfId="0" applyNumberFormat="1" applyFont="1" applyFill="1" applyBorder="1" applyAlignment="1">
      <alignment horizontal="center" vertical="center"/>
    </xf>
    <xf numFmtId="3" fontId="34" fillId="24" borderId="20" xfId="0" applyNumberFormat="1" applyFont="1" applyFill="1" applyBorder="1" applyAlignment="1">
      <alignment horizontal="center" vertical="center"/>
    </xf>
    <xf numFmtId="171" fontId="34" fillId="24" borderId="20" xfId="1" applyNumberFormat="1" applyFont="1" applyFill="1" applyBorder="1" applyAlignment="1" applyProtection="1">
      <alignment horizontal="center" vertical="center"/>
    </xf>
    <xf numFmtId="171" fontId="34" fillId="24" borderId="21" xfId="0" applyNumberFormat="1" applyFont="1" applyFill="1" applyBorder="1" applyAlignment="1">
      <alignment horizontal="center" vertical="center"/>
    </xf>
    <xf numFmtId="171" fontId="4" fillId="22" borderId="7" xfId="0" applyNumberFormat="1" applyFont="1" applyFill="1" applyBorder="1" applyAlignment="1">
      <alignment horizontal="center"/>
    </xf>
    <xf numFmtId="171" fontId="4" fillId="22" borderId="8" xfId="0" applyNumberFormat="1" applyFont="1" applyFill="1" applyBorder="1" applyAlignment="1">
      <alignment horizontal="center"/>
    </xf>
    <xf numFmtId="171" fontId="16" fillId="22" borderId="8" xfId="0" applyNumberFormat="1" applyFont="1" applyFill="1" applyBorder="1" applyAlignment="1">
      <alignment horizontal="center"/>
    </xf>
    <xf numFmtId="171" fontId="4" fillId="22" borderId="9" xfId="0" applyNumberFormat="1" applyFont="1" applyFill="1" applyBorder="1" applyAlignment="1">
      <alignment horizontal="center"/>
    </xf>
    <xf numFmtId="167" fontId="34" fillId="29" borderId="17" xfId="1" applyNumberFormat="1" applyFont="1" applyFill="1" applyBorder="1" applyAlignment="1" applyProtection="1">
      <alignment horizontal="right" vertical="center"/>
    </xf>
    <xf numFmtId="167" fontId="35" fillId="29" borderId="17" xfId="1" applyNumberFormat="1" applyFont="1" applyFill="1" applyBorder="1" applyAlignment="1" applyProtection="1">
      <alignment horizontal="right" vertical="center"/>
    </xf>
    <xf numFmtId="1" fontId="35" fillId="29" borderId="17" xfId="0" applyNumberFormat="1" applyFont="1" applyFill="1" applyBorder="1" applyAlignment="1">
      <alignment horizontal="right" vertical="center"/>
    </xf>
    <xf numFmtId="167" fontId="34" fillId="30" borderId="17" xfId="1" applyNumberFormat="1" applyFont="1" applyFill="1" applyBorder="1" applyAlignment="1" applyProtection="1">
      <alignment horizontal="right" vertical="center"/>
    </xf>
    <xf numFmtId="167" fontId="35" fillId="30" borderId="17" xfId="1" applyNumberFormat="1" applyFont="1" applyFill="1" applyBorder="1" applyAlignment="1" applyProtection="1">
      <alignment horizontal="right" vertical="center"/>
    </xf>
    <xf numFmtId="1" fontId="34" fillId="30" borderId="17" xfId="0" applyNumberFormat="1" applyFont="1" applyFill="1" applyBorder="1" applyAlignment="1">
      <alignment horizontal="right" vertical="center"/>
    </xf>
    <xf numFmtId="168" fontId="34" fillId="31" borderId="18" xfId="0" applyNumberFormat="1" applyFont="1" applyFill="1" applyBorder="1" applyAlignment="1">
      <alignment horizontal="right" vertical="center"/>
    </xf>
    <xf numFmtId="169" fontId="34" fillId="31" borderId="18" xfId="0" applyNumberFormat="1" applyFont="1" applyFill="1" applyBorder="1" applyAlignment="1">
      <alignment horizontal="right" vertical="center"/>
    </xf>
    <xf numFmtId="167" fontId="35" fillId="30" borderId="20" xfId="1" applyNumberFormat="1" applyFont="1" applyFill="1" applyBorder="1" applyAlignment="1" applyProtection="1">
      <alignment horizontal="right" vertical="center"/>
    </xf>
    <xf numFmtId="167" fontId="34" fillId="29" borderId="20" xfId="1" applyNumberFormat="1" applyFont="1" applyFill="1" applyBorder="1" applyAlignment="1" applyProtection="1">
      <alignment horizontal="right" vertical="center"/>
    </xf>
    <xf numFmtId="167" fontId="34" fillId="30" borderId="20" xfId="1" applyNumberFormat="1" applyFont="1" applyFill="1" applyBorder="1" applyAlignment="1" applyProtection="1">
      <alignment horizontal="right" vertical="center"/>
    </xf>
    <xf numFmtId="0" fontId="34" fillId="31" borderId="21" xfId="0" applyFont="1" applyFill="1" applyBorder="1" applyAlignment="1">
      <alignment horizontal="right" vertical="center"/>
    </xf>
    <xf numFmtId="0" fontId="36" fillId="26" borderId="7" xfId="0" applyFont="1" applyFill="1" applyBorder="1" applyAlignment="1">
      <alignment horizontal="center" wrapText="1"/>
    </xf>
    <xf numFmtId="0" fontId="9" fillId="26" borderId="9" xfId="0" applyFont="1" applyFill="1" applyBorder="1" applyAlignment="1">
      <alignment wrapText="1"/>
    </xf>
    <xf numFmtId="167" fontId="34" fillId="29" borderId="14" xfId="1" applyNumberFormat="1" applyFont="1" applyFill="1" applyBorder="1" applyAlignment="1" applyProtection="1">
      <alignment horizontal="right" vertical="center"/>
    </xf>
    <xf numFmtId="167" fontId="34" fillId="30" borderId="14" xfId="1" applyNumberFormat="1" applyFont="1" applyFill="1" applyBorder="1" applyAlignment="1" applyProtection="1">
      <alignment horizontal="right" vertical="center"/>
    </xf>
    <xf numFmtId="167" fontId="35" fillId="29" borderId="14" xfId="1" applyNumberFormat="1" applyFont="1" applyFill="1" applyBorder="1" applyAlignment="1" applyProtection="1">
      <alignment horizontal="right" vertical="center"/>
    </xf>
    <xf numFmtId="168" fontId="34" fillId="31" borderId="15" xfId="0" applyNumberFormat="1" applyFont="1" applyFill="1" applyBorder="1" applyAlignment="1">
      <alignment horizontal="right" vertical="center"/>
    </xf>
    <xf numFmtId="0" fontId="36" fillId="28" borderId="8" xfId="0" applyFont="1" applyFill="1" applyBorder="1" applyAlignment="1">
      <alignment horizontal="center" wrapText="1"/>
    </xf>
    <xf numFmtId="0" fontId="36" fillId="27" borderId="8" xfId="0" applyFont="1" applyFill="1" applyBorder="1" applyAlignment="1">
      <alignment horizontal="center" wrapText="1"/>
    </xf>
    <xf numFmtId="0" fontId="36" fillId="26" borderId="9" xfId="0" applyFont="1" applyFill="1" applyBorder="1" applyAlignment="1">
      <alignment horizontal="center" wrapText="1"/>
    </xf>
    <xf numFmtId="0" fontId="36" fillId="28" borderId="56" xfId="0" applyFont="1" applyFill="1" applyBorder="1" applyAlignment="1">
      <alignment horizontal="center" wrapText="1"/>
    </xf>
    <xf numFmtId="167" fontId="34" fillId="29" borderId="32" xfId="1" applyNumberFormat="1" applyFont="1" applyFill="1" applyBorder="1" applyAlignment="1" applyProtection="1">
      <alignment horizontal="right" vertical="center"/>
    </xf>
    <xf numFmtId="167" fontId="34" fillId="29" borderId="48" xfId="1" applyNumberFormat="1" applyFont="1" applyFill="1" applyBorder="1" applyAlignment="1" applyProtection="1">
      <alignment horizontal="right" vertical="center"/>
    </xf>
    <xf numFmtId="167" fontId="35" fillId="29" borderId="48" xfId="1" applyNumberFormat="1" applyFont="1" applyFill="1" applyBorder="1" applyAlignment="1" applyProtection="1">
      <alignment horizontal="right" vertical="center"/>
    </xf>
    <xf numFmtId="167" fontId="35" fillId="29" borderId="49" xfId="1" applyNumberFormat="1" applyFont="1" applyFill="1" applyBorder="1" applyAlignment="1" applyProtection="1">
      <alignment horizontal="right" vertical="center"/>
    </xf>
    <xf numFmtId="0" fontId="36" fillId="26" borderId="2" xfId="0" applyFont="1" applyFill="1" applyBorder="1" applyAlignment="1">
      <alignment horizontal="center" wrapText="1"/>
    </xf>
    <xf numFmtId="0" fontId="34" fillId="23" borderId="50" xfId="0" applyFont="1" applyFill="1" applyBorder="1" applyAlignment="1">
      <alignment horizontal="center"/>
    </xf>
    <xf numFmtId="0" fontId="34" fillId="23" borderId="46" xfId="0" applyFont="1" applyFill="1" applyBorder="1" applyAlignment="1">
      <alignment horizontal="center"/>
    </xf>
    <xf numFmtId="0" fontId="34" fillId="23" borderId="47" xfId="0" applyFont="1" applyFill="1" applyBorder="1" applyAlignment="1">
      <alignment horizontal="center"/>
    </xf>
    <xf numFmtId="167" fontId="32" fillId="0" borderId="0" xfId="0" applyNumberFormat="1" applyFont="1" applyBorder="1" applyAlignment="1" applyProtection="1">
      <alignment vertical="center" wrapText="1"/>
    </xf>
    <xf numFmtId="167" fontId="33" fillId="0" borderId="0" xfId="0" applyNumberFormat="1" applyFont="1" applyBorder="1" applyAlignment="1" applyProtection="1">
      <alignment vertical="center" wrapText="1"/>
    </xf>
    <xf numFmtId="0" fontId="0" fillId="0" borderId="0" xfId="0" applyFill="1" applyBorder="1" applyAlignment="1">
      <alignment vertical="center" wrapText="1"/>
    </xf>
    <xf numFmtId="0" fontId="37" fillId="0" borderId="0" xfId="0" applyFont="1"/>
    <xf numFmtId="0" fontId="38" fillId="0" borderId="0" xfId="0" applyFont="1" applyAlignment="1">
      <alignment horizontal="center"/>
    </xf>
    <xf numFmtId="3" fontId="38" fillId="0" borderId="0" xfId="0" applyNumberFormat="1" applyFont="1"/>
    <xf numFmtId="3" fontId="37" fillId="0" borderId="0" xfId="0" applyNumberFormat="1" applyFont="1"/>
    <xf numFmtId="1" fontId="37" fillId="0" borderId="0" xfId="0" applyNumberFormat="1" applyFont="1"/>
    <xf numFmtId="167" fontId="37" fillId="0" borderId="0" xfId="0" applyNumberFormat="1" applyFont="1" applyBorder="1" applyAlignment="1" applyProtection="1">
      <alignment horizontal="left" vertical="center"/>
    </xf>
    <xf numFmtId="167" fontId="37" fillId="0" borderId="0" xfId="0" applyNumberFormat="1" applyFont="1"/>
    <xf numFmtId="0" fontId="4" fillId="4" borderId="57" xfId="0" applyFont="1" applyFill="1" applyBorder="1" applyAlignment="1">
      <alignment horizontal="center" vertical="center"/>
    </xf>
    <xf numFmtId="0" fontId="12" fillId="9" borderId="4" xfId="3" applyFont="1" applyFill="1" applyBorder="1" applyAlignment="1">
      <alignment horizontal="center" vertical="center"/>
    </xf>
    <xf numFmtId="167" fontId="12" fillId="10" borderId="6" xfId="0" applyNumberFormat="1" applyFont="1" applyFill="1" applyBorder="1" applyAlignment="1" applyProtection="1">
      <alignment horizontal="center" vertical="center"/>
    </xf>
    <xf numFmtId="167" fontId="37" fillId="0" borderId="0" xfId="0" applyNumberFormat="1" applyFont="1" applyAlignment="1">
      <alignment horizontal="center"/>
    </xf>
    <xf numFmtId="0" fontId="12" fillId="5" borderId="10" xfId="3" applyFont="1" applyFill="1" applyBorder="1" applyAlignment="1">
      <alignment horizontal="center" vertical="center"/>
    </xf>
    <xf numFmtId="167" fontId="13" fillId="12" borderId="12" xfId="0" applyNumberFormat="1" applyFont="1" applyFill="1" applyBorder="1" applyAlignment="1" applyProtection="1">
      <alignment horizontal="center" vertical="center"/>
    </xf>
    <xf numFmtId="167" fontId="37" fillId="0" borderId="0" xfId="0" applyNumberFormat="1" applyFont="1" applyBorder="1" applyAlignment="1" applyProtection="1">
      <alignment vertical="center" wrapText="1"/>
    </xf>
    <xf numFmtId="167" fontId="37" fillId="0" borderId="0" xfId="0" applyNumberFormat="1" applyFont="1" applyFill="1" applyBorder="1"/>
    <xf numFmtId="167" fontId="1" fillId="0" borderId="0" xfId="0" applyNumberFormat="1" applyFont="1" applyFill="1" applyBorder="1" applyAlignment="1">
      <alignment horizontal="center" vertical="center"/>
    </xf>
    <xf numFmtId="1" fontId="0" fillId="0" borderId="17" xfId="0" applyNumberFormat="1" applyBorder="1"/>
    <xf numFmtId="1" fontId="0" fillId="0" borderId="20" xfId="0" applyNumberFormat="1" applyBorder="1"/>
    <xf numFmtId="1" fontId="0" fillId="0" borderId="18" xfId="0" applyNumberFormat="1" applyBorder="1"/>
    <xf numFmtId="0" fontId="0" fillId="0" borderId="21" xfId="0" applyBorder="1"/>
    <xf numFmtId="0" fontId="12" fillId="0" borderId="0" xfId="3" applyFont="1" applyFill="1" applyBorder="1" applyAlignment="1">
      <alignment horizontal="center" vertical="center"/>
    </xf>
    <xf numFmtId="167" fontId="0" fillId="0" borderId="0" xfId="0" applyNumberFormat="1"/>
    <xf numFmtId="167" fontId="39" fillId="0" borderId="0" xfId="0" applyNumberFormat="1" applyFont="1"/>
    <xf numFmtId="0" fontId="40" fillId="0" borderId="0" xfId="0" applyFont="1"/>
    <xf numFmtId="167" fontId="12" fillId="13" borderId="12" xfId="0" applyNumberFormat="1" applyFont="1" applyFill="1" applyBorder="1" applyAlignment="1" applyProtection="1">
      <alignment horizontal="center" vertical="center"/>
    </xf>
    <xf numFmtId="0" fontId="0" fillId="0" borderId="18" xfId="0" applyBorder="1"/>
    <xf numFmtId="167" fontId="12" fillId="13" borderId="21" xfId="0" applyNumberFormat="1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10" fillId="2" borderId="17" xfId="3" applyFont="1" applyFill="1" applyBorder="1" applyAlignment="1">
      <alignment horizontal="center"/>
    </xf>
    <xf numFmtId="0" fontId="11" fillId="0" borderId="26" xfId="3" applyFont="1" applyBorder="1" applyAlignment="1">
      <alignment vertical="top" wrapText="1"/>
    </xf>
    <xf numFmtId="0" fontId="10" fillId="2" borderId="22" xfId="3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67" fontId="33" fillId="0" borderId="38" xfId="0" applyNumberFormat="1" applyFont="1" applyBorder="1" applyAlignment="1" applyProtection="1">
      <alignment horizontal="center" vertical="center" wrapText="1"/>
    </xf>
    <xf numFmtId="167" fontId="32" fillId="0" borderId="39" xfId="0" applyNumberFormat="1" applyFont="1" applyBorder="1" applyAlignment="1" applyProtection="1">
      <alignment horizontal="center" vertical="center" wrapText="1"/>
    </xf>
    <xf numFmtId="167" fontId="32" fillId="0" borderId="40" xfId="0" applyNumberFormat="1" applyFont="1" applyBorder="1" applyAlignment="1" applyProtection="1">
      <alignment horizontal="center" vertical="center" wrapText="1"/>
    </xf>
    <xf numFmtId="167" fontId="32" fillId="0" borderId="41" xfId="0" applyNumberFormat="1" applyFont="1" applyBorder="1" applyAlignment="1" applyProtection="1">
      <alignment horizontal="center" vertical="center" wrapText="1"/>
    </xf>
    <xf numFmtId="167" fontId="32" fillId="0" borderId="0" xfId="0" applyNumberFormat="1" applyFont="1" applyBorder="1" applyAlignment="1" applyProtection="1">
      <alignment horizontal="center" vertical="center" wrapText="1"/>
    </xf>
    <xf numFmtId="167" fontId="32" fillId="0" borderId="42" xfId="0" applyNumberFormat="1" applyFont="1" applyBorder="1" applyAlignment="1" applyProtection="1">
      <alignment horizontal="center" vertical="center" wrapText="1"/>
    </xf>
    <xf numFmtId="167" fontId="32" fillId="0" borderId="43" xfId="0" applyNumberFormat="1" applyFont="1" applyBorder="1" applyAlignment="1" applyProtection="1">
      <alignment horizontal="center" vertical="center" wrapText="1"/>
    </xf>
    <xf numFmtId="167" fontId="32" fillId="0" borderId="3" xfId="0" applyNumberFormat="1" applyFont="1" applyBorder="1" applyAlignment="1" applyProtection="1">
      <alignment horizontal="center" vertical="center" wrapText="1"/>
    </xf>
    <xf numFmtId="167" fontId="32" fillId="0" borderId="44" xfId="0" applyNumberFormat="1" applyFont="1" applyBorder="1" applyAlignment="1" applyProtection="1">
      <alignment horizontal="center" vertical="center" wrapText="1"/>
    </xf>
    <xf numFmtId="0" fontId="16" fillId="21" borderId="7" xfId="0" applyFont="1" applyFill="1" applyBorder="1" applyAlignment="1">
      <alignment horizontal="center" vertical="center"/>
    </xf>
    <xf numFmtId="0" fontId="16" fillId="21" borderId="8" xfId="0" applyFont="1" applyFill="1" applyBorder="1" applyAlignment="1">
      <alignment horizontal="center" vertical="center"/>
    </xf>
    <xf numFmtId="0" fontId="16" fillId="21" borderId="9" xfId="0" applyFont="1" applyFill="1" applyBorder="1" applyAlignment="1">
      <alignment horizontal="center" vertical="center"/>
    </xf>
    <xf numFmtId="0" fontId="36" fillId="26" borderId="8" xfId="0" applyFont="1" applyFill="1" applyBorder="1" applyAlignment="1">
      <alignment horizontal="center" vertical="center" wrapText="1"/>
    </xf>
    <xf numFmtId="171" fontId="16" fillId="25" borderId="7" xfId="0" applyNumberFormat="1" applyFont="1" applyFill="1" applyBorder="1" applyAlignment="1">
      <alignment horizontal="center" vertical="center"/>
    </xf>
    <xf numFmtId="171" fontId="16" fillId="25" borderId="8" xfId="0" applyNumberFormat="1" applyFont="1" applyFill="1" applyBorder="1" applyAlignment="1">
      <alignment horizontal="center" vertical="center"/>
    </xf>
    <xf numFmtId="171" fontId="16" fillId="25" borderId="9" xfId="0" applyNumberFormat="1" applyFont="1" applyFill="1" applyBorder="1" applyAlignment="1">
      <alignment horizontal="center" vertical="center"/>
    </xf>
  </cellXfs>
  <cellStyles count="6">
    <cellStyle name="Hipervínculo" xfId="5" builtinId="8"/>
    <cellStyle name="Millares" xfId="1" builtinId="3"/>
    <cellStyle name="Normal" xfId="0" builtinId="0"/>
    <cellStyle name="Normal 2" xfId="4"/>
    <cellStyle name="Porcentaje" xfId="2" builtinId="5"/>
    <cellStyle name="Texto explicativo" xfId="3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2DFF2D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306A5C"/>
      <rgbColor rgb="FFE0E0E0"/>
      <rgbColor rgb="FF808080"/>
      <rgbColor rgb="FF99FFFF"/>
      <rgbColor rgb="FF993366"/>
      <rgbColor rgb="FFE0E5EB"/>
      <rgbColor rgb="FFE3FDFC"/>
      <rgbColor rgb="FF660066"/>
      <rgbColor rgb="FFFF8080"/>
      <rgbColor rgb="FF0066CC"/>
      <rgbColor rgb="FFD9D9D9"/>
      <rgbColor rgb="FF000080"/>
      <rgbColor rgb="FFFF00FF"/>
      <rgbColor rgb="FFCCFF00"/>
      <rgbColor rgb="FF00FFFF"/>
      <rgbColor rgb="FF800080"/>
      <rgbColor rgb="FF800000"/>
      <rgbColor rgb="FF008080"/>
      <rgbColor rgb="FF0000FF"/>
      <rgbColor rgb="FF00CCFF"/>
      <rgbColor rgb="FFC5ECFF"/>
      <rgbColor rgb="FFCBFDB5"/>
      <rgbColor rgb="FFFFCB97"/>
      <rgbColor rgb="FF9AE2FC"/>
      <rgbColor rgb="FFFF9999"/>
      <rgbColor rgb="FFCC99FF"/>
      <rgbColor rgb="FFFFCC99"/>
      <rgbColor rgb="FF3366FF"/>
      <rgbColor rgb="FF34F0EC"/>
      <rgbColor rgb="FF99FF99"/>
      <rgbColor rgb="FFFFCC00"/>
      <rgbColor rgb="FFFF9900"/>
      <rgbColor rgb="FFFF6600"/>
      <rgbColor rgb="FF44546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E7FF"/>
      <color rgb="FFFFCCFF"/>
      <color rgb="FF64EEEE"/>
      <color rgb="FFC4D6C5"/>
      <color rgb="FFD497ED"/>
      <color rgb="FFFFABFF"/>
      <color rgb="FFAAF4F4"/>
      <color rgb="FF65FF65"/>
      <color rgb="FFB9FFB9"/>
      <color rgb="FFD3F0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Población Chihuahua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'Piramide poblacional'!$K$6</c:f>
              <c:strCache>
                <c:ptCount val="1"/>
                <c:pt idx="0">
                  <c:v>Hombres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poblacional'!$K$7:$K$22</c:f>
              <c:numCache>
                <c:formatCode>0.00%</c:formatCode>
                <c:ptCount val="16"/>
                <c:pt idx="0">
                  <c:v>-4.4520664387767063E-2</c:v>
                </c:pt>
                <c:pt idx="1">
                  <c:v>-4.8748766050806171E-2</c:v>
                </c:pt>
                <c:pt idx="2">
                  <c:v>-4.9375484865605668E-2</c:v>
                </c:pt>
                <c:pt idx="3">
                  <c:v>-4.5195765445001701E-2</c:v>
                </c:pt>
                <c:pt idx="4">
                  <c:v>-4.3424469046082312E-2</c:v>
                </c:pt>
                <c:pt idx="5">
                  <c:v>-3.7039419505178528E-2</c:v>
                </c:pt>
                <c:pt idx="6">
                  <c:v>-3.5414113709886133E-2</c:v>
                </c:pt>
                <c:pt idx="7">
                  <c:v>-3.4866719269311709E-2</c:v>
                </c:pt>
                <c:pt idx="8">
                  <c:v>-3.4608774407026643E-2</c:v>
                </c:pt>
                <c:pt idx="9">
                  <c:v>-2.994692031471427E-2</c:v>
                </c:pt>
                <c:pt idx="10">
                  <c:v>-2.4814183234980736E-2</c:v>
                </c:pt>
                <c:pt idx="11">
                  <c:v>-1.9326736808091841E-2</c:v>
                </c:pt>
                <c:pt idx="12">
                  <c:v>-1.484941033809027E-2</c:v>
                </c:pt>
                <c:pt idx="13">
                  <c:v>-1.1272218611068221E-2</c:v>
                </c:pt>
                <c:pt idx="14">
                  <c:v>-8.3912248493193953E-3</c:v>
                </c:pt>
                <c:pt idx="15">
                  <c:v>-1.0891349097945011E-2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4-4877-88D3-88D583C57078}"/>
            </c:ext>
          </c:extLst>
        </c:ser>
        <c:ser>
          <c:idx val="1"/>
          <c:order val="1"/>
          <c:tx>
            <c:strRef>
              <c:f>'Piramide poblacional'!$L$6</c:f>
              <c:strCache>
                <c:ptCount val="1"/>
                <c:pt idx="0">
                  <c:v>Mujeres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poblacional'!$L$7:$L$22</c:f>
              <c:numCache>
                <c:formatCode>0.00%</c:formatCode>
                <c:ptCount val="16"/>
                <c:pt idx="0">
                  <c:v>4.4177543972528203E-2</c:v>
                </c:pt>
                <c:pt idx="1">
                  <c:v>4.7082976828057156E-2</c:v>
                </c:pt>
                <c:pt idx="2">
                  <c:v>4.7508285616667846E-2</c:v>
                </c:pt>
                <c:pt idx="3">
                  <c:v>4.5008190039173279E-2</c:v>
                </c:pt>
                <c:pt idx="4">
                  <c:v>4.3983173355511024E-2</c:v>
                </c:pt>
                <c:pt idx="5">
                  <c:v>3.8674127008792712E-2</c:v>
                </c:pt>
                <c:pt idx="6">
                  <c:v>3.744320686397766E-2</c:v>
                </c:pt>
                <c:pt idx="7">
                  <c:v>3.6990894342756764E-2</c:v>
                </c:pt>
                <c:pt idx="8">
                  <c:v>3.6457289334823915E-2</c:v>
                </c:pt>
                <c:pt idx="9">
                  <c:v>3.1495916045461959E-2</c:v>
                </c:pt>
                <c:pt idx="10">
                  <c:v>2.6729194661998551E-2</c:v>
                </c:pt>
                <c:pt idx="11">
                  <c:v>2.0979087349313603E-2</c:v>
                </c:pt>
                <c:pt idx="12">
                  <c:v>1.6140356012222985E-2</c:v>
                </c:pt>
                <c:pt idx="13">
                  <c:v>1.2857152189032557E-2</c:v>
                </c:pt>
                <c:pt idx="14">
                  <c:v>9.4656521465199643E-3</c:v>
                </c:pt>
                <c:pt idx="15">
                  <c:v>1.2320734292286141E-2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4-4877-88D3-88D583C5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21665232"/>
        <c:axId val="1013515872"/>
      </c:barChart>
      <c:catAx>
        <c:axId val="1021665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515872"/>
        <c:crosses val="autoZero"/>
        <c:auto val="1"/>
        <c:lblAlgn val="ctr"/>
        <c:lblOffset val="100"/>
        <c:noMultiLvlLbl val="0"/>
      </c:catAx>
      <c:valAx>
        <c:axId val="101351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%;#,##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6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5</xdr:row>
      <xdr:rowOff>167640</xdr:rowOff>
    </xdr:from>
    <xdr:to>
      <xdr:col>11</xdr:col>
      <xdr:colOff>335280</xdr:colOff>
      <xdr:row>14</xdr:row>
      <xdr:rowOff>160020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FABFD19-C58A-4FEC-ABFB-621E79C41662}"/>
            </a:ext>
          </a:extLst>
        </xdr:cNvPr>
        <xdr:cNvSpPr/>
      </xdr:nvSpPr>
      <xdr:spPr>
        <a:xfrm>
          <a:off x="4953000" y="1082040"/>
          <a:ext cx="4099560" cy="16383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2000" b="1" i="1">
              <a:latin typeface="Book Antiqua" panose="02040602050305030304" pitchFamily="18" charset="0"/>
            </a:rPr>
            <a:t>Lopéz Hernández Alejandro</a:t>
          </a:r>
          <a:r>
            <a:rPr lang="es-MX" sz="2000" b="1" i="1" baseline="0">
              <a:latin typeface="Book Antiqua" panose="02040602050305030304" pitchFamily="18" charset="0"/>
            </a:rPr>
            <a:t> </a:t>
          </a:r>
          <a:endParaRPr lang="es-MX" sz="2000" b="1" i="1">
            <a:latin typeface="Book Antiqua" panose="02040602050305030304" pitchFamily="18" charset="0"/>
          </a:endParaRPr>
        </a:p>
        <a:p>
          <a:pPr algn="ctr"/>
          <a:r>
            <a:rPr lang="es-MX" sz="2000" b="1" i="1">
              <a:latin typeface="Book Antiqua" panose="02040602050305030304" pitchFamily="18" charset="0"/>
            </a:rPr>
            <a:t>Montoya Franco Luis</a:t>
          </a:r>
          <a:r>
            <a:rPr lang="es-MX" sz="2000" b="1" i="1" baseline="0">
              <a:latin typeface="Book Antiqua" panose="02040602050305030304" pitchFamily="18" charset="0"/>
            </a:rPr>
            <a:t> Angel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Demografía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Población de Chihuahua</a:t>
          </a:r>
          <a:endParaRPr lang="es-MX" sz="2000" b="1" i="1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</xdr:col>
      <xdr:colOff>579120</xdr:colOff>
      <xdr:row>23</xdr:row>
      <xdr:rowOff>68580</xdr:rowOff>
    </xdr:from>
    <xdr:to>
      <xdr:col>4</xdr:col>
      <xdr:colOff>53340</xdr:colOff>
      <xdr:row>26</xdr:row>
      <xdr:rowOff>114300</xdr:rowOff>
    </xdr:to>
    <xdr:sp macro="[0]!Macro1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FF12AF-251E-4D95-9E60-CCCDE37F7FF8}"/>
            </a:ext>
          </a:extLst>
        </xdr:cNvPr>
        <xdr:cNvSpPr/>
      </xdr:nvSpPr>
      <xdr:spPr>
        <a:xfrm>
          <a:off x="1371600" y="4274820"/>
          <a:ext cx="1851660" cy="594360"/>
        </a:xfrm>
        <a:prstGeom prst="roundRect">
          <a:avLst/>
        </a:prstGeom>
        <a:solidFill>
          <a:srgbClr val="65FF65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Población</a:t>
          </a:r>
          <a:r>
            <a:rPr lang="es-MX" sz="18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</a:t>
          </a:r>
          <a:endParaRPr lang="es-MX" sz="18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4</xdr:col>
      <xdr:colOff>579120</xdr:colOff>
      <xdr:row>23</xdr:row>
      <xdr:rowOff>68580</xdr:rowOff>
    </xdr:from>
    <xdr:to>
      <xdr:col>7</xdr:col>
      <xdr:colOff>53340</xdr:colOff>
      <xdr:row>26</xdr:row>
      <xdr:rowOff>114300</xdr:rowOff>
    </xdr:to>
    <xdr:sp macro="[0]!Macro2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B90E3F1-D300-41F2-9ECB-AF5EAF4CC31C}"/>
            </a:ext>
          </a:extLst>
        </xdr:cNvPr>
        <xdr:cNvSpPr/>
      </xdr:nvSpPr>
      <xdr:spPr>
        <a:xfrm>
          <a:off x="3749040" y="4274820"/>
          <a:ext cx="1851660" cy="59436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Piramide poblacional 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7</xdr:col>
      <xdr:colOff>579120</xdr:colOff>
      <xdr:row>23</xdr:row>
      <xdr:rowOff>68580</xdr:rowOff>
    </xdr:from>
    <xdr:to>
      <xdr:col>10</xdr:col>
      <xdr:colOff>53340</xdr:colOff>
      <xdr:row>26</xdr:row>
      <xdr:rowOff>114300</xdr:rowOff>
    </xdr:to>
    <xdr:sp macro="[0]!Macro3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37CD874-00A4-4DB7-B5C5-C12214BDA114}"/>
            </a:ext>
          </a:extLst>
        </xdr:cNvPr>
        <xdr:cNvSpPr/>
      </xdr:nvSpPr>
      <xdr:spPr>
        <a:xfrm>
          <a:off x="3749040" y="4274820"/>
          <a:ext cx="1851660" cy="594360"/>
        </a:xfrm>
        <a:prstGeom prst="roundRect">
          <a:avLst/>
        </a:prstGeom>
        <a:solidFill>
          <a:srgbClr val="FFABFF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Interpolación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de Beers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10</xdr:col>
      <xdr:colOff>579120</xdr:colOff>
      <xdr:row>23</xdr:row>
      <xdr:rowOff>68580</xdr:rowOff>
    </xdr:from>
    <xdr:to>
      <xdr:col>13</xdr:col>
      <xdr:colOff>53340</xdr:colOff>
      <xdr:row>26</xdr:row>
      <xdr:rowOff>114300</xdr:rowOff>
    </xdr:to>
    <xdr:sp macro="[0]!Macro4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B5343084-3314-4EA5-99F4-DDEF08DD269E}"/>
            </a:ext>
          </a:extLst>
        </xdr:cNvPr>
        <xdr:cNvSpPr/>
      </xdr:nvSpPr>
      <xdr:spPr>
        <a:xfrm>
          <a:off x="6126480" y="4274820"/>
          <a:ext cx="1851660" cy="594360"/>
        </a:xfrm>
        <a:prstGeom prst="roundRect">
          <a:avLst/>
        </a:prstGeom>
        <a:solidFill>
          <a:srgbClr val="64EEEE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Correción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e Indice de Whipple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13</xdr:col>
      <xdr:colOff>624840</xdr:colOff>
      <xdr:row>23</xdr:row>
      <xdr:rowOff>68580</xdr:rowOff>
    </xdr:from>
    <xdr:to>
      <xdr:col>16</xdr:col>
      <xdr:colOff>99060</xdr:colOff>
      <xdr:row>26</xdr:row>
      <xdr:rowOff>114300</xdr:rowOff>
    </xdr:to>
    <xdr:sp macro="[0]!Macro5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1CBDA2B-5977-4431-9FF7-A2D81E325819}"/>
            </a:ext>
          </a:extLst>
        </xdr:cNvPr>
        <xdr:cNvSpPr/>
      </xdr:nvSpPr>
      <xdr:spPr>
        <a:xfrm>
          <a:off x="10927080" y="4274820"/>
          <a:ext cx="1851660" cy="594360"/>
        </a:xfrm>
        <a:prstGeom prst="roundRect">
          <a:avLst/>
        </a:prstGeom>
        <a:solidFill>
          <a:srgbClr val="FFFF0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Tablas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de mortalidad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13</xdr:row>
      <xdr:rowOff>133350</xdr:rowOff>
    </xdr:from>
    <xdr:to>
      <xdr:col>5</xdr:col>
      <xdr:colOff>485775</xdr:colOff>
      <xdr:row>13</xdr:row>
      <xdr:rowOff>133350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120E2163-EA8D-45E8-92A5-034A82DC53AD}"/>
            </a:ext>
          </a:extLst>
        </xdr:cNvPr>
        <xdr:cNvCxnSpPr/>
      </xdr:nvCxnSpPr>
      <xdr:spPr>
        <a:xfrm>
          <a:off x="3171825" y="2609850"/>
          <a:ext cx="1123950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345440</xdr:colOff>
      <xdr:row>3</xdr:row>
      <xdr:rowOff>152400</xdr:rowOff>
    </xdr:from>
    <xdr:to>
      <xdr:col>21</xdr:col>
      <xdr:colOff>345440</xdr:colOff>
      <xdr:row>22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51071BE-ADAA-48F7-9E61-91472D5FE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99060</xdr:colOff>
      <xdr:row>14</xdr:row>
      <xdr:rowOff>0</xdr:rowOff>
    </xdr:from>
    <xdr:to>
      <xdr:col>11</xdr:col>
      <xdr:colOff>449580</xdr:colOff>
      <xdr:row>14</xdr:row>
      <xdr:rowOff>175260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6F21EBA-7173-4D7A-9AEB-3298E1560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0940" y="405384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99060</xdr:colOff>
      <xdr:row>15</xdr:row>
      <xdr:rowOff>7620</xdr:rowOff>
    </xdr:from>
    <xdr:to>
      <xdr:col>11</xdr:col>
      <xdr:colOff>449580</xdr:colOff>
      <xdr:row>16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5DC448A-ABDC-4684-88B6-455EEB657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0940" y="424434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91440</xdr:colOff>
      <xdr:row>16</xdr:row>
      <xdr:rowOff>7620</xdr:rowOff>
    </xdr:from>
    <xdr:to>
      <xdr:col>11</xdr:col>
      <xdr:colOff>525780</xdr:colOff>
      <xdr:row>17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B3D6969-C7E6-4E08-9A56-4CD6D83F8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3320" y="4427220"/>
          <a:ext cx="4343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99060</xdr:colOff>
      <xdr:row>14</xdr:row>
      <xdr:rowOff>0</xdr:rowOff>
    </xdr:from>
    <xdr:to>
      <xdr:col>11</xdr:col>
      <xdr:colOff>449580</xdr:colOff>
      <xdr:row>14</xdr:row>
      <xdr:rowOff>175260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3EE9C9D-6014-41F4-ABF0-9F6FADBD2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7635" y="268605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99060</xdr:colOff>
      <xdr:row>15</xdr:row>
      <xdr:rowOff>7620</xdr:rowOff>
    </xdr:from>
    <xdr:to>
      <xdr:col>11</xdr:col>
      <xdr:colOff>449580</xdr:colOff>
      <xdr:row>16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CB235B7-B930-4A83-ABC5-EE2D2360F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7635" y="2884170"/>
          <a:ext cx="35052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91440</xdr:colOff>
      <xdr:row>16</xdr:row>
      <xdr:rowOff>7620</xdr:rowOff>
    </xdr:from>
    <xdr:to>
      <xdr:col>11</xdr:col>
      <xdr:colOff>525780</xdr:colOff>
      <xdr:row>17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BE4D54-F528-4CF8-ABAF-2F986B9F0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0015" y="3074670"/>
          <a:ext cx="434340" cy="20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workbookViewId="0">
      <selection activeCell="A28" sqref="A2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filterMode="1">
    <tabColor rgb="FF00B050"/>
  </sheetPr>
  <dimension ref="A1:F3574"/>
  <sheetViews>
    <sheetView showGridLines="0" zoomScale="110" zoomScaleNormal="110" workbookViewId="0">
      <selection activeCell="A3575" sqref="A3575"/>
    </sheetView>
  </sheetViews>
  <sheetFormatPr baseColWidth="10" defaultColWidth="11.42578125" defaultRowHeight="12.75" x14ac:dyDescent="0.2"/>
  <cols>
    <col min="1" max="1" width="41.7109375" style="85" customWidth="1"/>
    <col min="2" max="2" width="36.42578125" style="85" customWidth="1"/>
    <col min="3" max="3" width="28.42578125" style="85" customWidth="1"/>
    <col min="4" max="4" width="20" style="85" customWidth="1"/>
    <col min="5" max="6" width="15.7109375" style="85" customWidth="1"/>
    <col min="7" max="256" width="11.42578125" style="85"/>
    <col min="257" max="257" width="41.7109375" style="85" customWidth="1"/>
    <col min="258" max="258" width="36.42578125" style="85" customWidth="1"/>
    <col min="259" max="259" width="28.42578125" style="85" customWidth="1"/>
    <col min="260" max="260" width="20" style="85" customWidth="1"/>
    <col min="261" max="262" width="15.7109375" style="85" customWidth="1"/>
    <col min="263" max="512" width="11.42578125" style="85"/>
    <col min="513" max="513" width="41.7109375" style="85" customWidth="1"/>
    <col min="514" max="514" width="36.42578125" style="85" customWidth="1"/>
    <col min="515" max="515" width="28.42578125" style="85" customWidth="1"/>
    <col min="516" max="516" width="20" style="85" customWidth="1"/>
    <col min="517" max="518" width="15.7109375" style="85" customWidth="1"/>
    <col min="519" max="768" width="11.42578125" style="85"/>
    <col min="769" max="769" width="41.7109375" style="85" customWidth="1"/>
    <col min="770" max="770" width="36.42578125" style="85" customWidth="1"/>
    <col min="771" max="771" width="28.42578125" style="85" customWidth="1"/>
    <col min="772" max="772" width="20" style="85" customWidth="1"/>
    <col min="773" max="774" width="15.7109375" style="85" customWidth="1"/>
    <col min="775" max="1024" width="11.42578125" style="85"/>
    <col min="1025" max="1025" width="41.7109375" style="85" customWidth="1"/>
    <col min="1026" max="1026" width="36.42578125" style="85" customWidth="1"/>
    <col min="1027" max="1027" width="28.42578125" style="85" customWidth="1"/>
    <col min="1028" max="1028" width="20" style="85" customWidth="1"/>
    <col min="1029" max="1030" width="15.7109375" style="85" customWidth="1"/>
    <col min="1031" max="1280" width="11.42578125" style="85"/>
    <col min="1281" max="1281" width="41.7109375" style="85" customWidth="1"/>
    <col min="1282" max="1282" width="36.42578125" style="85" customWidth="1"/>
    <col min="1283" max="1283" width="28.42578125" style="85" customWidth="1"/>
    <col min="1284" max="1284" width="20" style="85" customWidth="1"/>
    <col min="1285" max="1286" width="15.7109375" style="85" customWidth="1"/>
    <col min="1287" max="1536" width="11.42578125" style="85"/>
    <col min="1537" max="1537" width="41.7109375" style="85" customWidth="1"/>
    <col min="1538" max="1538" width="36.42578125" style="85" customWidth="1"/>
    <col min="1539" max="1539" width="28.42578125" style="85" customWidth="1"/>
    <col min="1540" max="1540" width="20" style="85" customWidth="1"/>
    <col min="1541" max="1542" width="15.7109375" style="85" customWidth="1"/>
    <col min="1543" max="1792" width="11.42578125" style="85"/>
    <col min="1793" max="1793" width="41.7109375" style="85" customWidth="1"/>
    <col min="1794" max="1794" width="36.42578125" style="85" customWidth="1"/>
    <col min="1795" max="1795" width="28.42578125" style="85" customWidth="1"/>
    <col min="1796" max="1796" width="20" style="85" customWidth="1"/>
    <col min="1797" max="1798" width="15.7109375" style="85" customWidth="1"/>
    <col min="1799" max="2048" width="11.42578125" style="85"/>
    <col min="2049" max="2049" width="41.7109375" style="85" customWidth="1"/>
    <col min="2050" max="2050" width="36.42578125" style="85" customWidth="1"/>
    <col min="2051" max="2051" width="28.42578125" style="85" customWidth="1"/>
    <col min="2052" max="2052" width="20" style="85" customWidth="1"/>
    <col min="2053" max="2054" width="15.7109375" style="85" customWidth="1"/>
    <col min="2055" max="2304" width="11.42578125" style="85"/>
    <col min="2305" max="2305" width="41.7109375" style="85" customWidth="1"/>
    <col min="2306" max="2306" width="36.42578125" style="85" customWidth="1"/>
    <col min="2307" max="2307" width="28.42578125" style="85" customWidth="1"/>
    <col min="2308" max="2308" width="20" style="85" customWidth="1"/>
    <col min="2309" max="2310" width="15.7109375" style="85" customWidth="1"/>
    <col min="2311" max="2560" width="11.42578125" style="85"/>
    <col min="2561" max="2561" width="41.7109375" style="85" customWidth="1"/>
    <col min="2562" max="2562" width="36.42578125" style="85" customWidth="1"/>
    <col min="2563" max="2563" width="28.42578125" style="85" customWidth="1"/>
    <col min="2564" max="2564" width="20" style="85" customWidth="1"/>
    <col min="2565" max="2566" width="15.7109375" style="85" customWidth="1"/>
    <col min="2567" max="2816" width="11.42578125" style="85"/>
    <col min="2817" max="2817" width="41.7109375" style="85" customWidth="1"/>
    <col min="2818" max="2818" width="36.42578125" style="85" customWidth="1"/>
    <col min="2819" max="2819" width="28.42578125" style="85" customWidth="1"/>
    <col min="2820" max="2820" width="20" style="85" customWidth="1"/>
    <col min="2821" max="2822" width="15.7109375" style="85" customWidth="1"/>
    <col min="2823" max="3072" width="11.42578125" style="85"/>
    <col min="3073" max="3073" width="41.7109375" style="85" customWidth="1"/>
    <col min="3074" max="3074" width="36.42578125" style="85" customWidth="1"/>
    <col min="3075" max="3075" width="28.42578125" style="85" customWidth="1"/>
    <col min="3076" max="3076" width="20" style="85" customWidth="1"/>
    <col min="3077" max="3078" width="15.7109375" style="85" customWidth="1"/>
    <col min="3079" max="3328" width="11.42578125" style="85"/>
    <col min="3329" max="3329" width="41.7109375" style="85" customWidth="1"/>
    <col min="3330" max="3330" width="36.42578125" style="85" customWidth="1"/>
    <col min="3331" max="3331" width="28.42578125" style="85" customWidth="1"/>
    <col min="3332" max="3332" width="20" style="85" customWidth="1"/>
    <col min="3333" max="3334" width="15.7109375" style="85" customWidth="1"/>
    <col min="3335" max="3584" width="11.42578125" style="85"/>
    <col min="3585" max="3585" width="41.7109375" style="85" customWidth="1"/>
    <col min="3586" max="3586" width="36.42578125" style="85" customWidth="1"/>
    <col min="3587" max="3587" width="28.42578125" style="85" customWidth="1"/>
    <col min="3588" max="3588" width="20" style="85" customWidth="1"/>
    <col min="3589" max="3590" width="15.7109375" style="85" customWidth="1"/>
    <col min="3591" max="3840" width="11.42578125" style="85"/>
    <col min="3841" max="3841" width="41.7109375" style="85" customWidth="1"/>
    <col min="3842" max="3842" width="36.42578125" style="85" customWidth="1"/>
    <col min="3843" max="3843" width="28.42578125" style="85" customWidth="1"/>
    <col min="3844" max="3844" width="20" style="85" customWidth="1"/>
    <col min="3845" max="3846" width="15.7109375" style="85" customWidth="1"/>
    <col min="3847" max="4096" width="11.42578125" style="85"/>
    <col min="4097" max="4097" width="41.7109375" style="85" customWidth="1"/>
    <col min="4098" max="4098" width="36.42578125" style="85" customWidth="1"/>
    <col min="4099" max="4099" width="28.42578125" style="85" customWidth="1"/>
    <col min="4100" max="4100" width="20" style="85" customWidth="1"/>
    <col min="4101" max="4102" width="15.7109375" style="85" customWidth="1"/>
    <col min="4103" max="4352" width="11.42578125" style="85"/>
    <col min="4353" max="4353" width="41.7109375" style="85" customWidth="1"/>
    <col min="4354" max="4354" width="36.42578125" style="85" customWidth="1"/>
    <col min="4355" max="4355" width="28.42578125" style="85" customWidth="1"/>
    <col min="4356" max="4356" width="20" style="85" customWidth="1"/>
    <col min="4357" max="4358" width="15.7109375" style="85" customWidth="1"/>
    <col min="4359" max="4608" width="11.42578125" style="85"/>
    <col min="4609" max="4609" width="41.7109375" style="85" customWidth="1"/>
    <col min="4610" max="4610" width="36.42578125" style="85" customWidth="1"/>
    <col min="4611" max="4611" width="28.42578125" style="85" customWidth="1"/>
    <col min="4612" max="4612" width="20" style="85" customWidth="1"/>
    <col min="4613" max="4614" width="15.7109375" style="85" customWidth="1"/>
    <col min="4615" max="4864" width="11.42578125" style="85"/>
    <col min="4865" max="4865" width="41.7109375" style="85" customWidth="1"/>
    <col min="4866" max="4866" width="36.42578125" style="85" customWidth="1"/>
    <col min="4867" max="4867" width="28.42578125" style="85" customWidth="1"/>
    <col min="4868" max="4868" width="20" style="85" customWidth="1"/>
    <col min="4869" max="4870" width="15.7109375" style="85" customWidth="1"/>
    <col min="4871" max="5120" width="11.42578125" style="85"/>
    <col min="5121" max="5121" width="41.7109375" style="85" customWidth="1"/>
    <col min="5122" max="5122" width="36.42578125" style="85" customWidth="1"/>
    <col min="5123" max="5123" width="28.42578125" style="85" customWidth="1"/>
    <col min="5124" max="5124" width="20" style="85" customWidth="1"/>
    <col min="5125" max="5126" width="15.7109375" style="85" customWidth="1"/>
    <col min="5127" max="5376" width="11.42578125" style="85"/>
    <col min="5377" max="5377" width="41.7109375" style="85" customWidth="1"/>
    <col min="5378" max="5378" width="36.42578125" style="85" customWidth="1"/>
    <col min="5379" max="5379" width="28.42578125" style="85" customWidth="1"/>
    <col min="5380" max="5380" width="20" style="85" customWidth="1"/>
    <col min="5381" max="5382" width="15.7109375" style="85" customWidth="1"/>
    <col min="5383" max="5632" width="11.42578125" style="85"/>
    <col min="5633" max="5633" width="41.7109375" style="85" customWidth="1"/>
    <col min="5634" max="5634" width="36.42578125" style="85" customWidth="1"/>
    <col min="5635" max="5635" width="28.42578125" style="85" customWidth="1"/>
    <col min="5636" max="5636" width="20" style="85" customWidth="1"/>
    <col min="5637" max="5638" width="15.7109375" style="85" customWidth="1"/>
    <col min="5639" max="5888" width="11.42578125" style="85"/>
    <col min="5889" max="5889" width="41.7109375" style="85" customWidth="1"/>
    <col min="5890" max="5890" width="36.42578125" style="85" customWidth="1"/>
    <col min="5891" max="5891" width="28.42578125" style="85" customWidth="1"/>
    <col min="5892" max="5892" width="20" style="85" customWidth="1"/>
    <col min="5893" max="5894" width="15.7109375" style="85" customWidth="1"/>
    <col min="5895" max="6144" width="11.42578125" style="85"/>
    <col min="6145" max="6145" width="41.7109375" style="85" customWidth="1"/>
    <col min="6146" max="6146" width="36.42578125" style="85" customWidth="1"/>
    <col min="6147" max="6147" width="28.42578125" style="85" customWidth="1"/>
    <col min="6148" max="6148" width="20" style="85" customWidth="1"/>
    <col min="6149" max="6150" width="15.7109375" style="85" customWidth="1"/>
    <col min="6151" max="6400" width="11.42578125" style="85"/>
    <col min="6401" max="6401" width="41.7109375" style="85" customWidth="1"/>
    <col min="6402" max="6402" width="36.42578125" style="85" customWidth="1"/>
    <col min="6403" max="6403" width="28.42578125" style="85" customWidth="1"/>
    <col min="6404" max="6404" width="20" style="85" customWidth="1"/>
    <col min="6405" max="6406" width="15.7109375" style="85" customWidth="1"/>
    <col min="6407" max="6656" width="11.42578125" style="85"/>
    <col min="6657" max="6657" width="41.7109375" style="85" customWidth="1"/>
    <col min="6658" max="6658" width="36.42578125" style="85" customWidth="1"/>
    <col min="6659" max="6659" width="28.42578125" style="85" customWidth="1"/>
    <col min="6660" max="6660" width="20" style="85" customWidth="1"/>
    <col min="6661" max="6662" width="15.7109375" style="85" customWidth="1"/>
    <col min="6663" max="6912" width="11.42578125" style="85"/>
    <col min="6913" max="6913" width="41.7109375" style="85" customWidth="1"/>
    <col min="6914" max="6914" width="36.42578125" style="85" customWidth="1"/>
    <col min="6915" max="6915" width="28.42578125" style="85" customWidth="1"/>
    <col min="6916" max="6916" width="20" style="85" customWidth="1"/>
    <col min="6917" max="6918" width="15.7109375" style="85" customWidth="1"/>
    <col min="6919" max="7168" width="11.42578125" style="85"/>
    <col min="7169" max="7169" width="41.7109375" style="85" customWidth="1"/>
    <col min="7170" max="7170" width="36.42578125" style="85" customWidth="1"/>
    <col min="7171" max="7171" width="28.42578125" style="85" customWidth="1"/>
    <col min="7172" max="7172" width="20" style="85" customWidth="1"/>
    <col min="7173" max="7174" width="15.7109375" style="85" customWidth="1"/>
    <col min="7175" max="7424" width="11.42578125" style="85"/>
    <col min="7425" max="7425" width="41.7109375" style="85" customWidth="1"/>
    <col min="7426" max="7426" width="36.42578125" style="85" customWidth="1"/>
    <col min="7427" max="7427" width="28.42578125" style="85" customWidth="1"/>
    <col min="7428" max="7428" width="20" style="85" customWidth="1"/>
    <col min="7429" max="7430" width="15.7109375" style="85" customWidth="1"/>
    <col min="7431" max="7680" width="11.42578125" style="85"/>
    <col min="7681" max="7681" width="41.7109375" style="85" customWidth="1"/>
    <col min="7682" max="7682" width="36.42578125" style="85" customWidth="1"/>
    <col min="7683" max="7683" width="28.42578125" style="85" customWidth="1"/>
    <col min="7684" max="7684" width="20" style="85" customWidth="1"/>
    <col min="7685" max="7686" width="15.7109375" style="85" customWidth="1"/>
    <col min="7687" max="7936" width="11.42578125" style="85"/>
    <col min="7937" max="7937" width="41.7109375" style="85" customWidth="1"/>
    <col min="7938" max="7938" width="36.42578125" style="85" customWidth="1"/>
    <col min="7939" max="7939" width="28.42578125" style="85" customWidth="1"/>
    <col min="7940" max="7940" width="20" style="85" customWidth="1"/>
    <col min="7941" max="7942" width="15.7109375" style="85" customWidth="1"/>
    <col min="7943" max="8192" width="11.42578125" style="85"/>
    <col min="8193" max="8193" width="41.7109375" style="85" customWidth="1"/>
    <col min="8194" max="8194" width="36.42578125" style="85" customWidth="1"/>
    <col min="8195" max="8195" width="28.42578125" style="85" customWidth="1"/>
    <col min="8196" max="8196" width="20" style="85" customWidth="1"/>
    <col min="8197" max="8198" width="15.7109375" style="85" customWidth="1"/>
    <col min="8199" max="8448" width="11.42578125" style="85"/>
    <col min="8449" max="8449" width="41.7109375" style="85" customWidth="1"/>
    <col min="8450" max="8450" width="36.42578125" style="85" customWidth="1"/>
    <col min="8451" max="8451" width="28.42578125" style="85" customWidth="1"/>
    <col min="8452" max="8452" width="20" style="85" customWidth="1"/>
    <col min="8453" max="8454" width="15.7109375" style="85" customWidth="1"/>
    <col min="8455" max="8704" width="11.42578125" style="85"/>
    <col min="8705" max="8705" width="41.7109375" style="85" customWidth="1"/>
    <col min="8706" max="8706" width="36.42578125" style="85" customWidth="1"/>
    <col min="8707" max="8707" width="28.42578125" style="85" customWidth="1"/>
    <col min="8708" max="8708" width="20" style="85" customWidth="1"/>
    <col min="8709" max="8710" width="15.7109375" style="85" customWidth="1"/>
    <col min="8711" max="8960" width="11.42578125" style="85"/>
    <col min="8961" max="8961" width="41.7109375" style="85" customWidth="1"/>
    <col min="8962" max="8962" width="36.42578125" style="85" customWidth="1"/>
    <col min="8963" max="8963" width="28.42578125" style="85" customWidth="1"/>
    <col min="8964" max="8964" width="20" style="85" customWidth="1"/>
    <col min="8965" max="8966" width="15.7109375" style="85" customWidth="1"/>
    <col min="8967" max="9216" width="11.42578125" style="85"/>
    <col min="9217" max="9217" width="41.7109375" style="85" customWidth="1"/>
    <col min="9218" max="9218" width="36.42578125" style="85" customWidth="1"/>
    <col min="9219" max="9219" width="28.42578125" style="85" customWidth="1"/>
    <col min="9220" max="9220" width="20" style="85" customWidth="1"/>
    <col min="9221" max="9222" width="15.7109375" style="85" customWidth="1"/>
    <col min="9223" max="9472" width="11.42578125" style="85"/>
    <col min="9473" max="9473" width="41.7109375" style="85" customWidth="1"/>
    <col min="9474" max="9474" width="36.42578125" style="85" customWidth="1"/>
    <col min="9475" max="9475" width="28.42578125" style="85" customWidth="1"/>
    <col min="9476" max="9476" width="20" style="85" customWidth="1"/>
    <col min="9477" max="9478" width="15.7109375" style="85" customWidth="1"/>
    <col min="9479" max="9728" width="11.42578125" style="85"/>
    <col min="9729" max="9729" width="41.7109375" style="85" customWidth="1"/>
    <col min="9730" max="9730" width="36.42578125" style="85" customWidth="1"/>
    <col min="9731" max="9731" width="28.42578125" style="85" customWidth="1"/>
    <col min="9732" max="9732" width="20" style="85" customWidth="1"/>
    <col min="9733" max="9734" width="15.7109375" style="85" customWidth="1"/>
    <col min="9735" max="9984" width="11.42578125" style="85"/>
    <col min="9985" max="9985" width="41.7109375" style="85" customWidth="1"/>
    <col min="9986" max="9986" width="36.42578125" style="85" customWidth="1"/>
    <col min="9987" max="9987" width="28.42578125" style="85" customWidth="1"/>
    <col min="9988" max="9988" width="20" style="85" customWidth="1"/>
    <col min="9989" max="9990" width="15.7109375" style="85" customWidth="1"/>
    <col min="9991" max="10240" width="11.42578125" style="85"/>
    <col min="10241" max="10241" width="41.7109375" style="85" customWidth="1"/>
    <col min="10242" max="10242" width="36.42578125" style="85" customWidth="1"/>
    <col min="10243" max="10243" width="28.42578125" style="85" customWidth="1"/>
    <col min="10244" max="10244" width="20" style="85" customWidth="1"/>
    <col min="10245" max="10246" width="15.7109375" style="85" customWidth="1"/>
    <col min="10247" max="10496" width="11.42578125" style="85"/>
    <col min="10497" max="10497" width="41.7109375" style="85" customWidth="1"/>
    <col min="10498" max="10498" width="36.42578125" style="85" customWidth="1"/>
    <col min="10499" max="10499" width="28.42578125" style="85" customWidth="1"/>
    <col min="10500" max="10500" width="20" style="85" customWidth="1"/>
    <col min="10501" max="10502" width="15.7109375" style="85" customWidth="1"/>
    <col min="10503" max="10752" width="11.42578125" style="85"/>
    <col min="10753" max="10753" width="41.7109375" style="85" customWidth="1"/>
    <col min="10754" max="10754" width="36.42578125" style="85" customWidth="1"/>
    <col min="10755" max="10755" width="28.42578125" style="85" customWidth="1"/>
    <col min="10756" max="10756" width="20" style="85" customWidth="1"/>
    <col min="10757" max="10758" width="15.7109375" style="85" customWidth="1"/>
    <col min="10759" max="11008" width="11.42578125" style="85"/>
    <col min="11009" max="11009" width="41.7109375" style="85" customWidth="1"/>
    <col min="11010" max="11010" width="36.42578125" style="85" customWidth="1"/>
    <col min="11011" max="11011" width="28.42578125" style="85" customWidth="1"/>
    <col min="11012" max="11012" width="20" style="85" customWidth="1"/>
    <col min="11013" max="11014" width="15.7109375" style="85" customWidth="1"/>
    <col min="11015" max="11264" width="11.42578125" style="85"/>
    <col min="11265" max="11265" width="41.7109375" style="85" customWidth="1"/>
    <col min="11266" max="11266" width="36.42578125" style="85" customWidth="1"/>
    <col min="11267" max="11267" width="28.42578125" style="85" customWidth="1"/>
    <col min="11268" max="11268" width="20" style="85" customWidth="1"/>
    <col min="11269" max="11270" width="15.7109375" style="85" customWidth="1"/>
    <col min="11271" max="11520" width="11.42578125" style="85"/>
    <col min="11521" max="11521" width="41.7109375" style="85" customWidth="1"/>
    <col min="11522" max="11522" width="36.42578125" style="85" customWidth="1"/>
    <col min="11523" max="11523" width="28.42578125" style="85" customWidth="1"/>
    <col min="11524" max="11524" width="20" style="85" customWidth="1"/>
    <col min="11525" max="11526" width="15.7109375" style="85" customWidth="1"/>
    <col min="11527" max="11776" width="11.42578125" style="85"/>
    <col min="11777" max="11777" width="41.7109375" style="85" customWidth="1"/>
    <col min="11778" max="11778" width="36.42578125" style="85" customWidth="1"/>
    <col min="11779" max="11779" width="28.42578125" style="85" customWidth="1"/>
    <col min="11780" max="11780" width="20" style="85" customWidth="1"/>
    <col min="11781" max="11782" width="15.7109375" style="85" customWidth="1"/>
    <col min="11783" max="12032" width="11.42578125" style="85"/>
    <col min="12033" max="12033" width="41.7109375" style="85" customWidth="1"/>
    <col min="12034" max="12034" width="36.42578125" style="85" customWidth="1"/>
    <col min="12035" max="12035" width="28.42578125" style="85" customWidth="1"/>
    <col min="12036" max="12036" width="20" style="85" customWidth="1"/>
    <col min="12037" max="12038" width="15.7109375" style="85" customWidth="1"/>
    <col min="12039" max="12288" width="11.42578125" style="85"/>
    <col min="12289" max="12289" width="41.7109375" style="85" customWidth="1"/>
    <col min="12290" max="12290" width="36.42578125" style="85" customWidth="1"/>
    <col min="12291" max="12291" width="28.42578125" style="85" customWidth="1"/>
    <col min="12292" max="12292" width="20" style="85" customWidth="1"/>
    <col min="12293" max="12294" width="15.7109375" style="85" customWidth="1"/>
    <col min="12295" max="12544" width="11.42578125" style="85"/>
    <col min="12545" max="12545" width="41.7109375" style="85" customWidth="1"/>
    <col min="12546" max="12546" width="36.42578125" style="85" customWidth="1"/>
    <col min="12547" max="12547" width="28.42578125" style="85" customWidth="1"/>
    <col min="12548" max="12548" width="20" style="85" customWidth="1"/>
    <col min="12549" max="12550" width="15.7109375" style="85" customWidth="1"/>
    <col min="12551" max="12800" width="11.42578125" style="85"/>
    <col min="12801" max="12801" width="41.7109375" style="85" customWidth="1"/>
    <col min="12802" max="12802" width="36.42578125" style="85" customWidth="1"/>
    <col min="12803" max="12803" width="28.42578125" style="85" customWidth="1"/>
    <col min="12804" max="12804" width="20" style="85" customWidth="1"/>
    <col min="12805" max="12806" width="15.7109375" style="85" customWidth="1"/>
    <col min="12807" max="13056" width="11.42578125" style="85"/>
    <col min="13057" max="13057" width="41.7109375" style="85" customWidth="1"/>
    <col min="13058" max="13058" width="36.42578125" style="85" customWidth="1"/>
    <col min="13059" max="13059" width="28.42578125" style="85" customWidth="1"/>
    <col min="13060" max="13060" width="20" style="85" customWidth="1"/>
    <col min="13061" max="13062" width="15.7109375" style="85" customWidth="1"/>
    <col min="13063" max="13312" width="11.42578125" style="85"/>
    <col min="13313" max="13313" width="41.7109375" style="85" customWidth="1"/>
    <col min="13314" max="13314" width="36.42578125" style="85" customWidth="1"/>
    <col min="13315" max="13315" width="28.42578125" style="85" customWidth="1"/>
    <col min="13316" max="13316" width="20" style="85" customWidth="1"/>
    <col min="13317" max="13318" width="15.7109375" style="85" customWidth="1"/>
    <col min="13319" max="13568" width="11.42578125" style="85"/>
    <col min="13569" max="13569" width="41.7109375" style="85" customWidth="1"/>
    <col min="13570" max="13570" width="36.42578125" style="85" customWidth="1"/>
    <col min="13571" max="13571" width="28.42578125" style="85" customWidth="1"/>
    <col min="13572" max="13572" width="20" style="85" customWidth="1"/>
    <col min="13573" max="13574" width="15.7109375" style="85" customWidth="1"/>
    <col min="13575" max="13824" width="11.42578125" style="85"/>
    <col min="13825" max="13825" width="41.7109375" style="85" customWidth="1"/>
    <col min="13826" max="13826" width="36.42578125" style="85" customWidth="1"/>
    <col min="13827" max="13827" width="28.42578125" style="85" customWidth="1"/>
    <col min="13828" max="13828" width="20" style="85" customWidth="1"/>
    <col min="13829" max="13830" width="15.7109375" style="85" customWidth="1"/>
    <col min="13831" max="14080" width="11.42578125" style="85"/>
    <col min="14081" max="14081" width="41.7109375" style="85" customWidth="1"/>
    <col min="14082" max="14082" width="36.42578125" style="85" customWidth="1"/>
    <col min="14083" max="14083" width="28.42578125" style="85" customWidth="1"/>
    <col min="14084" max="14084" width="20" style="85" customWidth="1"/>
    <col min="14085" max="14086" width="15.7109375" style="85" customWidth="1"/>
    <col min="14087" max="14336" width="11.42578125" style="85"/>
    <col min="14337" max="14337" width="41.7109375" style="85" customWidth="1"/>
    <col min="14338" max="14338" width="36.42578125" style="85" customWidth="1"/>
    <col min="14339" max="14339" width="28.42578125" style="85" customWidth="1"/>
    <col min="14340" max="14340" width="20" style="85" customWidth="1"/>
    <col min="14341" max="14342" width="15.7109375" style="85" customWidth="1"/>
    <col min="14343" max="14592" width="11.42578125" style="85"/>
    <col min="14593" max="14593" width="41.7109375" style="85" customWidth="1"/>
    <col min="14594" max="14594" width="36.42578125" style="85" customWidth="1"/>
    <col min="14595" max="14595" width="28.42578125" style="85" customWidth="1"/>
    <col min="14596" max="14596" width="20" style="85" customWidth="1"/>
    <col min="14597" max="14598" width="15.7109375" style="85" customWidth="1"/>
    <col min="14599" max="14848" width="11.42578125" style="85"/>
    <col min="14849" max="14849" width="41.7109375" style="85" customWidth="1"/>
    <col min="14850" max="14850" width="36.42578125" style="85" customWidth="1"/>
    <col min="14851" max="14851" width="28.42578125" style="85" customWidth="1"/>
    <col min="14852" max="14852" width="20" style="85" customWidth="1"/>
    <col min="14853" max="14854" width="15.7109375" style="85" customWidth="1"/>
    <col min="14855" max="15104" width="11.42578125" style="85"/>
    <col min="15105" max="15105" width="41.7109375" style="85" customWidth="1"/>
    <col min="15106" max="15106" width="36.42578125" style="85" customWidth="1"/>
    <col min="15107" max="15107" width="28.42578125" style="85" customWidth="1"/>
    <col min="15108" max="15108" width="20" style="85" customWidth="1"/>
    <col min="15109" max="15110" width="15.7109375" style="85" customWidth="1"/>
    <col min="15111" max="15360" width="11.42578125" style="85"/>
    <col min="15361" max="15361" width="41.7109375" style="85" customWidth="1"/>
    <col min="15362" max="15362" width="36.42578125" style="85" customWidth="1"/>
    <col min="15363" max="15363" width="28.42578125" style="85" customWidth="1"/>
    <col min="15364" max="15364" width="20" style="85" customWidth="1"/>
    <col min="15365" max="15366" width="15.7109375" style="85" customWidth="1"/>
    <col min="15367" max="15616" width="11.42578125" style="85"/>
    <col min="15617" max="15617" width="41.7109375" style="85" customWidth="1"/>
    <col min="15618" max="15618" width="36.42578125" style="85" customWidth="1"/>
    <col min="15619" max="15619" width="28.42578125" style="85" customWidth="1"/>
    <col min="15620" max="15620" width="20" style="85" customWidth="1"/>
    <col min="15621" max="15622" width="15.7109375" style="85" customWidth="1"/>
    <col min="15623" max="15872" width="11.42578125" style="85"/>
    <col min="15873" max="15873" width="41.7109375" style="85" customWidth="1"/>
    <col min="15874" max="15874" width="36.42578125" style="85" customWidth="1"/>
    <col min="15875" max="15875" width="28.42578125" style="85" customWidth="1"/>
    <col min="15876" max="15876" width="20" style="85" customWidth="1"/>
    <col min="15877" max="15878" width="15.7109375" style="85" customWidth="1"/>
    <col min="15879" max="16128" width="11.42578125" style="85"/>
    <col min="16129" max="16129" width="41.7109375" style="85" customWidth="1"/>
    <col min="16130" max="16130" width="36.42578125" style="85" customWidth="1"/>
    <col min="16131" max="16131" width="28.42578125" style="85" customWidth="1"/>
    <col min="16132" max="16132" width="20" style="85" customWidth="1"/>
    <col min="16133" max="16134" width="15.7109375" style="85" customWidth="1"/>
    <col min="16135" max="16384" width="11.42578125" style="85"/>
  </cols>
  <sheetData>
    <row r="1" spans="1:6" ht="14.25" x14ac:dyDescent="0.2">
      <c r="A1" s="84" t="s">
        <v>143</v>
      </c>
      <c r="F1" s="86" t="s">
        <v>144</v>
      </c>
    </row>
    <row r="2" spans="1:6" x14ac:dyDescent="0.2">
      <c r="A2" s="87" t="s">
        <v>145</v>
      </c>
    </row>
    <row r="4" spans="1:6" ht="13.5" x14ac:dyDescent="0.25">
      <c r="A4" s="88" t="s">
        <v>146</v>
      </c>
      <c r="F4" s="89" t="s">
        <v>147</v>
      </c>
    </row>
    <row r="5" spans="1:6" x14ac:dyDescent="0.2">
      <c r="A5" s="88" t="s">
        <v>148</v>
      </c>
    </row>
    <row r="6" spans="1:6" ht="12.75" customHeight="1" x14ac:dyDescent="0.4">
      <c r="A6" s="90"/>
    </row>
    <row r="7" spans="1:6" x14ac:dyDescent="0.2">
      <c r="A7" s="91" t="s">
        <v>149</v>
      </c>
      <c r="B7" s="92" t="s">
        <v>0</v>
      </c>
      <c r="C7" s="92" t="s">
        <v>150</v>
      </c>
      <c r="D7" s="92" t="s">
        <v>1</v>
      </c>
      <c r="E7" s="92" t="s">
        <v>2</v>
      </c>
      <c r="F7" s="93" t="s">
        <v>3</v>
      </c>
    </row>
    <row r="8" spans="1:6" x14ac:dyDescent="0.2">
      <c r="A8" s="94"/>
      <c r="B8" s="94"/>
      <c r="C8" s="94"/>
      <c r="D8" s="94"/>
      <c r="E8" s="94"/>
      <c r="F8" s="94"/>
    </row>
    <row r="9" spans="1:6" hidden="1" x14ac:dyDescent="0.2">
      <c r="A9" s="95" t="s">
        <v>151</v>
      </c>
      <c r="B9" s="95" t="s">
        <v>152</v>
      </c>
      <c r="C9" s="95" t="s">
        <v>153</v>
      </c>
      <c r="D9" s="96">
        <v>119530753</v>
      </c>
      <c r="E9" s="96">
        <v>58056133</v>
      </c>
      <c r="F9" s="96">
        <v>61474620</v>
      </c>
    </row>
    <row r="10" spans="1:6" hidden="1" x14ac:dyDescent="0.2">
      <c r="A10" s="97" t="s">
        <v>151</v>
      </c>
      <c r="B10" s="97" t="s">
        <v>152</v>
      </c>
      <c r="C10" s="97" t="s">
        <v>154</v>
      </c>
      <c r="D10" s="98">
        <v>369357.41026068799</v>
      </c>
      <c r="E10" s="98">
        <v>180051.633364462</v>
      </c>
      <c r="F10" s="98">
        <v>191328.17396278601</v>
      </c>
    </row>
    <row r="11" spans="1:6" hidden="1" x14ac:dyDescent="0.2">
      <c r="A11" s="97" t="s">
        <v>151</v>
      </c>
      <c r="B11" s="97" t="s">
        <v>152</v>
      </c>
      <c r="C11" s="97" t="s">
        <v>155</v>
      </c>
      <c r="D11" s="98">
        <v>118923211.928184</v>
      </c>
      <c r="E11" s="98">
        <v>57759973.347377203</v>
      </c>
      <c r="F11" s="98">
        <v>61159912.0216332</v>
      </c>
    </row>
    <row r="12" spans="1:6" hidden="1" x14ac:dyDescent="0.2">
      <c r="A12" s="97" t="s">
        <v>151</v>
      </c>
      <c r="B12" s="97" t="s">
        <v>152</v>
      </c>
      <c r="C12" s="97" t="s">
        <v>156</v>
      </c>
      <c r="D12" s="98">
        <v>120138294.071815</v>
      </c>
      <c r="E12" s="98">
        <v>58352292.6526227</v>
      </c>
      <c r="F12" s="98">
        <v>61789327.978366703</v>
      </c>
    </row>
    <row r="13" spans="1:6" hidden="1" x14ac:dyDescent="0.2">
      <c r="A13" s="97" t="s">
        <v>151</v>
      </c>
      <c r="B13" s="97" t="s">
        <v>152</v>
      </c>
      <c r="C13" s="97" t="s">
        <v>157</v>
      </c>
      <c r="D13" s="99">
        <v>0.30900617706363998</v>
      </c>
      <c r="E13" s="99">
        <v>0.31013370002521001</v>
      </c>
      <c r="F13" s="99">
        <v>0.31123116167742998</v>
      </c>
    </row>
    <row r="14" spans="1:6" hidden="1" x14ac:dyDescent="0.2">
      <c r="A14" s="97" t="s">
        <v>151</v>
      </c>
      <c r="B14" s="97" t="s">
        <v>152</v>
      </c>
      <c r="C14" s="97" t="s">
        <v>158</v>
      </c>
      <c r="D14" s="99">
        <v>3.0236961232694299</v>
      </c>
      <c r="E14" s="99">
        <v>1.9214212183727499</v>
      </c>
      <c r="F14" s="99">
        <v>1.9255410073683099</v>
      </c>
    </row>
    <row r="15" spans="1:6" hidden="1" x14ac:dyDescent="0.2">
      <c r="A15" s="100" t="s">
        <v>151</v>
      </c>
      <c r="B15" s="100" t="s">
        <v>4</v>
      </c>
      <c r="C15" s="100" t="s">
        <v>153</v>
      </c>
      <c r="D15" s="101">
        <v>10526139</v>
      </c>
      <c r="E15" s="101">
        <v>5340695</v>
      </c>
      <c r="F15" s="101">
        <v>5185444</v>
      </c>
    </row>
    <row r="16" spans="1:6" hidden="1" x14ac:dyDescent="0.2">
      <c r="A16" s="102" t="s">
        <v>151</v>
      </c>
      <c r="B16" s="102" t="s">
        <v>4</v>
      </c>
      <c r="C16" s="102" t="s">
        <v>154</v>
      </c>
      <c r="D16" s="103">
        <v>36352.920692018102</v>
      </c>
      <c r="E16" s="103">
        <v>19568.4738407357</v>
      </c>
      <c r="F16" s="103">
        <v>19077.180081116599</v>
      </c>
    </row>
    <row r="17" spans="1:6" hidden="1" x14ac:dyDescent="0.2">
      <c r="A17" s="102" t="s">
        <v>151</v>
      </c>
      <c r="B17" s="102" t="s">
        <v>4</v>
      </c>
      <c r="C17" s="102" t="s">
        <v>155</v>
      </c>
      <c r="D17" s="103">
        <v>10466343.5504237</v>
      </c>
      <c r="E17" s="103">
        <v>5308507.6084904801</v>
      </c>
      <c r="F17" s="103">
        <v>5154064.7177337399</v>
      </c>
    </row>
    <row r="18" spans="1:6" hidden="1" x14ac:dyDescent="0.2">
      <c r="A18" s="102" t="s">
        <v>151</v>
      </c>
      <c r="B18" s="102" t="s">
        <v>4</v>
      </c>
      <c r="C18" s="102" t="s">
        <v>156</v>
      </c>
      <c r="D18" s="103">
        <v>10585934.449576201</v>
      </c>
      <c r="E18" s="103">
        <v>5372882.3915095096</v>
      </c>
      <c r="F18" s="103">
        <v>5216823.2822662601</v>
      </c>
    </row>
    <row r="19" spans="1:6" hidden="1" x14ac:dyDescent="0.2">
      <c r="A19" s="102" t="s">
        <v>151</v>
      </c>
      <c r="B19" s="102" t="s">
        <v>4</v>
      </c>
      <c r="C19" s="102" t="s">
        <v>157</v>
      </c>
      <c r="D19" s="104">
        <v>0.34535854687096001</v>
      </c>
      <c r="E19" s="104">
        <v>0.36640313368832</v>
      </c>
      <c r="F19" s="104">
        <v>0.36789868102165002</v>
      </c>
    </row>
    <row r="20" spans="1:6" hidden="1" x14ac:dyDescent="0.2">
      <c r="A20" s="102" t="s">
        <v>151</v>
      </c>
      <c r="B20" s="102" t="s">
        <v>4</v>
      </c>
      <c r="C20" s="102" t="s">
        <v>158</v>
      </c>
      <c r="D20" s="104">
        <v>1.49248412495031</v>
      </c>
      <c r="E20" s="104">
        <v>1.5614437362162199</v>
      </c>
      <c r="F20" s="104">
        <v>1.55022376038578</v>
      </c>
    </row>
    <row r="21" spans="1:6" hidden="1" x14ac:dyDescent="0.2">
      <c r="A21" s="95" t="s">
        <v>151</v>
      </c>
      <c r="B21" s="95" t="s">
        <v>5</v>
      </c>
      <c r="C21" s="95" t="s">
        <v>153</v>
      </c>
      <c r="D21" s="96">
        <v>10997189</v>
      </c>
      <c r="E21" s="96">
        <v>5581874</v>
      </c>
      <c r="F21" s="96">
        <v>5415315</v>
      </c>
    </row>
    <row r="22" spans="1:6" hidden="1" x14ac:dyDescent="0.2">
      <c r="A22" s="97" t="s">
        <v>151</v>
      </c>
      <c r="B22" s="97" t="s">
        <v>5</v>
      </c>
      <c r="C22" s="97" t="s">
        <v>154</v>
      </c>
      <c r="D22" s="98">
        <v>37866.935157564898</v>
      </c>
      <c r="E22" s="98">
        <v>20189.433418054101</v>
      </c>
      <c r="F22" s="98">
        <v>19964.893193225402</v>
      </c>
    </row>
    <row r="23" spans="1:6" hidden="1" x14ac:dyDescent="0.2">
      <c r="A23" s="97" t="s">
        <v>151</v>
      </c>
      <c r="B23" s="97" t="s">
        <v>5</v>
      </c>
      <c r="C23" s="97" t="s">
        <v>155</v>
      </c>
      <c r="D23" s="98">
        <v>10934903.2092376</v>
      </c>
      <c r="E23" s="98">
        <v>5548665.2171858102</v>
      </c>
      <c r="F23" s="98">
        <v>5382475.5543239499</v>
      </c>
    </row>
    <row r="24" spans="1:6" hidden="1" x14ac:dyDescent="0.2">
      <c r="A24" s="97" t="s">
        <v>151</v>
      </c>
      <c r="B24" s="97" t="s">
        <v>5</v>
      </c>
      <c r="C24" s="97" t="s">
        <v>156</v>
      </c>
      <c r="D24" s="98">
        <v>11059474.7907623</v>
      </c>
      <c r="E24" s="98">
        <v>5615082.7828141795</v>
      </c>
      <c r="F24" s="98">
        <v>5448154.4456760399</v>
      </c>
    </row>
    <row r="25" spans="1:6" hidden="1" x14ac:dyDescent="0.2">
      <c r="A25" s="97" t="s">
        <v>151</v>
      </c>
      <c r="B25" s="97" t="s">
        <v>5</v>
      </c>
      <c r="C25" s="97" t="s">
        <v>157</v>
      </c>
      <c r="D25" s="99">
        <v>0.34433285776542</v>
      </c>
      <c r="E25" s="99">
        <v>0.36169633026567999</v>
      </c>
      <c r="F25" s="99">
        <v>0.36867464207021999</v>
      </c>
    </row>
    <row r="26" spans="1:6" hidden="1" x14ac:dyDescent="0.2">
      <c r="A26" s="97" t="s">
        <v>151</v>
      </c>
      <c r="B26" s="97" t="s">
        <v>5</v>
      </c>
      <c r="C26" s="97" t="s">
        <v>158</v>
      </c>
      <c r="D26" s="99">
        <v>1.49829909235428</v>
      </c>
      <c r="E26" s="99">
        <v>1.53360107988576</v>
      </c>
      <c r="F26" s="99">
        <v>1.58074764615151</v>
      </c>
    </row>
    <row r="27" spans="1:6" hidden="1" x14ac:dyDescent="0.2">
      <c r="A27" s="100" t="s">
        <v>151</v>
      </c>
      <c r="B27" s="100" t="s">
        <v>6</v>
      </c>
      <c r="C27" s="100" t="s">
        <v>153</v>
      </c>
      <c r="D27" s="101">
        <v>11228232</v>
      </c>
      <c r="E27" s="101">
        <v>5676831</v>
      </c>
      <c r="F27" s="101">
        <v>5551401</v>
      </c>
    </row>
    <row r="28" spans="1:6" hidden="1" x14ac:dyDescent="0.2">
      <c r="A28" s="102" t="s">
        <v>151</v>
      </c>
      <c r="B28" s="102" t="s">
        <v>6</v>
      </c>
      <c r="C28" s="102" t="s">
        <v>154</v>
      </c>
      <c r="D28" s="103">
        <v>37997.9652202414</v>
      </c>
      <c r="E28" s="103">
        <v>20697.610027336599</v>
      </c>
      <c r="F28" s="103">
        <v>19999.278950599601</v>
      </c>
    </row>
    <row r="29" spans="1:6" hidden="1" x14ac:dyDescent="0.2">
      <c r="A29" s="102" t="s">
        <v>151</v>
      </c>
      <c r="B29" s="102" t="s">
        <v>6</v>
      </c>
      <c r="C29" s="102" t="s">
        <v>155</v>
      </c>
      <c r="D29" s="103">
        <v>11165730.683184801</v>
      </c>
      <c r="E29" s="103">
        <v>5642786.3380256798</v>
      </c>
      <c r="F29" s="103">
        <v>5518504.9945817897</v>
      </c>
    </row>
    <row r="30" spans="1:6" hidden="1" x14ac:dyDescent="0.2">
      <c r="A30" s="102" t="s">
        <v>151</v>
      </c>
      <c r="B30" s="102" t="s">
        <v>6</v>
      </c>
      <c r="C30" s="102" t="s">
        <v>156</v>
      </c>
      <c r="D30" s="103">
        <v>11290733.316815101</v>
      </c>
      <c r="E30" s="103">
        <v>5710875.6619743099</v>
      </c>
      <c r="F30" s="103">
        <v>5584297.0054182</v>
      </c>
    </row>
    <row r="31" spans="1:6" hidden="1" x14ac:dyDescent="0.2">
      <c r="A31" s="102" t="s">
        <v>151</v>
      </c>
      <c r="B31" s="102" t="s">
        <v>6</v>
      </c>
      <c r="C31" s="102" t="s">
        <v>157</v>
      </c>
      <c r="D31" s="104">
        <v>0.33841450034378001</v>
      </c>
      <c r="E31" s="104">
        <v>0.36459796015306001</v>
      </c>
      <c r="F31" s="104">
        <v>0.36025642807282998</v>
      </c>
    </row>
    <row r="32" spans="1:6" hidden="1" x14ac:dyDescent="0.2">
      <c r="A32" s="102" t="s">
        <v>151</v>
      </c>
      <c r="B32" s="102" t="s">
        <v>6</v>
      </c>
      <c r="C32" s="102" t="s">
        <v>158</v>
      </c>
      <c r="D32" s="104">
        <v>1.47505490542605</v>
      </c>
      <c r="E32" s="104">
        <v>1.5805108329445401</v>
      </c>
      <c r="F32" s="104">
        <v>1.54153165546594</v>
      </c>
    </row>
    <row r="33" spans="1:6" hidden="1" x14ac:dyDescent="0.2">
      <c r="A33" s="95" t="s">
        <v>151</v>
      </c>
      <c r="B33" s="95" t="s">
        <v>7</v>
      </c>
      <c r="C33" s="95" t="s">
        <v>153</v>
      </c>
      <c r="D33" s="96">
        <v>10772297</v>
      </c>
      <c r="E33" s="96">
        <v>5411572</v>
      </c>
      <c r="F33" s="96">
        <v>5360725</v>
      </c>
    </row>
    <row r="34" spans="1:6" hidden="1" x14ac:dyDescent="0.2">
      <c r="A34" s="97" t="s">
        <v>151</v>
      </c>
      <c r="B34" s="97" t="s">
        <v>7</v>
      </c>
      <c r="C34" s="97" t="s">
        <v>154</v>
      </c>
      <c r="D34" s="98">
        <v>36429.3573237007</v>
      </c>
      <c r="E34" s="98">
        <v>19356.9575885103</v>
      </c>
      <c r="F34" s="98">
        <v>19444.1788307059</v>
      </c>
    </row>
    <row r="35" spans="1:6" hidden="1" x14ac:dyDescent="0.2">
      <c r="A35" s="97" t="s">
        <v>151</v>
      </c>
      <c r="B35" s="97" t="s">
        <v>7</v>
      </c>
      <c r="C35" s="97" t="s">
        <v>155</v>
      </c>
      <c r="D35" s="98">
        <v>10712375.822898399</v>
      </c>
      <c r="E35" s="98">
        <v>5379732.52302262</v>
      </c>
      <c r="F35" s="98">
        <v>5328742.0563275004</v>
      </c>
    </row>
    <row r="36" spans="1:6" hidden="1" x14ac:dyDescent="0.2">
      <c r="A36" s="97" t="s">
        <v>151</v>
      </c>
      <c r="B36" s="97" t="s">
        <v>7</v>
      </c>
      <c r="C36" s="97" t="s">
        <v>156</v>
      </c>
      <c r="D36" s="98">
        <v>10832218.1771015</v>
      </c>
      <c r="E36" s="98">
        <v>5443411.4769773697</v>
      </c>
      <c r="F36" s="98">
        <v>5392707.9436724903</v>
      </c>
    </row>
    <row r="37" spans="1:6" hidden="1" x14ac:dyDescent="0.2">
      <c r="A37" s="97" t="s">
        <v>151</v>
      </c>
      <c r="B37" s="97" t="s">
        <v>7</v>
      </c>
      <c r="C37" s="97" t="s">
        <v>157</v>
      </c>
      <c r="D37" s="99">
        <v>0.33817631767579998</v>
      </c>
      <c r="E37" s="99">
        <v>0.35769564903709999</v>
      </c>
      <c r="F37" s="99">
        <v>0.36271546909616997</v>
      </c>
    </row>
    <row r="38" spans="1:6" hidden="1" x14ac:dyDescent="0.2">
      <c r="A38" s="97" t="s">
        <v>151</v>
      </c>
      <c r="B38" s="97" t="s">
        <v>7</v>
      </c>
      <c r="C38" s="97" t="s">
        <v>158</v>
      </c>
      <c r="D38" s="99">
        <v>1.5334375791552799</v>
      </c>
      <c r="E38" s="99">
        <v>1.5841885262711499</v>
      </c>
      <c r="F38" s="99">
        <v>1.6164493760178</v>
      </c>
    </row>
    <row r="39" spans="1:6" hidden="1" x14ac:dyDescent="0.2">
      <c r="A39" s="100" t="s">
        <v>151</v>
      </c>
      <c r="B39" s="100" t="s">
        <v>8</v>
      </c>
      <c r="C39" s="100" t="s">
        <v>153</v>
      </c>
      <c r="D39" s="101">
        <v>10665816</v>
      </c>
      <c r="E39" s="101">
        <v>5235695</v>
      </c>
      <c r="F39" s="101">
        <v>5430121</v>
      </c>
    </row>
    <row r="40" spans="1:6" hidden="1" x14ac:dyDescent="0.2">
      <c r="A40" s="102" t="s">
        <v>151</v>
      </c>
      <c r="B40" s="102" t="s">
        <v>8</v>
      </c>
      <c r="C40" s="102" t="s">
        <v>154</v>
      </c>
      <c r="D40" s="103">
        <v>38116.556170216798</v>
      </c>
      <c r="E40" s="103">
        <v>20208.972918477699</v>
      </c>
      <c r="F40" s="103">
        <v>20208.246065917101</v>
      </c>
    </row>
    <row r="41" spans="1:6" hidden="1" x14ac:dyDescent="0.2">
      <c r="A41" s="102" t="s">
        <v>151</v>
      </c>
      <c r="B41" s="102" t="s">
        <v>8</v>
      </c>
      <c r="C41" s="102" t="s">
        <v>155</v>
      </c>
      <c r="D41" s="103">
        <v>10603119.6177256</v>
      </c>
      <c r="E41" s="103">
        <v>5202454.0774515001</v>
      </c>
      <c r="F41" s="103">
        <v>5396881.2730218899</v>
      </c>
    </row>
    <row r="42" spans="1:6" hidden="1" x14ac:dyDescent="0.2">
      <c r="A42" s="102" t="s">
        <v>151</v>
      </c>
      <c r="B42" s="102" t="s">
        <v>8</v>
      </c>
      <c r="C42" s="102" t="s">
        <v>156</v>
      </c>
      <c r="D42" s="103">
        <v>10728512.3822743</v>
      </c>
      <c r="E42" s="103">
        <v>5268935.9225484896</v>
      </c>
      <c r="F42" s="103">
        <v>5463360.7269780999</v>
      </c>
    </row>
    <row r="43" spans="1:6" hidden="1" x14ac:dyDescent="0.2">
      <c r="A43" s="102" t="s">
        <v>151</v>
      </c>
      <c r="B43" s="102" t="s">
        <v>8</v>
      </c>
      <c r="C43" s="102" t="s">
        <v>157</v>
      </c>
      <c r="D43" s="104">
        <v>0.35737121445012998</v>
      </c>
      <c r="E43" s="104">
        <v>0.38598453344736999</v>
      </c>
      <c r="F43" s="104">
        <v>0.37215093486714002</v>
      </c>
    </row>
    <row r="44" spans="1:6" hidden="1" x14ac:dyDescent="0.2">
      <c r="A44" s="102" t="s">
        <v>151</v>
      </c>
      <c r="B44" s="102" t="s">
        <v>8</v>
      </c>
      <c r="C44" s="102" t="s">
        <v>158</v>
      </c>
      <c r="D44" s="104">
        <v>1.69319964574843</v>
      </c>
      <c r="E44" s="104">
        <v>1.8066622247025099</v>
      </c>
      <c r="F44" s="104">
        <v>1.7160504998953801</v>
      </c>
    </row>
    <row r="45" spans="1:6" hidden="1" x14ac:dyDescent="0.2">
      <c r="A45" s="95" t="s">
        <v>151</v>
      </c>
      <c r="B45" s="95" t="s">
        <v>9</v>
      </c>
      <c r="C45" s="95" t="s">
        <v>153</v>
      </c>
      <c r="D45" s="96">
        <v>9252596</v>
      </c>
      <c r="E45" s="96">
        <v>4422663</v>
      </c>
      <c r="F45" s="96">
        <v>4829933</v>
      </c>
    </row>
    <row r="46" spans="1:6" hidden="1" x14ac:dyDescent="0.2">
      <c r="A46" s="97" t="s">
        <v>151</v>
      </c>
      <c r="B46" s="97" t="s">
        <v>9</v>
      </c>
      <c r="C46" s="97" t="s">
        <v>154</v>
      </c>
      <c r="D46" s="98">
        <v>34427.038093295399</v>
      </c>
      <c r="E46" s="98">
        <v>17693.960128021499</v>
      </c>
      <c r="F46" s="98">
        <v>18636.4825474268</v>
      </c>
    </row>
    <row r="47" spans="1:6" hidden="1" x14ac:dyDescent="0.2">
      <c r="A47" s="97" t="s">
        <v>151</v>
      </c>
      <c r="B47" s="97" t="s">
        <v>9</v>
      </c>
      <c r="C47" s="97" t="s">
        <v>155</v>
      </c>
      <c r="D47" s="98">
        <v>9195968.3568511009</v>
      </c>
      <c r="E47" s="98">
        <v>4393558.9203139897</v>
      </c>
      <c r="F47" s="98">
        <v>4799278.6032904498</v>
      </c>
    </row>
    <row r="48" spans="1:6" hidden="1" x14ac:dyDescent="0.2">
      <c r="A48" s="97" t="s">
        <v>151</v>
      </c>
      <c r="B48" s="97" t="s">
        <v>9</v>
      </c>
      <c r="C48" s="97" t="s">
        <v>156</v>
      </c>
      <c r="D48" s="98">
        <v>9309223.6431488991</v>
      </c>
      <c r="E48" s="98">
        <v>4451767.079686</v>
      </c>
      <c r="F48" s="98">
        <v>4860587.3967095399</v>
      </c>
    </row>
    <row r="49" spans="1:6" hidden="1" x14ac:dyDescent="0.2">
      <c r="A49" s="97" t="s">
        <v>151</v>
      </c>
      <c r="B49" s="97" t="s">
        <v>9</v>
      </c>
      <c r="C49" s="97" t="s">
        <v>157</v>
      </c>
      <c r="D49" s="99">
        <v>0.37207977191801</v>
      </c>
      <c r="E49" s="99">
        <v>0.40007479945954</v>
      </c>
      <c r="F49" s="99">
        <v>0.38585385237075998</v>
      </c>
    </row>
    <row r="50" spans="1:6" hidden="1" x14ac:dyDescent="0.2">
      <c r="A50" s="97" t="s">
        <v>151</v>
      </c>
      <c r="B50" s="97" t="s">
        <v>9</v>
      </c>
      <c r="C50" s="97" t="s">
        <v>158</v>
      </c>
      <c r="D50" s="99">
        <v>1.7928711492873799</v>
      </c>
      <c r="E50" s="99">
        <v>1.8927436229455601</v>
      </c>
      <c r="F50" s="99">
        <v>1.805984956414</v>
      </c>
    </row>
    <row r="51" spans="1:6" hidden="1" x14ac:dyDescent="0.2">
      <c r="A51" s="100" t="s">
        <v>151</v>
      </c>
      <c r="B51" s="100" t="s">
        <v>10</v>
      </c>
      <c r="C51" s="100" t="s">
        <v>153</v>
      </c>
      <c r="D51" s="101">
        <v>8930752</v>
      </c>
      <c r="E51" s="101">
        <v>4233564</v>
      </c>
      <c r="F51" s="101">
        <v>4697188</v>
      </c>
    </row>
    <row r="52" spans="1:6" hidden="1" x14ac:dyDescent="0.2">
      <c r="A52" s="102" t="s">
        <v>151</v>
      </c>
      <c r="B52" s="102" t="s">
        <v>10</v>
      </c>
      <c r="C52" s="102" t="s">
        <v>154</v>
      </c>
      <c r="D52" s="103">
        <v>34593.658226508502</v>
      </c>
      <c r="E52" s="103">
        <v>17409.2223497003</v>
      </c>
      <c r="F52" s="103">
        <v>18944.095872410198</v>
      </c>
    </row>
    <row r="53" spans="1:6" hidden="1" x14ac:dyDescent="0.2">
      <c r="A53" s="102" t="s">
        <v>151</v>
      </c>
      <c r="B53" s="102" t="s">
        <v>10</v>
      </c>
      <c r="C53" s="102" t="s">
        <v>155</v>
      </c>
      <c r="D53" s="103">
        <v>8873850.2901300695</v>
      </c>
      <c r="E53" s="103">
        <v>4204928.2739742203</v>
      </c>
      <c r="F53" s="103">
        <v>4666027.6225683298</v>
      </c>
    </row>
    <row r="54" spans="1:6" hidden="1" x14ac:dyDescent="0.2">
      <c r="A54" s="102" t="s">
        <v>151</v>
      </c>
      <c r="B54" s="102" t="s">
        <v>10</v>
      </c>
      <c r="C54" s="102" t="s">
        <v>156</v>
      </c>
      <c r="D54" s="103">
        <v>8987653.7098699305</v>
      </c>
      <c r="E54" s="103">
        <v>4262199.7260257797</v>
      </c>
      <c r="F54" s="103">
        <v>4728348.37743166</v>
      </c>
    </row>
    <row r="55" spans="1:6" hidden="1" x14ac:dyDescent="0.2">
      <c r="A55" s="102" t="s">
        <v>151</v>
      </c>
      <c r="B55" s="102" t="s">
        <v>10</v>
      </c>
      <c r="C55" s="102" t="s">
        <v>157</v>
      </c>
      <c r="D55" s="104">
        <v>0.38735437090301</v>
      </c>
      <c r="E55" s="104">
        <v>0.41121906624537002</v>
      </c>
      <c r="F55" s="104">
        <v>0.40330716744592998</v>
      </c>
    </row>
    <row r="56" spans="1:6" hidden="1" x14ac:dyDescent="0.2">
      <c r="A56" s="102" t="s">
        <v>151</v>
      </c>
      <c r="B56" s="102" t="s">
        <v>10</v>
      </c>
      <c r="C56" s="102" t="s">
        <v>158</v>
      </c>
      <c r="D56" s="104">
        <v>1.88301803641976</v>
      </c>
      <c r="E56" s="104">
        <v>1.95540380227993</v>
      </c>
      <c r="F56" s="104">
        <v>1.90562190719084</v>
      </c>
    </row>
    <row r="57" spans="1:6" hidden="1" x14ac:dyDescent="0.2">
      <c r="A57" s="95" t="s">
        <v>151</v>
      </c>
      <c r="B57" s="95" t="s">
        <v>11</v>
      </c>
      <c r="C57" s="95" t="s">
        <v>153</v>
      </c>
      <c r="D57" s="96">
        <v>8609437</v>
      </c>
      <c r="E57" s="96">
        <v>4063748</v>
      </c>
      <c r="F57" s="96">
        <v>4545689</v>
      </c>
    </row>
    <row r="58" spans="1:6" hidden="1" x14ac:dyDescent="0.2">
      <c r="A58" s="97" t="s">
        <v>151</v>
      </c>
      <c r="B58" s="97" t="s">
        <v>11</v>
      </c>
      <c r="C58" s="97" t="s">
        <v>154</v>
      </c>
      <c r="D58" s="98">
        <v>33066.254015216997</v>
      </c>
      <c r="E58" s="98">
        <v>16633.841483188498</v>
      </c>
      <c r="F58" s="98">
        <v>18163.0537790376</v>
      </c>
    </row>
    <row r="59" spans="1:6" hidden="1" x14ac:dyDescent="0.2">
      <c r="A59" s="97" t="s">
        <v>151</v>
      </c>
      <c r="B59" s="97" t="s">
        <v>11</v>
      </c>
      <c r="C59" s="97" t="s">
        <v>155</v>
      </c>
      <c r="D59" s="98">
        <v>8555047.6555675697</v>
      </c>
      <c r="E59" s="98">
        <v>4036387.6666145702</v>
      </c>
      <c r="F59" s="98">
        <v>4515813.3271318702</v>
      </c>
    </row>
    <row r="60" spans="1:6" hidden="1" x14ac:dyDescent="0.2">
      <c r="A60" s="97" t="s">
        <v>151</v>
      </c>
      <c r="B60" s="97" t="s">
        <v>11</v>
      </c>
      <c r="C60" s="97" t="s">
        <v>156</v>
      </c>
      <c r="D60" s="98">
        <v>8663826.3444324303</v>
      </c>
      <c r="E60" s="98">
        <v>4091108.33338542</v>
      </c>
      <c r="F60" s="98">
        <v>4575564.6728681196</v>
      </c>
    </row>
    <row r="61" spans="1:6" hidden="1" x14ac:dyDescent="0.2">
      <c r="A61" s="97" t="s">
        <v>151</v>
      </c>
      <c r="B61" s="97" t="s">
        <v>11</v>
      </c>
      <c r="C61" s="97" t="s">
        <v>157</v>
      </c>
      <c r="D61" s="99">
        <v>0.38406987605829002</v>
      </c>
      <c r="E61" s="99">
        <v>0.40932266181831001</v>
      </c>
      <c r="F61" s="99">
        <v>0.39956657349496</v>
      </c>
    </row>
    <row r="62" spans="1:6" hidden="1" x14ac:dyDescent="0.2">
      <c r="A62" s="97" t="s">
        <v>151</v>
      </c>
      <c r="B62" s="97" t="s">
        <v>11</v>
      </c>
      <c r="C62" s="97" t="s">
        <v>158</v>
      </c>
      <c r="D62" s="99">
        <v>1.8597245815790799</v>
      </c>
      <c r="E62" s="99">
        <v>1.9507562497487301</v>
      </c>
      <c r="F62" s="99">
        <v>1.87117118864195</v>
      </c>
    </row>
    <row r="63" spans="1:6" hidden="1" x14ac:dyDescent="0.2">
      <c r="A63" s="100" t="s">
        <v>151</v>
      </c>
      <c r="B63" s="100" t="s">
        <v>12</v>
      </c>
      <c r="C63" s="100" t="s">
        <v>153</v>
      </c>
      <c r="D63" s="101">
        <v>8208994</v>
      </c>
      <c r="E63" s="101">
        <v>3908051</v>
      </c>
      <c r="F63" s="101">
        <v>4300943</v>
      </c>
    </row>
    <row r="64" spans="1:6" hidden="1" x14ac:dyDescent="0.2">
      <c r="A64" s="102" t="s">
        <v>151</v>
      </c>
      <c r="B64" s="102" t="s">
        <v>12</v>
      </c>
      <c r="C64" s="102" t="s">
        <v>154</v>
      </c>
      <c r="D64" s="103">
        <v>32379.3927797369</v>
      </c>
      <c r="E64" s="103">
        <v>16252.650919936899</v>
      </c>
      <c r="F64" s="103">
        <v>17783.125360812399</v>
      </c>
    </row>
    <row r="65" spans="1:6" hidden="1" x14ac:dyDescent="0.2">
      <c r="A65" s="102" t="s">
        <v>151</v>
      </c>
      <c r="B65" s="102" t="s">
        <v>12</v>
      </c>
      <c r="C65" s="102" t="s">
        <v>155</v>
      </c>
      <c r="D65" s="103">
        <v>8155734.4458454903</v>
      </c>
      <c r="E65" s="103">
        <v>3881317.6715613501</v>
      </c>
      <c r="F65" s="103">
        <v>4271692.2560273297</v>
      </c>
    </row>
    <row r="66" spans="1:6" hidden="1" x14ac:dyDescent="0.2">
      <c r="A66" s="102" t="s">
        <v>151</v>
      </c>
      <c r="B66" s="102" t="s">
        <v>12</v>
      </c>
      <c r="C66" s="102" t="s">
        <v>156</v>
      </c>
      <c r="D66" s="103">
        <v>8262253.5541545004</v>
      </c>
      <c r="E66" s="103">
        <v>3934784.3284386401</v>
      </c>
      <c r="F66" s="103">
        <v>4330193.74397266</v>
      </c>
    </row>
    <row r="67" spans="1:6" hidden="1" x14ac:dyDescent="0.2">
      <c r="A67" s="102" t="s">
        <v>151</v>
      </c>
      <c r="B67" s="102" t="s">
        <v>12</v>
      </c>
      <c r="C67" s="102" t="s">
        <v>157</v>
      </c>
      <c r="D67" s="104">
        <v>0.39443801249868998</v>
      </c>
      <c r="E67" s="104">
        <v>0.41587612136937002</v>
      </c>
      <c r="F67" s="104">
        <v>0.41347037988674001</v>
      </c>
    </row>
    <row r="68" spans="1:6" hidden="1" x14ac:dyDescent="0.2">
      <c r="A68" s="102" t="s">
        <v>151</v>
      </c>
      <c r="B68" s="102" t="s">
        <v>12</v>
      </c>
      <c r="C68" s="102" t="s">
        <v>158</v>
      </c>
      <c r="D68" s="104">
        <v>1.93826306927869</v>
      </c>
      <c r="E68" s="104">
        <v>1.9819566062287399</v>
      </c>
      <c r="F68" s="104">
        <v>1.9819257852779399</v>
      </c>
    </row>
    <row r="69" spans="1:6" hidden="1" x14ac:dyDescent="0.2">
      <c r="A69" s="95" t="s">
        <v>151</v>
      </c>
      <c r="B69" s="95" t="s">
        <v>13</v>
      </c>
      <c r="C69" s="95" t="s">
        <v>153</v>
      </c>
      <c r="D69" s="96">
        <v>6814143</v>
      </c>
      <c r="E69" s="96">
        <v>3213389</v>
      </c>
      <c r="F69" s="96">
        <v>3600754</v>
      </c>
    </row>
    <row r="70" spans="1:6" hidden="1" x14ac:dyDescent="0.2">
      <c r="A70" s="97" t="s">
        <v>151</v>
      </c>
      <c r="B70" s="97" t="s">
        <v>13</v>
      </c>
      <c r="C70" s="97" t="s">
        <v>154</v>
      </c>
      <c r="D70" s="98">
        <v>26265.607728806299</v>
      </c>
      <c r="E70" s="98">
        <v>13354.547803047601</v>
      </c>
      <c r="F70" s="98">
        <v>14657.6864591668</v>
      </c>
    </row>
    <row r="71" spans="1:6" hidden="1" x14ac:dyDescent="0.2">
      <c r="A71" s="97" t="s">
        <v>151</v>
      </c>
      <c r="B71" s="97" t="s">
        <v>13</v>
      </c>
      <c r="C71" s="97" t="s">
        <v>155</v>
      </c>
      <c r="D71" s="98">
        <v>6770939.7637086501</v>
      </c>
      <c r="E71" s="98">
        <v>3191422.6442142702</v>
      </c>
      <c r="F71" s="98">
        <v>3576644.1641219002</v>
      </c>
    </row>
    <row r="72" spans="1:6" hidden="1" x14ac:dyDescent="0.2">
      <c r="A72" s="97" t="s">
        <v>151</v>
      </c>
      <c r="B72" s="97" t="s">
        <v>13</v>
      </c>
      <c r="C72" s="97" t="s">
        <v>156</v>
      </c>
      <c r="D72" s="98">
        <v>6857346.2362913396</v>
      </c>
      <c r="E72" s="98">
        <v>3235355.3557857201</v>
      </c>
      <c r="F72" s="98">
        <v>3624863.83587809</v>
      </c>
    </row>
    <row r="73" spans="1:6" hidden="1" x14ac:dyDescent="0.2">
      <c r="A73" s="97" t="s">
        <v>151</v>
      </c>
      <c r="B73" s="97" t="s">
        <v>13</v>
      </c>
      <c r="C73" s="97" t="s">
        <v>157</v>
      </c>
      <c r="D73" s="99">
        <v>0.38545724280817001</v>
      </c>
      <c r="E73" s="99">
        <v>0.41559076112625998</v>
      </c>
      <c r="F73" s="99">
        <v>0.40707269808398</v>
      </c>
    </row>
    <row r="74" spans="1:6" hidden="1" x14ac:dyDescent="0.2">
      <c r="A74" s="97" t="s">
        <v>151</v>
      </c>
      <c r="B74" s="97" t="s">
        <v>13</v>
      </c>
      <c r="C74" s="97" t="s">
        <v>158</v>
      </c>
      <c r="D74" s="99">
        <v>1.90086419651014</v>
      </c>
      <c r="E74" s="99">
        <v>2.0010237332693199</v>
      </c>
      <c r="F74" s="99">
        <v>1.9480680615101</v>
      </c>
    </row>
    <row r="75" spans="1:6" hidden="1" x14ac:dyDescent="0.2">
      <c r="A75" s="100" t="s">
        <v>151</v>
      </c>
      <c r="B75" s="100" t="s">
        <v>14</v>
      </c>
      <c r="C75" s="100" t="s">
        <v>153</v>
      </c>
      <c r="D75" s="101">
        <v>6155306</v>
      </c>
      <c r="E75" s="101">
        <v>2898347</v>
      </c>
      <c r="F75" s="101">
        <v>3256959</v>
      </c>
    </row>
    <row r="76" spans="1:6" hidden="1" x14ac:dyDescent="0.2">
      <c r="A76" s="102" t="s">
        <v>151</v>
      </c>
      <c r="B76" s="102" t="s">
        <v>14</v>
      </c>
      <c r="C76" s="102" t="s">
        <v>154</v>
      </c>
      <c r="D76" s="103">
        <v>23626.872550551401</v>
      </c>
      <c r="E76" s="103">
        <v>12042.911874855299</v>
      </c>
      <c r="F76" s="103">
        <v>13339.707158793201</v>
      </c>
    </row>
    <row r="77" spans="1:6" hidden="1" x14ac:dyDescent="0.2">
      <c r="A77" s="102" t="s">
        <v>151</v>
      </c>
      <c r="B77" s="102" t="s">
        <v>14</v>
      </c>
      <c r="C77" s="102" t="s">
        <v>155</v>
      </c>
      <c r="D77" s="103">
        <v>6116443.1125250002</v>
      </c>
      <c r="E77" s="103">
        <v>2878538.10112595</v>
      </c>
      <c r="F77" s="103">
        <v>3235017.0549900299</v>
      </c>
    </row>
    <row r="78" spans="1:6" hidden="1" x14ac:dyDescent="0.2">
      <c r="A78" s="102" t="s">
        <v>151</v>
      </c>
      <c r="B78" s="102" t="s">
        <v>14</v>
      </c>
      <c r="C78" s="102" t="s">
        <v>156</v>
      </c>
      <c r="D78" s="103">
        <v>6194168.8874749904</v>
      </c>
      <c r="E78" s="103">
        <v>2918155.8988740402</v>
      </c>
      <c r="F78" s="103">
        <v>3278900.9450099599</v>
      </c>
    </row>
    <row r="79" spans="1:6" hidden="1" x14ac:dyDescent="0.2">
      <c r="A79" s="102" t="s">
        <v>151</v>
      </c>
      <c r="B79" s="102" t="s">
        <v>14</v>
      </c>
      <c r="C79" s="102" t="s">
        <v>157</v>
      </c>
      <c r="D79" s="104">
        <v>0.38384562116896997</v>
      </c>
      <c r="E79" s="104">
        <v>0.41550966377922</v>
      </c>
      <c r="F79" s="104">
        <v>0.40957553223093002</v>
      </c>
    </row>
    <row r="80" spans="1:6" hidden="1" x14ac:dyDescent="0.2">
      <c r="A80" s="102" t="s">
        <v>151</v>
      </c>
      <c r="B80" s="102" t="s">
        <v>14</v>
      </c>
      <c r="C80" s="102" t="s">
        <v>158</v>
      </c>
      <c r="D80" s="104">
        <v>1.86622297975618</v>
      </c>
      <c r="E80" s="104">
        <v>1.97268737111242</v>
      </c>
      <c r="F80" s="104">
        <v>1.93701048221673</v>
      </c>
    </row>
    <row r="81" spans="1:6" hidden="1" x14ac:dyDescent="0.2">
      <c r="A81" s="95" t="s">
        <v>151</v>
      </c>
      <c r="B81" s="95" t="s">
        <v>15</v>
      </c>
      <c r="C81" s="95" t="s">
        <v>153</v>
      </c>
      <c r="D81" s="96">
        <v>4846762</v>
      </c>
      <c r="E81" s="96">
        <v>2277011</v>
      </c>
      <c r="F81" s="96">
        <v>2569751</v>
      </c>
    </row>
    <row r="82" spans="1:6" hidden="1" x14ac:dyDescent="0.2">
      <c r="A82" s="97" t="s">
        <v>151</v>
      </c>
      <c r="B82" s="97" t="s">
        <v>15</v>
      </c>
      <c r="C82" s="97" t="s">
        <v>154</v>
      </c>
      <c r="D82" s="98">
        <v>19034.404416535999</v>
      </c>
      <c r="E82" s="98">
        <v>9734.0415224984899</v>
      </c>
      <c r="F82" s="98">
        <v>10998.681067285101</v>
      </c>
    </row>
    <row r="83" spans="1:6" hidden="1" x14ac:dyDescent="0.2">
      <c r="A83" s="97" t="s">
        <v>151</v>
      </c>
      <c r="B83" s="97" t="s">
        <v>15</v>
      </c>
      <c r="C83" s="97" t="s">
        <v>155</v>
      </c>
      <c r="D83" s="98">
        <v>4815453.0776950801</v>
      </c>
      <c r="E83" s="98">
        <v>2260999.8686258998</v>
      </c>
      <c r="F83" s="98">
        <v>2551659.7141653299</v>
      </c>
    </row>
    <row r="84" spans="1:6" hidden="1" x14ac:dyDescent="0.2">
      <c r="A84" s="97" t="s">
        <v>151</v>
      </c>
      <c r="B84" s="97" t="s">
        <v>15</v>
      </c>
      <c r="C84" s="97" t="s">
        <v>156</v>
      </c>
      <c r="D84" s="98">
        <v>4878070.9223049097</v>
      </c>
      <c r="E84" s="98">
        <v>2293022.13137409</v>
      </c>
      <c r="F84" s="98">
        <v>2587842.2858346598</v>
      </c>
    </row>
    <row r="85" spans="1:6" hidden="1" x14ac:dyDescent="0.2">
      <c r="A85" s="97" t="s">
        <v>151</v>
      </c>
      <c r="B85" s="97" t="s">
        <v>15</v>
      </c>
      <c r="C85" s="97" t="s">
        <v>157</v>
      </c>
      <c r="D85" s="99">
        <v>0.39272414070540002</v>
      </c>
      <c r="E85" s="99">
        <v>0.42749207283136997</v>
      </c>
      <c r="F85" s="99">
        <v>0.42800571212094002</v>
      </c>
    </row>
    <row r="86" spans="1:6" hidden="1" x14ac:dyDescent="0.2">
      <c r="A86" s="97" t="s">
        <v>151</v>
      </c>
      <c r="B86" s="97" t="s">
        <v>15</v>
      </c>
      <c r="C86" s="97" t="s">
        <v>158</v>
      </c>
      <c r="D86" s="99">
        <v>1.9031818099015601</v>
      </c>
      <c r="E86" s="99">
        <v>1.99734123769634</v>
      </c>
      <c r="F86" s="99">
        <v>2.0206237029556799</v>
      </c>
    </row>
    <row r="87" spans="1:6" hidden="1" x14ac:dyDescent="0.2">
      <c r="A87" s="100" t="s">
        <v>151</v>
      </c>
      <c r="B87" s="100" t="s">
        <v>16</v>
      </c>
      <c r="C87" s="100" t="s">
        <v>153</v>
      </c>
      <c r="D87" s="101">
        <v>3889755</v>
      </c>
      <c r="E87" s="101">
        <v>1824754</v>
      </c>
      <c r="F87" s="101">
        <v>2065001</v>
      </c>
    </row>
    <row r="88" spans="1:6" hidden="1" x14ac:dyDescent="0.2">
      <c r="A88" s="102" t="s">
        <v>151</v>
      </c>
      <c r="B88" s="102" t="s">
        <v>16</v>
      </c>
      <c r="C88" s="102" t="s">
        <v>154</v>
      </c>
      <c r="D88" s="103">
        <v>16089.523710748899</v>
      </c>
      <c r="E88" s="103">
        <v>8242.7880087508092</v>
      </c>
      <c r="F88" s="103">
        <v>9525.6125866138209</v>
      </c>
    </row>
    <row r="89" spans="1:6" hidden="1" x14ac:dyDescent="0.2">
      <c r="A89" s="102" t="s">
        <v>151</v>
      </c>
      <c r="B89" s="102" t="s">
        <v>16</v>
      </c>
      <c r="C89" s="102" t="s">
        <v>155</v>
      </c>
      <c r="D89" s="103">
        <v>3863289.9929128601</v>
      </c>
      <c r="E89" s="103">
        <v>1811195.7712425101</v>
      </c>
      <c r="F89" s="103">
        <v>2049332.70495621</v>
      </c>
    </row>
    <row r="90" spans="1:6" hidden="1" x14ac:dyDescent="0.2">
      <c r="A90" s="102" t="s">
        <v>151</v>
      </c>
      <c r="B90" s="102" t="s">
        <v>16</v>
      </c>
      <c r="C90" s="102" t="s">
        <v>156</v>
      </c>
      <c r="D90" s="103">
        <v>3916220.0070871301</v>
      </c>
      <c r="E90" s="103">
        <v>1838312.2287574799</v>
      </c>
      <c r="F90" s="103">
        <v>2080669.29504378</v>
      </c>
    </row>
    <row r="91" spans="1:6" hidden="1" x14ac:dyDescent="0.2">
      <c r="A91" s="102" t="s">
        <v>151</v>
      </c>
      <c r="B91" s="102" t="s">
        <v>16</v>
      </c>
      <c r="C91" s="102" t="s">
        <v>157</v>
      </c>
      <c r="D91" s="104">
        <v>0.41363848650489998</v>
      </c>
      <c r="E91" s="104">
        <v>0.45172050636693001</v>
      </c>
      <c r="F91" s="104">
        <v>0.46128852173019003</v>
      </c>
    </row>
    <row r="92" spans="1:6" hidden="1" x14ac:dyDescent="0.2">
      <c r="A92" s="102" t="s">
        <v>151</v>
      </c>
      <c r="B92" s="102" t="s">
        <v>16</v>
      </c>
      <c r="C92" s="102" t="s">
        <v>158</v>
      </c>
      <c r="D92" s="104">
        <v>1.98947579583916</v>
      </c>
      <c r="E92" s="104">
        <v>2.0813719544229801</v>
      </c>
      <c r="F92" s="104">
        <v>2.1510734396736901</v>
      </c>
    </row>
    <row r="93" spans="1:6" hidden="1" x14ac:dyDescent="0.2">
      <c r="A93" s="95" t="s">
        <v>151</v>
      </c>
      <c r="B93" s="95" t="s">
        <v>17</v>
      </c>
      <c r="C93" s="95" t="s">
        <v>153</v>
      </c>
      <c r="D93" s="96">
        <v>2987316</v>
      </c>
      <c r="E93" s="96">
        <v>1395947</v>
      </c>
      <c r="F93" s="96">
        <v>1591369</v>
      </c>
    </row>
    <row r="94" spans="1:6" hidden="1" x14ac:dyDescent="0.2">
      <c r="A94" s="97" t="s">
        <v>151</v>
      </c>
      <c r="B94" s="97" t="s">
        <v>17</v>
      </c>
      <c r="C94" s="97" t="s">
        <v>154</v>
      </c>
      <c r="D94" s="98">
        <v>12544.4155500819</v>
      </c>
      <c r="E94" s="98">
        <v>6618.6983383793204</v>
      </c>
      <c r="F94" s="98">
        <v>7565.1932753314404</v>
      </c>
    </row>
    <row r="95" spans="1:6" hidden="1" x14ac:dyDescent="0.2">
      <c r="A95" s="97" t="s">
        <v>151</v>
      </c>
      <c r="B95" s="97" t="s">
        <v>17</v>
      </c>
      <c r="C95" s="97" t="s">
        <v>155</v>
      </c>
      <c r="D95" s="98">
        <v>2966682.19800528</v>
      </c>
      <c r="E95" s="98">
        <v>1385060.1706828701</v>
      </c>
      <c r="F95" s="98">
        <v>1578925.3194258199</v>
      </c>
    </row>
    <row r="96" spans="1:6" hidden="1" x14ac:dyDescent="0.2">
      <c r="A96" s="97" t="s">
        <v>151</v>
      </c>
      <c r="B96" s="97" t="s">
        <v>17</v>
      </c>
      <c r="C96" s="97" t="s">
        <v>156</v>
      </c>
      <c r="D96" s="98">
        <v>3007949.8019947102</v>
      </c>
      <c r="E96" s="98">
        <v>1406833.8293171199</v>
      </c>
      <c r="F96" s="98">
        <v>1603812.6805741701</v>
      </c>
    </row>
    <row r="97" spans="1:6" hidden="1" x14ac:dyDescent="0.2">
      <c r="A97" s="97" t="s">
        <v>151</v>
      </c>
      <c r="B97" s="97" t="s">
        <v>17</v>
      </c>
      <c r="C97" s="97" t="s">
        <v>157</v>
      </c>
      <c r="D97" s="99">
        <v>0.41992261783092</v>
      </c>
      <c r="E97" s="99">
        <v>0.47413679304294998</v>
      </c>
      <c r="F97" s="99">
        <v>0.47538900627896002</v>
      </c>
    </row>
    <row r="98" spans="1:6" hidden="1" x14ac:dyDescent="0.2">
      <c r="A98" s="97" t="s">
        <v>151</v>
      </c>
      <c r="B98" s="97" t="s">
        <v>17</v>
      </c>
      <c r="C98" s="97" t="s">
        <v>158</v>
      </c>
      <c r="D98" s="99">
        <v>1.9531464611539699</v>
      </c>
      <c r="E98" s="99">
        <v>2.1115528811361202</v>
      </c>
      <c r="F98" s="99">
        <v>2.1286505983594699</v>
      </c>
    </row>
    <row r="99" spans="1:6" hidden="1" x14ac:dyDescent="0.2">
      <c r="A99" s="100" t="s">
        <v>151</v>
      </c>
      <c r="B99" s="100" t="s">
        <v>18</v>
      </c>
      <c r="C99" s="100" t="s">
        <v>153</v>
      </c>
      <c r="D99" s="101">
        <v>2207466</v>
      </c>
      <c r="E99" s="101">
        <v>1026937</v>
      </c>
      <c r="F99" s="101">
        <v>1180529</v>
      </c>
    </row>
    <row r="100" spans="1:6" hidden="1" x14ac:dyDescent="0.2">
      <c r="A100" s="102" t="s">
        <v>151</v>
      </c>
      <c r="B100" s="102" t="s">
        <v>18</v>
      </c>
      <c r="C100" s="102" t="s">
        <v>154</v>
      </c>
      <c r="D100" s="103">
        <v>9961.4676256557195</v>
      </c>
      <c r="E100" s="103">
        <v>5298.3604104672504</v>
      </c>
      <c r="F100" s="103">
        <v>6101.8842347898399</v>
      </c>
    </row>
    <row r="101" spans="1:6" hidden="1" x14ac:dyDescent="0.2">
      <c r="A101" s="102" t="s">
        <v>151</v>
      </c>
      <c r="B101" s="102" t="s">
        <v>18</v>
      </c>
      <c r="C101" s="102" t="s">
        <v>155</v>
      </c>
      <c r="D101" s="103">
        <v>2191080.7846231698</v>
      </c>
      <c r="E101" s="103">
        <v>1018221.94116208</v>
      </c>
      <c r="F101" s="103">
        <v>1170492.25730818</v>
      </c>
    </row>
    <row r="102" spans="1:6" hidden="1" x14ac:dyDescent="0.2">
      <c r="A102" s="102" t="s">
        <v>151</v>
      </c>
      <c r="B102" s="102" t="s">
        <v>18</v>
      </c>
      <c r="C102" s="102" t="s">
        <v>156</v>
      </c>
      <c r="D102" s="103">
        <v>2223851.2153768302</v>
      </c>
      <c r="E102" s="103">
        <v>1035652.0588379099</v>
      </c>
      <c r="F102" s="103">
        <v>1190565.74269181</v>
      </c>
    </row>
    <row r="103" spans="1:6" hidden="1" x14ac:dyDescent="0.2">
      <c r="A103" s="102" t="s">
        <v>151</v>
      </c>
      <c r="B103" s="102" t="s">
        <v>18</v>
      </c>
      <c r="C103" s="102" t="s">
        <v>157</v>
      </c>
      <c r="D103" s="104">
        <v>0.45126256194457998</v>
      </c>
      <c r="E103" s="104">
        <v>0.51593821339255996</v>
      </c>
      <c r="F103" s="104">
        <v>0.51687711481800003</v>
      </c>
    </row>
    <row r="104" spans="1:6" hidden="1" x14ac:dyDescent="0.2">
      <c r="A104" s="102" t="s">
        <v>151</v>
      </c>
      <c r="B104" s="102" t="s">
        <v>18</v>
      </c>
      <c r="C104" s="102" t="s">
        <v>158</v>
      </c>
      <c r="D104" s="104">
        <v>2.0512352347419198</v>
      </c>
      <c r="E104" s="104">
        <v>2.1828416651303799</v>
      </c>
      <c r="F104" s="104">
        <v>2.2355074862834501</v>
      </c>
    </row>
    <row r="105" spans="1:6" hidden="1" x14ac:dyDescent="0.2">
      <c r="A105" s="95" t="s">
        <v>151</v>
      </c>
      <c r="B105" s="95" t="s">
        <v>19</v>
      </c>
      <c r="C105" s="95" t="s">
        <v>153</v>
      </c>
      <c r="D105" s="96">
        <v>3351784</v>
      </c>
      <c r="E105" s="96">
        <v>1502661</v>
      </c>
      <c r="F105" s="96">
        <v>1849123</v>
      </c>
    </row>
    <row r="106" spans="1:6" hidden="1" x14ac:dyDescent="0.2">
      <c r="A106" s="97" t="s">
        <v>151</v>
      </c>
      <c r="B106" s="97" t="s">
        <v>19</v>
      </c>
      <c r="C106" s="97" t="s">
        <v>154</v>
      </c>
      <c r="D106" s="98">
        <v>13638.760927751</v>
      </c>
      <c r="E106" s="98">
        <v>6657.7155675634203</v>
      </c>
      <c r="F106" s="98">
        <v>8529.7586216198706</v>
      </c>
    </row>
    <row r="107" spans="1:6" hidden="1" x14ac:dyDescent="0.2">
      <c r="A107" s="97" t="s">
        <v>151</v>
      </c>
      <c r="B107" s="97" t="s">
        <v>19</v>
      </c>
      <c r="C107" s="97" t="s">
        <v>155</v>
      </c>
      <c r="D107" s="98">
        <v>3329350.15353557</v>
      </c>
      <c r="E107" s="98">
        <v>1491709.99281996</v>
      </c>
      <c r="F107" s="98">
        <v>1835092.7448829999</v>
      </c>
    </row>
    <row r="108" spans="1:6" hidden="1" x14ac:dyDescent="0.2">
      <c r="A108" s="97" t="s">
        <v>151</v>
      </c>
      <c r="B108" s="97" t="s">
        <v>19</v>
      </c>
      <c r="C108" s="97" t="s">
        <v>156</v>
      </c>
      <c r="D108" s="98">
        <v>3374217.8464644202</v>
      </c>
      <c r="E108" s="98">
        <v>1513612.00718003</v>
      </c>
      <c r="F108" s="98">
        <v>1863153.2551169901</v>
      </c>
    </row>
    <row r="109" spans="1:6" hidden="1" x14ac:dyDescent="0.2">
      <c r="A109" s="97" t="s">
        <v>151</v>
      </c>
      <c r="B109" s="97" t="s">
        <v>19</v>
      </c>
      <c r="C109" s="97" t="s">
        <v>157</v>
      </c>
      <c r="D109" s="99">
        <v>0.40691049685036002</v>
      </c>
      <c r="E109" s="99">
        <v>0.44306171302531999</v>
      </c>
      <c r="F109" s="99">
        <v>0.46128670843528002</v>
      </c>
    </row>
    <row r="110" spans="1:6" hidden="1" x14ac:dyDescent="0.2">
      <c r="A110" s="97" t="s">
        <v>151</v>
      </c>
      <c r="B110" s="97" t="s">
        <v>19</v>
      </c>
      <c r="C110" s="97" t="s">
        <v>158</v>
      </c>
      <c r="D110" s="99">
        <v>1.7530827122093799</v>
      </c>
      <c r="E110" s="99">
        <v>1.8101247648972201</v>
      </c>
      <c r="F110" s="99">
        <v>1.93987061118131</v>
      </c>
    </row>
    <row r="111" spans="1:6" hidden="1" x14ac:dyDescent="0.2">
      <c r="A111" s="100" t="s">
        <v>151</v>
      </c>
      <c r="B111" s="100" t="s">
        <v>20</v>
      </c>
      <c r="C111" s="100" t="s">
        <v>153</v>
      </c>
      <c r="D111" s="101">
        <v>86769</v>
      </c>
      <c r="E111" s="101">
        <v>42394</v>
      </c>
      <c r="F111" s="101">
        <v>44375</v>
      </c>
    </row>
    <row r="112" spans="1:6" hidden="1" x14ac:dyDescent="0.2">
      <c r="A112" s="102" t="s">
        <v>151</v>
      </c>
      <c r="B112" s="102" t="s">
        <v>20</v>
      </c>
      <c r="C112" s="102" t="s">
        <v>154</v>
      </c>
      <c r="D112" s="103">
        <v>3520.9317837116801</v>
      </c>
      <c r="E112" s="103">
        <v>1807.0203579009101</v>
      </c>
      <c r="F112" s="103">
        <v>1891.1295821768001</v>
      </c>
    </row>
    <row r="113" spans="1:6" hidden="1" x14ac:dyDescent="0.2">
      <c r="A113" s="102" t="s">
        <v>151</v>
      </c>
      <c r="B113" s="102" t="s">
        <v>20</v>
      </c>
      <c r="C113" s="102" t="s">
        <v>155</v>
      </c>
      <c r="D113" s="103">
        <v>80977.561652636607</v>
      </c>
      <c r="E113" s="103">
        <v>39421.705267217199</v>
      </c>
      <c r="F113" s="103">
        <v>41264.357404560003</v>
      </c>
    </row>
    <row r="114" spans="1:6" hidden="1" x14ac:dyDescent="0.2">
      <c r="A114" s="102" t="s">
        <v>151</v>
      </c>
      <c r="B114" s="102" t="s">
        <v>20</v>
      </c>
      <c r="C114" s="102" t="s">
        <v>156</v>
      </c>
      <c r="D114" s="103">
        <v>92560.438347363306</v>
      </c>
      <c r="E114" s="103">
        <v>45366.294732782699</v>
      </c>
      <c r="F114" s="103">
        <v>47485.642595439902</v>
      </c>
    </row>
    <row r="115" spans="1:6" hidden="1" x14ac:dyDescent="0.2">
      <c r="A115" s="102" t="s">
        <v>151</v>
      </c>
      <c r="B115" s="102" t="s">
        <v>20</v>
      </c>
      <c r="C115" s="102" t="s">
        <v>157</v>
      </c>
      <c r="D115" s="104">
        <v>4.0578222449396497</v>
      </c>
      <c r="E115" s="104">
        <v>4.2624436427346097</v>
      </c>
      <c r="F115" s="104">
        <v>4.2617004668773104</v>
      </c>
    </row>
    <row r="116" spans="1:6" hidden="1" x14ac:dyDescent="0.2">
      <c r="A116" s="102" t="s">
        <v>151</v>
      </c>
      <c r="B116" s="102" t="s">
        <v>20</v>
      </c>
      <c r="C116" s="102" t="s">
        <v>158</v>
      </c>
      <c r="D116" s="104">
        <v>2.5495654263530998</v>
      </c>
      <c r="E116" s="104">
        <v>2.5883913519707402</v>
      </c>
      <c r="F116" s="104">
        <v>2.5938729372062301</v>
      </c>
    </row>
    <row r="117" spans="1:6" hidden="1" x14ac:dyDescent="0.2">
      <c r="A117" s="95" t="s">
        <v>159</v>
      </c>
      <c r="B117" s="95" t="s">
        <v>152</v>
      </c>
      <c r="C117" s="95" t="s">
        <v>153</v>
      </c>
      <c r="D117" s="96">
        <v>1312544</v>
      </c>
      <c r="E117" s="96">
        <v>640091</v>
      </c>
      <c r="F117" s="96">
        <v>672453</v>
      </c>
    </row>
    <row r="118" spans="1:6" hidden="1" x14ac:dyDescent="0.2">
      <c r="A118" s="97" t="s">
        <v>159</v>
      </c>
      <c r="B118" s="97" t="s">
        <v>152</v>
      </c>
      <c r="C118" s="97" t="s">
        <v>154</v>
      </c>
      <c r="D118" s="98">
        <v>28331.5804193408</v>
      </c>
      <c r="E118" s="98">
        <v>14014.065296824599</v>
      </c>
      <c r="F118" s="98">
        <v>14595.3582392873</v>
      </c>
    </row>
    <row r="119" spans="1:6" hidden="1" x14ac:dyDescent="0.2">
      <c r="A119" s="97" t="s">
        <v>159</v>
      </c>
      <c r="B119" s="97" t="s">
        <v>152</v>
      </c>
      <c r="C119" s="97" t="s">
        <v>155</v>
      </c>
      <c r="D119" s="98">
        <v>1265917.8158678799</v>
      </c>
      <c r="E119" s="98">
        <v>617027.60645478405</v>
      </c>
      <c r="F119" s="98">
        <v>648432.954147754</v>
      </c>
    </row>
    <row r="120" spans="1:6" hidden="1" x14ac:dyDescent="0.2">
      <c r="A120" s="97" t="s">
        <v>159</v>
      </c>
      <c r="B120" s="97" t="s">
        <v>152</v>
      </c>
      <c r="C120" s="97" t="s">
        <v>156</v>
      </c>
      <c r="D120" s="98">
        <v>1359170.1841321101</v>
      </c>
      <c r="E120" s="98">
        <v>663154.39354521502</v>
      </c>
      <c r="F120" s="98">
        <v>696473.04585224495</v>
      </c>
    </row>
    <row r="121" spans="1:6" hidden="1" x14ac:dyDescent="0.2">
      <c r="A121" s="97" t="s">
        <v>159</v>
      </c>
      <c r="B121" s="97" t="s">
        <v>152</v>
      </c>
      <c r="C121" s="97" t="s">
        <v>157</v>
      </c>
      <c r="D121" s="99">
        <v>2.1585242414228198</v>
      </c>
      <c r="E121" s="99">
        <v>2.1893863992502101</v>
      </c>
      <c r="F121" s="99">
        <v>2.17046518333435</v>
      </c>
    </row>
    <row r="122" spans="1:6" hidden="1" x14ac:dyDescent="0.2">
      <c r="A122" s="97" t="s">
        <v>159</v>
      </c>
      <c r="B122" s="97" t="s">
        <v>152</v>
      </c>
      <c r="C122" s="97" t="s">
        <v>158</v>
      </c>
      <c r="D122" s="99">
        <v>2.2167026417086801</v>
      </c>
      <c r="E122" s="99">
        <v>0.98444352220871001</v>
      </c>
      <c r="F122" s="99">
        <v>0.98356677305365003</v>
      </c>
    </row>
    <row r="123" spans="1:6" hidden="1" x14ac:dyDescent="0.2">
      <c r="A123" s="100" t="s">
        <v>159</v>
      </c>
      <c r="B123" s="100" t="s">
        <v>4</v>
      </c>
      <c r="C123" s="100" t="s">
        <v>153</v>
      </c>
      <c r="D123" s="101">
        <v>127419</v>
      </c>
      <c r="E123" s="101">
        <v>65071</v>
      </c>
      <c r="F123" s="101">
        <v>62348</v>
      </c>
    </row>
    <row r="124" spans="1:6" hidden="1" x14ac:dyDescent="0.2">
      <c r="A124" s="102" t="s">
        <v>159</v>
      </c>
      <c r="B124" s="102" t="s">
        <v>4</v>
      </c>
      <c r="C124" s="102" t="s">
        <v>154</v>
      </c>
      <c r="D124" s="103">
        <v>3255.7404343949202</v>
      </c>
      <c r="E124" s="103">
        <v>1842.78698264021</v>
      </c>
      <c r="F124" s="103">
        <v>1755.8919936534601</v>
      </c>
    </row>
    <row r="125" spans="1:6" hidden="1" x14ac:dyDescent="0.2">
      <c r="A125" s="102" t="s">
        <v>159</v>
      </c>
      <c r="B125" s="102" t="s">
        <v>4</v>
      </c>
      <c r="C125" s="102" t="s">
        <v>155</v>
      </c>
      <c r="D125" s="103">
        <v>122060.92428612801</v>
      </c>
      <c r="E125" s="103">
        <v>62038.2667780232</v>
      </c>
      <c r="F125" s="103">
        <v>59458.272628621198</v>
      </c>
    </row>
    <row r="126" spans="1:6" hidden="1" x14ac:dyDescent="0.2">
      <c r="A126" s="102" t="s">
        <v>159</v>
      </c>
      <c r="B126" s="102" t="s">
        <v>4</v>
      </c>
      <c r="C126" s="102" t="s">
        <v>156</v>
      </c>
      <c r="D126" s="103">
        <v>132777.07571387099</v>
      </c>
      <c r="E126" s="103">
        <v>68103.733221976698</v>
      </c>
      <c r="F126" s="103">
        <v>65237.7273713787</v>
      </c>
    </row>
    <row r="127" spans="1:6" hidden="1" x14ac:dyDescent="0.2">
      <c r="A127" s="102" t="s">
        <v>159</v>
      </c>
      <c r="B127" s="102" t="s">
        <v>4</v>
      </c>
      <c r="C127" s="102" t="s">
        <v>157</v>
      </c>
      <c r="D127" s="104">
        <v>2.55514517803068</v>
      </c>
      <c r="E127" s="104">
        <v>2.83196352083141</v>
      </c>
      <c r="F127" s="104">
        <v>2.81627637398707</v>
      </c>
    </row>
    <row r="128" spans="1:6" hidden="1" x14ac:dyDescent="0.2">
      <c r="A128" s="102" t="s">
        <v>159</v>
      </c>
      <c r="B128" s="102" t="s">
        <v>4</v>
      </c>
      <c r="C128" s="102" t="s">
        <v>158</v>
      </c>
      <c r="D128" s="104">
        <v>0.79207003783041996</v>
      </c>
      <c r="E128" s="104">
        <v>0.89721184063807002</v>
      </c>
      <c r="F128" s="104">
        <v>0.87753595672613005</v>
      </c>
    </row>
    <row r="129" spans="1:6" hidden="1" x14ac:dyDescent="0.2">
      <c r="A129" s="95" t="s">
        <v>159</v>
      </c>
      <c r="B129" s="95" t="s">
        <v>5</v>
      </c>
      <c r="C129" s="95" t="s">
        <v>153</v>
      </c>
      <c r="D129" s="96">
        <v>126079</v>
      </c>
      <c r="E129" s="96">
        <v>63642</v>
      </c>
      <c r="F129" s="96">
        <v>62437</v>
      </c>
    </row>
    <row r="130" spans="1:6" hidden="1" x14ac:dyDescent="0.2">
      <c r="A130" s="97" t="s">
        <v>159</v>
      </c>
      <c r="B130" s="97" t="s">
        <v>5</v>
      </c>
      <c r="C130" s="97" t="s">
        <v>154</v>
      </c>
      <c r="D130" s="98">
        <v>3085.0378989474598</v>
      </c>
      <c r="E130" s="98">
        <v>1709.2548444788599</v>
      </c>
      <c r="F130" s="98">
        <v>1686.3767418851801</v>
      </c>
    </row>
    <row r="131" spans="1:6" hidden="1" x14ac:dyDescent="0.2">
      <c r="A131" s="97" t="s">
        <v>159</v>
      </c>
      <c r="B131" s="97" t="s">
        <v>5</v>
      </c>
      <c r="C131" s="97" t="s">
        <v>155</v>
      </c>
      <c r="D131" s="98">
        <v>121001.854884838</v>
      </c>
      <c r="E131" s="98">
        <v>60829.024870205598</v>
      </c>
      <c r="F131" s="98">
        <v>59661.676092210801</v>
      </c>
    </row>
    <row r="132" spans="1:6" hidden="1" x14ac:dyDescent="0.2">
      <c r="A132" s="97" t="s">
        <v>159</v>
      </c>
      <c r="B132" s="97" t="s">
        <v>5</v>
      </c>
      <c r="C132" s="97" t="s">
        <v>156</v>
      </c>
      <c r="D132" s="98">
        <v>131156.14511516099</v>
      </c>
      <c r="E132" s="98">
        <v>66454.975129794402</v>
      </c>
      <c r="F132" s="98">
        <v>65212.323907789199</v>
      </c>
    </row>
    <row r="133" spans="1:6" hidden="1" x14ac:dyDescent="0.2">
      <c r="A133" s="97" t="s">
        <v>159</v>
      </c>
      <c r="B133" s="97" t="s">
        <v>5</v>
      </c>
      <c r="C133" s="97" t="s">
        <v>157</v>
      </c>
      <c r="D133" s="99">
        <v>2.4469086040874801</v>
      </c>
      <c r="E133" s="99">
        <v>2.6857340191679402</v>
      </c>
      <c r="F133" s="99">
        <v>2.7009253197385799</v>
      </c>
    </row>
    <row r="134" spans="1:6" hidden="1" x14ac:dyDescent="0.2">
      <c r="A134" s="97" t="s">
        <v>159</v>
      </c>
      <c r="B134" s="97" t="s">
        <v>5</v>
      </c>
      <c r="C134" s="97" t="s">
        <v>158</v>
      </c>
      <c r="D134" s="99">
        <v>0.72897233094183</v>
      </c>
      <c r="E134" s="99">
        <v>0.79563994909109004</v>
      </c>
      <c r="F134" s="99">
        <v>0.83260776580661</v>
      </c>
    </row>
    <row r="135" spans="1:6" hidden="1" x14ac:dyDescent="0.2">
      <c r="A135" s="100" t="s">
        <v>159</v>
      </c>
      <c r="B135" s="100" t="s">
        <v>6</v>
      </c>
      <c r="C135" s="100" t="s">
        <v>153</v>
      </c>
      <c r="D135" s="101">
        <v>136077</v>
      </c>
      <c r="E135" s="101">
        <v>68435</v>
      </c>
      <c r="F135" s="101">
        <v>67642</v>
      </c>
    </row>
    <row r="136" spans="1:6" hidden="1" x14ac:dyDescent="0.2">
      <c r="A136" s="102" t="s">
        <v>159</v>
      </c>
      <c r="B136" s="102" t="s">
        <v>6</v>
      </c>
      <c r="C136" s="102" t="s">
        <v>154</v>
      </c>
      <c r="D136" s="103">
        <v>3628.9489723901202</v>
      </c>
      <c r="E136" s="103">
        <v>2073.1695459222801</v>
      </c>
      <c r="F136" s="103">
        <v>1937.5519992746599</v>
      </c>
    </row>
    <row r="137" spans="1:6" hidden="1" x14ac:dyDescent="0.2">
      <c r="A137" s="102" t="s">
        <v>159</v>
      </c>
      <c r="B137" s="102" t="s">
        <v>6</v>
      </c>
      <c r="C137" s="102" t="s">
        <v>155</v>
      </c>
      <c r="D137" s="103">
        <v>130104.723110102</v>
      </c>
      <c r="E137" s="103">
        <v>65023.118856960398</v>
      </c>
      <c r="F137" s="103">
        <v>64453.308972299703</v>
      </c>
    </row>
    <row r="138" spans="1:6" hidden="1" x14ac:dyDescent="0.2">
      <c r="A138" s="102" t="s">
        <v>159</v>
      </c>
      <c r="B138" s="102" t="s">
        <v>6</v>
      </c>
      <c r="C138" s="102" t="s">
        <v>156</v>
      </c>
      <c r="D138" s="103">
        <v>142049.27688989701</v>
      </c>
      <c r="E138" s="103">
        <v>71846.881143039602</v>
      </c>
      <c r="F138" s="103">
        <v>70830.691027700304</v>
      </c>
    </row>
    <row r="139" spans="1:6" hidden="1" x14ac:dyDescent="0.2">
      <c r="A139" s="102" t="s">
        <v>159</v>
      </c>
      <c r="B139" s="102" t="s">
        <v>6</v>
      </c>
      <c r="C139" s="102" t="s">
        <v>157</v>
      </c>
      <c r="D139" s="104">
        <v>2.6668349334495298</v>
      </c>
      <c r="E139" s="104">
        <v>3.0293994972196701</v>
      </c>
      <c r="F139" s="104">
        <v>2.86442151218868</v>
      </c>
    </row>
    <row r="140" spans="1:6" hidden="1" x14ac:dyDescent="0.2">
      <c r="A140" s="102" t="s">
        <v>159</v>
      </c>
      <c r="B140" s="102" t="s">
        <v>6</v>
      </c>
      <c r="C140" s="102" t="s">
        <v>158</v>
      </c>
      <c r="D140" s="104">
        <v>0.85320253620941</v>
      </c>
      <c r="E140" s="104">
        <v>0.98883370284454997</v>
      </c>
      <c r="F140" s="104">
        <v>0.92675235278779</v>
      </c>
    </row>
    <row r="141" spans="1:6" hidden="1" x14ac:dyDescent="0.2">
      <c r="A141" s="95" t="s">
        <v>159</v>
      </c>
      <c r="B141" s="95" t="s">
        <v>7</v>
      </c>
      <c r="C141" s="95" t="s">
        <v>153</v>
      </c>
      <c r="D141" s="96">
        <v>127474</v>
      </c>
      <c r="E141" s="96">
        <v>64603</v>
      </c>
      <c r="F141" s="96">
        <v>62871</v>
      </c>
    </row>
    <row r="142" spans="1:6" hidden="1" x14ac:dyDescent="0.2">
      <c r="A142" s="97" t="s">
        <v>159</v>
      </c>
      <c r="B142" s="97" t="s">
        <v>7</v>
      </c>
      <c r="C142" s="97" t="s">
        <v>154</v>
      </c>
      <c r="D142" s="98">
        <v>3549.1530006452599</v>
      </c>
      <c r="E142" s="98">
        <v>1984.25539256517</v>
      </c>
      <c r="F142" s="98">
        <v>1856.48026261427</v>
      </c>
    </row>
    <row r="143" spans="1:6" hidden="1" x14ac:dyDescent="0.2">
      <c r="A143" s="97" t="s">
        <v>159</v>
      </c>
      <c r="B143" s="97" t="s">
        <v>7</v>
      </c>
      <c r="C143" s="97" t="s">
        <v>155</v>
      </c>
      <c r="D143" s="98">
        <v>121633.045881953</v>
      </c>
      <c r="E143" s="98">
        <v>61337.447710664201</v>
      </c>
      <c r="F143" s="98">
        <v>59815.731311099298</v>
      </c>
    </row>
    <row r="144" spans="1:6" hidden="1" x14ac:dyDescent="0.2">
      <c r="A144" s="97" t="s">
        <v>159</v>
      </c>
      <c r="B144" s="97" t="s">
        <v>7</v>
      </c>
      <c r="C144" s="97" t="s">
        <v>156</v>
      </c>
      <c r="D144" s="98">
        <v>133314.95411804601</v>
      </c>
      <c r="E144" s="98">
        <v>67868.552289335697</v>
      </c>
      <c r="F144" s="98">
        <v>65926.268688900702</v>
      </c>
    </row>
    <row r="145" spans="1:6" hidden="1" x14ac:dyDescent="0.2">
      <c r="A145" s="97" t="s">
        <v>159</v>
      </c>
      <c r="B145" s="97" t="s">
        <v>7</v>
      </c>
      <c r="C145" s="97" t="s">
        <v>157</v>
      </c>
      <c r="D145" s="99">
        <v>2.78421717420435</v>
      </c>
      <c r="E145" s="99">
        <v>3.0714601374010102</v>
      </c>
      <c r="F145" s="99">
        <v>2.9528403598070199</v>
      </c>
    </row>
    <row r="146" spans="1:6" hidden="1" x14ac:dyDescent="0.2">
      <c r="A146" s="97" t="s">
        <v>159</v>
      </c>
      <c r="B146" s="97" t="s">
        <v>7</v>
      </c>
      <c r="C146" s="97" t="s">
        <v>158</v>
      </c>
      <c r="D146" s="99">
        <v>0.92386022940094004</v>
      </c>
      <c r="E146" s="99">
        <v>1.0191829830428001</v>
      </c>
      <c r="F146" s="99">
        <v>0.97222903548114004</v>
      </c>
    </row>
    <row r="147" spans="1:6" hidden="1" x14ac:dyDescent="0.2">
      <c r="A147" s="100" t="s">
        <v>159</v>
      </c>
      <c r="B147" s="100" t="s">
        <v>8</v>
      </c>
      <c r="C147" s="100" t="s">
        <v>153</v>
      </c>
      <c r="D147" s="101">
        <v>122216</v>
      </c>
      <c r="E147" s="101">
        <v>61157</v>
      </c>
      <c r="F147" s="101">
        <v>61059</v>
      </c>
    </row>
    <row r="148" spans="1:6" hidden="1" x14ac:dyDescent="0.2">
      <c r="A148" s="102" t="s">
        <v>159</v>
      </c>
      <c r="B148" s="102" t="s">
        <v>8</v>
      </c>
      <c r="C148" s="102" t="s">
        <v>154</v>
      </c>
      <c r="D148" s="103">
        <v>3320.1546586881</v>
      </c>
      <c r="E148" s="103">
        <v>1760.1267691512701</v>
      </c>
      <c r="F148" s="103">
        <v>1842.66447891383</v>
      </c>
    </row>
    <row r="149" spans="1:6" hidden="1" x14ac:dyDescent="0.2">
      <c r="A149" s="102" t="s">
        <v>159</v>
      </c>
      <c r="B149" s="102" t="s">
        <v>8</v>
      </c>
      <c r="C149" s="102" t="s">
        <v>155</v>
      </c>
      <c r="D149" s="103">
        <v>116751.9157459</v>
      </c>
      <c r="E149" s="103">
        <v>58260.3033237255</v>
      </c>
      <c r="F149" s="103">
        <v>58026.4683863069</v>
      </c>
    </row>
    <row r="150" spans="1:6" hidden="1" x14ac:dyDescent="0.2">
      <c r="A150" s="102" t="s">
        <v>159</v>
      </c>
      <c r="B150" s="102" t="s">
        <v>8</v>
      </c>
      <c r="C150" s="102" t="s">
        <v>156</v>
      </c>
      <c r="D150" s="103">
        <v>127680.084254099</v>
      </c>
      <c r="E150" s="103">
        <v>64053.696676274398</v>
      </c>
      <c r="F150" s="103">
        <v>64091.531613692998</v>
      </c>
    </row>
    <row r="151" spans="1:6" hidden="1" x14ac:dyDescent="0.2">
      <c r="A151" s="102" t="s">
        <v>159</v>
      </c>
      <c r="B151" s="102" t="s">
        <v>8</v>
      </c>
      <c r="C151" s="102" t="s">
        <v>157</v>
      </c>
      <c r="D151" s="104">
        <v>2.71662847637633</v>
      </c>
      <c r="E151" s="104">
        <v>2.8780462893066501</v>
      </c>
      <c r="F151" s="104">
        <v>3.01784254395558</v>
      </c>
    </row>
    <row r="152" spans="1:6" hidden="1" x14ac:dyDescent="0.2">
      <c r="A152" s="102" t="s">
        <v>159</v>
      </c>
      <c r="B152" s="102" t="s">
        <v>8</v>
      </c>
      <c r="C152" s="102" t="s">
        <v>158</v>
      </c>
      <c r="D152" s="104">
        <v>0.91045997275021995</v>
      </c>
      <c r="E152" s="104">
        <v>0.94636416421605996</v>
      </c>
      <c r="F152" s="104">
        <v>1.033736211024</v>
      </c>
    </row>
    <row r="153" spans="1:6" hidden="1" x14ac:dyDescent="0.2">
      <c r="A153" s="95" t="s">
        <v>159</v>
      </c>
      <c r="B153" s="95" t="s">
        <v>9</v>
      </c>
      <c r="C153" s="95" t="s">
        <v>153</v>
      </c>
      <c r="D153" s="96">
        <v>103494</v>
      </c>
      <c r="E153" s="96">
        <v>50468</v>
      </c>
      <c r="F153" s="96">
        <v>53026</v>
      </c>
    </row>
    <row r="154" spans="1:6" hidden="1" x14ac:dyDescent="0.2">
      <c r="A154" s="97" t="s">
        <v>159</v>
      </c>
      <c r="B154" s="97" t="s">
        <v>9</v>
      </c>
      <c r="C154" s="97" t="s">
        <v>154</v>
      </c>
      <c r="D154" s="98">
        <v>2897.9168316956002</v>
      </c>
      <c r="E154" s="98">
        <v>1569.8026232914301</v>
      </c>
      <c r="F154" s="98">
        <v>1581.6954133741001</v>
      </c>
    </row>
    <row r="155" spans="1:6" hidden="1" x14ac:dyDescent="0.2">
      <c r="A155" s="97" t="s">
        <v>159</v>
      </c>
      <c r="B155" s="97" t="s">
        <v>9</v>
      </c>
      <c r="C155" s="97" t="s">
        <v>155</v>
      </c>
      <c r="D155" s="98">
        <v>98724.805984196195</v>
      </c>
      <c r="E155" s="98">
        <v>47884.525831552499</v>
      </c>
      <c r="F155" s="98">
        <v>50422.953488180501</v>
      </c>
    </row>
    <row r="156" spans="1:6" hidden="1" x14ac:dyDescent="0.2">
      <c r="A156" s="97" t="s">
        <v>159</v>
      </c>
      <c r="B156" s="97" t="s">
        <v>9</v>
      </c>
      <c r="C156" s="97" t="s">
        <v>156</v>
      </c>
      <c r="D156" s="98">
        <v>108263.194015803</v>
      </c>
      <c r="E156" s="98">
        <v>53051.474168447399</v>
      </c>
      <c r="F156" s="98">
        <v>55629.046511819397</v>
      </c>
    </row>
    <row r="157" spans="1:6" hidden="1" x14ac:dyDescent="0.2">
      <c r="A157" s="97" t="s">
        <v>159</v>
      </c>
      <c r="B157" s="97" t="s">
        <v>9</v>
      </c>
      <c r="C157" s="97" t="s">
        <v>157</v>
      </c>
      <c r="D157" s="99">
        <v>2.80008196774267</v>
      </c>
      <c r="E157" s="99">
        <v>3.1104910503515799</v>
      </c>
      <c r="F157" s="99">
        <v>2.98286767505394</v>
      </c>
    </row>
    <row r="158" spans="1:6" hidden="1" x14ac:dyDescent="0.2">
      <c r="A158" s="97" t="s">
        <v>159</v>
      </c>
      <c r="B158" s="97" t="s">
        <v>9</v>
      </c>
      <c r="C158" s="97" t="s">
        <v>158</v>
      </c>
      <c r="D158" s="99">
        <v>0.96144471325300995</v>
      </c>
      <c r="E158" s="99">
        <v>1.0895644558264901</v>
      </c>
      <c r="F158" s="99">
        <v>1.01639325715143</v>
      </c>
    </row>
    <row r="159" spans="1:6" hidden="1" x14ac:dyDescent="0.2">
      <c r="A159" s="100" t="s">
        <v>159</v>
      </c>
      <c r="B159" s="100" t="s">
        <v>10</v>
      </c>
      <c r="C159" s="100" t="s">
        <v>153</v>
      </c>
      <c r="D159" s="101">
        <v>95440</v>
      </c>
      <c r="E159" s="101">
        <v>45266</v>
      </c>
      <c r="F159" s="101">
        <v>50174</v>
      </c>
    </row>
    <row r="160" spans="1:6" hidden="1" x14ac:dyDescent="0.2">
      <c r="A160" s="102" t="s">
        <v>159</v>
      </c>
      <c r="B160" s="102" t="s">
        <v>10</v>
      </c>
      <c r="C160" s="102" t="s">
        <v>154</v>
      </c>
      <c r="D160" s="103">
        <v>2754.06354132449</v>
      </c>
      <c r="E160" s="103">
        <v>1447.08113834446</v>
      </c>
      <c r="F160" s="103">
        <v>1507.9032305718999</v>
      </c>
    </row>
    <row r="161" spans="1:6" hidden="1" x14ac:dyDescent="0.2">
      <c r="A161" s="102" t="s">
        <v>159</v>
      </c>
      <c r="B161" s="102" t="s">
        <v>10</v>
      </c>
      <c r="C161" s="102" t="s">
        <v>155</v>
      </c>
      <c r="D161" s="103">
        <v>90907.549925253305</v>
      </c>
      <c r="E161" s="103">
        <v>42884.492487468298</v>
      </c>
      <c r="F161" s="103">
        <v>47692.395633373999</v>
      </c>
    </row>
    <row r="162" spans="1:6" hidden="1" x14ac:dyDescent="0.2">
      <c r="A162" s="102" t="s">
        <v>159</v>
      </c>
      <c r="B162" s="102" t="s">
        <v>10</v>
      </c>
      <c r="C162" s="102" t="s">
        <v>156</v>
      </c>
      <c r="D162" s="103">
        <v>99972.450074746594</v>
      </c>
      <c r="E162" s="103">
        <v>47647.5075125316</v>
      </c>
      <c r="F162" s="103">
        <v>52655.604366626001</v>
      </c>
    </row>
    <row r="163" spans="1:6" hidden="1" x14ac:dyDescent="0.2">
      <c r="A163" s="102" t="s">
        <v>159</v>
      </c>
      <c r="B163" s="102" t="s">
        <v>10</v>
      </c>
      <c r="C163" s="102" t="s">
        <v>157</v>
      </c>
      <c r="D163" s="104">
        <v>2.8856491422092301</v>
      </c>
      <c r="E163" s="104">
        <v>3.19683899249871</v>
      </c>
      <c r="F163" s="104">
        <v>3.00534785062364</v>
      </c>
    </row>
    <row r="164" spans="1:6" hidden="1" x14ac:dyDescent="0.2">
      <c r="A164" s="102" t="s">
        <v>159</v>
      </c>
      <c r="B164" s="102" t="s">
        <v>10</v>
      </c>
      <c r="C164" s="102" t="s">
        <v>158</v>
      </c>
      <c r="D164" s="104">
        <v>0.94972768491963999</v>
      </c>
      <c r="E164" s="104">
        <v>1.06302019621843</v>
      </c>
      <c r="F164" s="104">
        <v>0.97600907149398997</v>
      </c>
    </row>
    <row r="165" spans="1:6" hidden="1" x14ac:dyDescent="0.2">
      <c r="A165" s="95" t="s">
        <v>159</v>
      </c>
      <c r="B165" s="95" t="s">
        <v>11</v>
      </c>
      <c r="C165" s="95" t="s">
        <v>153</v>
      </c>
      <c r="D165" s="96">
        <v>90310</v>
      </c>
      <c r="E165" s="96">
        <v>43401</v>
      </c>
      <c r="F165" s="96">
        <v>46909</v>
      </c>
    </row>
    <row r="166" spans="1:6" hidden="1" x14ac:dyDescent="0.2">
      <c r="A166" s="97" t="s">
        <v>159</v>
      </c>
      <c r="B166" s="97" t="s">
        <v>11</v>
      </c>
      <c r="C166" s="97" t="s">
        <v>154</v>
      </c>
      <c r="D166" s="98">
        <v>2720.21133365064</v>
      </c>
      <c r="E166" s="98">
        <v>1406.56229950273</v>
      </c>
      <c r="F166" s="98">
        <v>1500.7516521845801</v>
      </c>
    </row>
    <row r="167" spans="1:6" hidden="1" x14ac:dyDescent="0.2">
      <c r="A167" s="97" t="s">
        <v>159</v>
      </c>
      <c r="B167" s="97" t="s">
        <v>11</v>
      </c>
      <c r="C167" s="97" t="s">
        <v>155</v>
      </c>
      <c r="D167" s="98">
        <v>85833.261581465806</v>
      </c>
      <c r="E167" s="98">
        <v>41086.1756308966</v>
      </c>
      <c r="F167" s="98">
        <v>44439.165213672197</v>
      </c>
    </row>
    <row r="168" spans="1:6" hidden="1" x14ac:dyDescent="0.2">
      <c r="A168" s="97" t="s">
        <v>159</v>
      </c>
      <c r="B168" s="97" t="s">
        <v>11</v>
      </c>
      <c r="C168" s="97" t="s">
        <v>156</v>
      </c>
      <c r="D168" s="98">
        <v>94786.738418534107</v>
      </c>
      <c r="E168" s="98">
        <v>45715.824369103299</v>
      </c>
      <c r="F168" s="98">
        <v>49378.834786327701</v>
      </c>
    </row>
    <row r="169" spans="1:6" hidden="1" x14ac:dyDescent="0.2">
      <c r="A169" s="97" t="s">
        <v>159</v>
      </c>
      <c r="B169" s="97" t="s">
        <v>11</v>
      </c>
      <c r="C169" s="97" t="s">
        <v>157</v>
      </c>
      <c r="D169" s="99">
        <v>3.0120820879754699</v>
      </c>
      <c r="E169" s="99">
        <v>3.24085228336383</v>
      </c>
      <c r="F169" s="99">
        <v>3.1992829780736902</v>
      </c>
    </row>
    <row r="170" spans="1:6" hidden="1" x14ac:dyDescent="0.2">
      <c r="A170" s="97" t="s">
        <v>159</v>
      </c>
      <c r="B170" s="97" t="s">
        <v>11</v>
      </c>
      <c r="C170" s="97" t="s">
        <v>158</v>
      </c>
      <c r="D170" s="99">
        <v>0.95611895652880996</v>
      </c>
      <c r="E170" s="99">
        <v>1.0290979760660299</v>
      </c>
      <c r="F170" s="99">
        <v>1.01222844838711</v>
      </c>
    </row>
    <row r="171" spans="1:6" hidden="1" x14ac:dyDescent="0.2">
      <c r="A171" s="100" t="s">
        <v>159</v>
      </c>
      <c r="B171" s="100" t="s">
        <v>12</v>
      </c>
      <c r="C171" s="100" t="s">
        <v>153</v>
      </c>
      <c r="D171" s="101">
        <v>88597</v>
      </c>
      <c r="E171" s="101">
        <v>40678</v>
      </c>
      <c r="F171" s="101">
        <v>47919</v>
      </c>
    </row>
    <row r="172" spans="1:6" hidden="1" x14ac:dyDescent="0.2">
      <c r="A172" s="102" t="s">
        <v>159</v>
      </c>
      <c r="B172" s="102" t="s">
        <v>12</v>
      </c>
      <c r="C172" s="102" t="s">
        <v>154</v>
      </c>
      <c r="D172" s="103">
        <v>2771.8587542929299</v>
      </c>
      <c r="E172" s="103">
        <v>1360.33218778579</v>
      </c>
      <c r="F172" s="103">
        <v>1589.4723530618101</v>
      </c>
    </row>
    <row r="173" spans="1:6" hidden="1" x14ac:dyDescent="0.2">
      <c r="A173" s="102" t="s">
        <v>159</v>
      </c>
      <c r="B173" s="102" t="s">
        <v>12</v>
      </c>
      <c r="C173" s="102" t="s">
        <v>155</v>
      </c>
      <c r="D173" s="103">
        <v>84035.263776571999</v>
      </c>
      <c r="E173" s="103">
        <v>38439.257997974601</v>
      </c>
      <c r="F173" s="103">
        <v>45303.154730875198</v>
      </c>
    </row>
    <row r="174" spans="1:6" hidden="1" x14ac:dyDescent="0.2">
      <c r="A174" s="102" t="s">
        <v>159</v>
      </c>
      <c r="B174" s="102" t="s">
        <v>12</v>
      </c>
      <c r="C174" s="102" t="s">
        <v>156</v>
      </c>
      <c r="D174" s="103">
        <v>93158.736223427899</v>
      </c>
      <c r="E174" s="103">
        <v>42916.742002025399</v>
      </c>
      <c r="F174" s="103">
        <v>50534.845269124802</v>
      </c>
    </row>
    <row r="175" spans="1:6" hidden="1" x14ac:dyDescent="0.2">
      <c r="A175" s="102" t="s">
        <v>159</v>
      </c>
      <c r="B175" s="102" t="s">
        <v>12</v>
      </c>
      <c r="C175" s="102" t="s">
        <v>157</v>
      </c>
      <c r="D175" s="104">
        <v>3.1286146870581701</v>
      </c>
      <c r="E175" s="104">
        <v>3.3441471748507499</v>
      </c>
      <c r="F175" s="104">
        <v>3.3169981699572499</v>
      </c>
    </row>
    <row r="176" spans="1:6" hidden="1" x14ac:dyDescent="0.2">
      <c r="A176" s="102" t="s">
        <v>159</v>
      </c>
      <c r="B176" s="102" t="s">
        <v>12</v>
      </c>
      <c r="C176" s="102" t="s">
        <v>158</v>
      </c>
      <c r="D176" s="104">
        <v>1.05072738395076</v>
      </c>
      <c r="E176" s="104">
        <v>1.06882317124812</v>
      </c>
      <c r="F176" s="104">
        <v>1.1457110185867001</v>
      </c>
    </row>
    <row r="177" spans="1:6" hidden="1" x14ac:dyDescent="0.2">
      <c r="A177" s="95" t="s">
        <v>159</v>
      </c>
      <c r="B177" s="95" t="s">
        <v>13</v>
      </c>
      <c r="C177" s="95" t="s">
        <v>153</v>
      </c>
      <c r="D177" s="96">
        <v>70680</v>
      </c>
      <c r="E177" s="96">
        <v>32518</v>
      </c>
      <c r="F177" s="96">
        <v>38162</v>
      </c>
    </row>
    <row r="178" spans="1:6" hidden="1" x14ac:dyDescent="0.2">
      <c r="A178" s="97" t="s">
        <v>159</v>
      </c>
      <c r="B178" s="97" t="s">
        <v>13</v>
      </c>
      <c r="C178" s="97" t="s">
        <v>154</v>
      </c>
      <c r="D178" s="98">
        <v>2253.7017658605801</v>
      </c>
      <c r="E178" s="98">
        <v>1183.5478025151101</v>
      </c>
      <c r="F178" s="98">
        <v>1277.6323517580599</v>
      </c>
    </row>
    <row r="179" spans="1:6" hidden="1" x14ac:dyDescent="0.2">
      <c r="A179" s="97" t="s">
        <v>159</v>
      </c>
      <c r="B179" s="97" t="s">
        <v>13</v>
      </c>
      <c r="C179" s="97" t="s">
        <v>155</v>
      </c>
      <c r="D179" s="98">
        <v>66971.011233452198</v>
      </c>
      <c r="E179" s="98">
        <v>30570.197690618199</v>
      </c>
      <c r="F179" s="98">
        <v>36059.359751750802</v>
      </c>
    </row>
    <row r="180" spans="1:6" hidden="1" x14ac:dyDescent="0.2">
      <c r="A180" s="97" t="s">
        <v>159</v>
      </c>
      <c r="B180" s="97" t="s">
        <v>13</v>
      </c>
      <c r="C180" s="97" t="s">
        <v>156</v>
      </c>
      <c r="D180" s="98">
        <v>74388.988766547802</v>
      </c>
      <c r="E180" s="98">
        <v>34465.802309381703</v>
      </c>
      <c r="F180" s="98">
        <v>40264.640248249103</v>
      </c>
    </row>
    <row r="181" spans="1:6" hidden="1" x14ac:dyDescent="0.2">
      <c r="A181" s="97" t="s">
        <v>159</v>
      </c>
      <c r="B181" s="97" t="s">
        <v>13</v>
      </c>
      <c r="C181" s="97" t="s">
        <v>157</v>
      </c>
      <c r="D181" s="99">
        <v>3.1885989896159899</v>
      </c>
      <c r="E181" s="99">
        <v>3.6396697291195999</v>
      </c>
      <c r="F181" s="99">
        <v>3.3479176975998799</v>
      </c>
    </row>
    <row r="182" spans="1:6" hidden="1" x14ac:dyDescent="0.2">
      <c r="A182" s="97" t="s">
        <v>159</v>
      </c>
      <c r="B182" s="97" t="s">
        <v>13</v>
      </c>
      <c r="C182" s="97" t="s">
        <v>158</v>
      </c>
      <c r="D182" s="99">
        <v>1.1105287663527601</v>
      </c>
      <c r="E182" s="99">
        <v>1.2431115590851101</v>
      </c>
      <c r="F182" s="99">
        <v>1.1816490222194</v>
      </c>
    </row>
    <row r="183" spans="1:6" hidden="1" x14ac:dyDescent="0.2">
      <c r="A183" s="100" t="s">
        <v>159</v>
      </c>
      <c r="B183" s="100" t="s">
        <v>14</v>
      </c>
      <c r="C183" s="100" t="s">
        <v>153</v>
      </c>
      <c r="D183" s="101">
        <v>62161</v>
      </c>
      <c r="E183" s="101">
        <v>29160</v>
      </c>
      <c r="F183" s="101">
        <v>33001</v>
      </c>
    </row>
    <row r="184" spans="1:6" hidden="1" x14ac:dyDescent="0.2">
      <c r="A184" s="102" t="s">
        <v>159</v>
      </c>
      <c r="B184" s="102" t="s">
        <v>14</v>
      </c>
      <c r="C184" s="102" t="s">
        <v>154</v>
      </c>
      <c r="D184" s="103">
        <v>2119.4128581520099</v>
      </c>
      <c r="E184" s="103">
        <v>1087.6290397984401</v>
      </c>
      <c r="F184" s="103">
        <v>1202.46089899093</v>
      </c>
    </row>
    <row r="185" spans="1:6" hidden="1" x14ac:dyDescent="0.2">
      <c r="A185" s="102" t="s">
        <v>159</v>
      </c>
      <c r="B185" s="102" t="s">
        <v>14</v>
      </c>
      <c r="C185" s="102" t="s">
        <v>155</v>
      </c>
      <c r="D185" s="103">
        <v>58673.014765378197</v>
      </c>
      <c r="E185" s="103">
        <v>27370.054253011</v>
      </c>
      <c r="F185" s="103">
        <v>31022.071805449199</v>
      </c>
    </row>
    <row r="186" spans="1:6" hidden="1" x14ac:dyDescent="0.2">
      <c r="A186" s="102" t="s">
        <v>159</v>
      </c>
      <c r="B186" s="102" t="s">
        <v>14</v>
      </c>
      <c r="C186" s="102" t="s">
        <v>156</v>
      </c>
      <c r="D186" s="103">
        <v>65648.985234621796</v>
      </c>
      <c r="E186" s="103">
        <v>30949.945746988898</v>
      </c>
      <c r="F186" s="103">
        <v>34979.928194550703</v>
      </c>
    </row>
    <row r="187" spans="1:6" hidden="1" x14ac:dyDescent="0.2">
      <c r="A187" s="102" t="s">
        <v>159</v>
      </c>
      <c r="B187" s="102" t="s">
        <v>14</v>
      </c>
      <c r="C187" s="102" t="s">
        <v>157</v>
      </c>
      <c r="D187" s="104">
        <v>3.4095539939061701</v>
      </c>
      <c r="E187" s="104">
        <v>3.72986639162704</v>
      </c>
      <c r="F187" s="104">
        <v>3.6437104905637301</v>
      </c>
    </row>
    <row r="188" spans="1:6" hidden="1" x14ac:dyDescent="0.2">
      <c r="A188" s="102" t="s">
        <v>159</v>
      </c>
      <c r="B188" s="102" t="s">
        <v>14</v>
      </c>
      <c r="C188" s="102" t="s">
        <v>158</v>
      </c>
      <c r="D188" s="104">
        <v>1.20512416700599</v>
      </c>
      <c r="E188" s="104">
        <v>1.3738805037474999</v>
      </c>
      <c r="F188" s="104">
        <v>1.2109278582743099</v>
      </c>
    </row>
    <row r="189" spans="1:6" hidden="1" x14ac:dyDescent="0.2">
      <c r="A189" s="95" t="s">
        <v>159</v>
      </c>
      <c r="B189" s="95" t="s">
        <v>15</v>
      </c>
      <c r="C189" s="95" t="s">
        <v>153</v>
      </c>
      <c r="D189" s="96">
        <v>48879</v>
      </c>
      <c r="E189" s="96">
        <v>23192</v>
      </c>
      <c r="F189" s="96">
        <v>25687</v>
      </c>
    </row>
    <row r="190" spans="1:6" hidden="1" x14ac:dyDescent="0.2">
      <c r="A190" s="97" t="s">
        <v>159</v>
      </c>
      <c r="B190" s="97" t="s">
        <v>15</v>
      </c>
      <c r="C190" s="97" t="s">
        <v>154</v>
      </c>
      <c r="D190" s="98">
        <v>1890.7497385079801</v>
      </c>
      <c r="E190" s="98">
        <v>1015.6324584272</v>
      </c>
      <c r="F190" s="98">
        <v>1056.5461139224899</v>
      </c>
    </row>
    <row r="191" spans="1:6" hidden="1" x14ac:dyDescent="0.2">
      <c r="A191" s="97" t="s">
        <v>159</v>
      </c>
      <c r="B191" s="97" t="s">
        <v>15</v>
      </c>
      <c r="C191" s="97" t="s">
        <v>155</v>
      </c>
      <c r="D191" s="98">
        <v>45767.332943289199</v>
      </c>
      <c r="E191" s="98">
        <v>21520.541319747601</v>
      </c>
      <c r="F191" s="98">
        <v>23948.208413979301</v>
      </c>
    </row>
    <row r="192" spans="1:6" hidden="1" x14ac:dyDescent="0.2">
      <c r="A192" s="97" t="s">
        <v>159</v>
      </c>
      <c r="B192" s="97" t="s">
        <v>15</v>
      </c>
      <c r="C192" s="97" t="s">
        <v>156</v>
      </c>
      <c r="D192" s="98">
        <v>51990.667056710801</v>
      </c>
      <c r="E192" s="98">
        <v>24863.458680252399</v>
      </c>
      <c r="F192" s="98">
        <v>27425.791586020601</v>
      </c>
    </row>
    <row r="193" spans="1:6" hidden="1" x14ac:dyDescent="0.2">
      <c r="A193" s="97" t="s">
        <v>159</v>
      </c>
      <c r="B193" s="97" t="s">
        <v>15</v>
      </c>
      <c r="C193" s="97" t="s">
        <v>157</v>
      </c>
      <c r="D193" s="99">
        <v>3.8682250833854699</v>
      </c>
      <c r="E193" s="99">
        <v>4.37923619535702</v>
      </c>
      <c r="F193" s="99">
        <v>4.1131549574590096</v>
      </c>
    </row>
    <row r="194" spans="1:6" hidden="1" x14ac:dyDescent="0.2">
      <c r="A194" s="97" t="s">
        <v>159</v>
      </c>
      <c r="B194" s="97" t="s">
        <v>15</v>
      </c>
      <c r="C194" s="97" t="s">
        <v>158</v>
      </c>
      <c r="D194" s="99">
        <v>1.4649352887513101</v>
      </c>
      <c r="E194" s="99">
        <v>1.67474483648376</v>
      </c>
      <c r="F194" s="99">
        <v>1.4868638464916999</v>
      </c>
    </row>
    <row r="195" spans="1:6" hidden="1" x14ac:dyDescent="0.2">
      <c r="A195" s="100" t="s">
        <v>159</v>
      </c>
      <c r="B195" s="100" t="s">
        <v>16</v>
      </c>
      <c r="C195" s="100" t="s">
        <v>153</v>
      </c>
      <c r="D195" s="101">
        <v>37599</v>
      </c>
      <c r="E195" s="101">
        <v>17805</v>
      </c>
      <c r="F195" s="101">
        <v>19794</v>
      </c>
    </row>
    <row r="196" spans="1:6" hidden="1" x14ac:dyDescent="0.2">
      <c r="A196" s="102" t="s">
        <v>159</v>
      </c>
      <c r="B196" s="102" t="s">
        <v>16</v>
      </c>
      <c r="C196" s="102" t="s">
        <v>154</v>
      </c>
      <c r="D196" s="103">
        <v>1517.4859277580799</v>
      </c>
      <c r="E196" s="103">
        <v>794.494070601413</v>
      </c>
      <c r="F196" s="103">
        <v>887.05830435785003</v>
      </c>
    </row>
    <row r="197" spans="1:6" hidden="1" x14ac:dyDescent="0.2">
      <c r="A197" s="102" t="s">
        <v>159</v>
      </c>
      <c r="B197" s="102" t="s">
        <v>16</v>
      </c>
      <c r="C197" s="102" t="s">
        <v>155</v>
      </c>
      <c r="D197" s="103">
        <v>35101.625083448002</v>
      </c>
      <c r="E197" s="103">
        <v>16497.4758068757</v>
      </c>
      <c r="F197" s="103">
        <v>18334.1398996198</v>
      </c>
    </row>
    <row r="198" spans="1:6" hidden="1" x14ac:dyDescent="0.2">
      <c r="A198" s="102" t="s">
        <v>159</v>
      </c>
      <c r="B198" s="102" t="s">
        <v>16</v>
      </c>
      <c r="C198" s="102" t="s">
        <v>156</v>
      </c>
      <c r="D198" s="103">
        <v>40096.374916551897</v>
      </c>
      <c r="E198" s="103">
        <v>19112.524193124202</v>
      </c>
      <c r="F198" s="103">
        <v>21253.860100380101</v>
      </c>
    </row>
    <row r="199" spans="1:6" hidden="1" x14ac:dyDescent="0.2">
      <c r="A199" s="102" t="s">
        <v>159</v>
      </c>
      <c r="B199" s="102" t="s">
        <v>16</v>
      </c>
      <c r="C199" s="102" t="s">
        <v>157</v>
      </c>
      <c r="D199" s="104">
        <v>4.0359741688823698</v>
      </c>
      <c r="E199" s="104">
        <v>4.4621964088818498</v>
      </c>
      <c r="F199" s="104">
        <v>4.4814504615431403</v>
      </c>
    </row>
    <row r="200" spans="1:6" hidden="1" x14ac:dyDescent="0.2">
      <c r="A200" s="102" t="s">
        <v>159</v>
      </c>
      <c r="B200" s="102" t="s">
        <v>16</v>
      </c>
      <c r="C200" s="102" t="s">
        <v>158</v>
      </c>
      <c r="D200" s="104">
        <v>1.44390405124673</v>
      </c>
      <c r="E200" s="104">
        <v>1.5747762388783799</v>
      </c>
      <c r="F200" s="104">
        <v>1.54494927623954</v>
      </c>
    </row>
    <row r="201" spans="1:6" hidden="1" x14ac:dyDescent="0.2">
      <c r="A201" s="95" t="s">
        <v>159</v>
      </c>
      <c r="B201" s="95" t="s">
        <v>17</v>
      </c>
      <c r="C201" s="95" t="s">
        <v>153</v>
      </c>
      <c r="D201" s="96">
        <v>27203</v>
      </c>
      <c r="E201" s="96">
        <v>12770</v>
      </c>
      <c r="F201" s="96">
        <v>14433</v>
      </c>
    </row>
    <row r="202" spans="1:6" hidden="1" x14ac:dyDescent="0.2">
      <c r="A202" s="97" t="s">
        <v>159</v>
      </c>
      <c r="B202" s="97" t="s">
        <v>17</v>
      </c>
      <c r="C202" s="97" t="s">
        <v>154</v>
      </c>
      <c r="D202" s="98">
        <v>1116.25320438315</v>
      </c>
      <c r="E202" s="98">
        <v>599.22531219158896</v>
      </c>
      <c r="F202" s="98">
        <v>698.75437972107204</v>
      </c>
    </row>
    <row r="203" spans="1:6" hidden="1" x14ac:dyDescent="0.2">
      <c r="A203" s="97" t="s">
        <v>159</v>
      </c>
      <c r="B203" s="97" t="s">
        <v>17</v>
      </c>
      <c r="C203" s="97" t="s">
        <v>155</v>
      </c>
      <c r="D203" s="98">
        <v>25365.946553800401</v>
      </c>
      <c r="E203" s="98">
        <v>11783.8358210404</v>
      </c>
      <c r="F203" s="98">
        <v>13283.0376650448</v>
      </c>
    </row>
    <row r="204" spans="1:6" hidden="1" x14ac:dyDescent="0.2">
      <c r="A204" s="97" t="s">
        <v>159</v>
      </c>
      <c r="B204" s="97" t="s">
        <v>17</v>
      </c>
      <c r="C204" s="97" t="s">
        <v>156</v>
      </c>
      <c r="D204" s="98">
        <v>29040.053446199501</v>
      </c>
      <c r="E204" s="98">
        <v>13756.1641789596</v>
      </c>
      <c r="F204" s="98">
        <v>15582.9623349551</v>
      </c>
    </row>
    <row r="205" spans="1:6" hidden="1" x14ac:dyDescent="0.2">
      <c r="A205" s="97" t="s">
        <v>159</v>
      </c>
      <c r="B205" s="97" t="s">
        <v>17</v>
      </c>
      <c r="C205" s="97" t="s">
        <v>157</v>
      </c>
      <c r="D205" s="99">
        <v>4.1034194919058704</v>
      </c>
      <c r="E205" s="99">
        <v>4.6924456710382803</v>
      </c>
      <c r="F205" s="99">
        <v>4.8413661728058699</v>
      </c>
    </row>
    <row r="206" spans="1:6" hidden="1" x14ac:dyDescent="0.2">
      <c r="A206" s="97" t="s">
        <v>159</v>
      </c>
      <c r="B206" s="97" t="s">
        <v>17</v>
      </c>
      <c r="C206" s="97" t="s">
        <v>158</v>
      </c>
      <c r="D206" s="99">
        <v>1.3773582864310101</v>
      </c>
      <c r="E206" s="99">
        <v>1.55261627252271</v>
      </c>
      <c r="F206" s="99">
        <v>1.5741868040389599</v>
      </c>
    </row>
    <row r="207" spans="1:6" hidden="1" x14ac:dyDescent="0.2">
      <c r="A207" s="100" t="s">
        <v>159</v>
      </c>
      <c r="B207" s="100" t="s">
        <v>18</v>
      </c>
      <c r="C207" s="100" t="s">
        <v>153</v>
      </c>
      <c r="D207" s="101">
        <v>19792</v>
      </c>
      <c r="E207" s="101">
        <v>9544</v>
      </c>
      <c r="F207" s="101">
        <v>10248</v>
      </c>
    </row>
    <row r="208" spans="1:6" hidden="1" x14ac:dyDescent="0.2">
      <c r="A208" s="102" t="s">
        <v>159</v>
      </c>
      <c r="B208" s="102" t="s">
        <v>18</v>
      </c>
      <c r="C208" s="102" t="s">
        <v>154</v>
      </c>
      <c r="D208" s="103">
        <v>1033.6538223406001</v>
      </c>
      <c r="E208" s="103">
        <v>555.19460832620996</v>
      </c>
      <c r="F208" s="103">
        <v>615.17598722310299</v>
      </c>
    </row>
    <row r="209" spans="1:6" hidden="1" x14ac:dyDescent="0.2">
      <c r="A209" s="102" t="s">
        <v>159</v>
      </c>
      <c r="B209" s="102" t="s">
        <v>18</v>
      </c>
      <c r="C209" s="102" t="s">
        <v>155</v>
      </c>
      <c r="D209" s="103">
        <v>18090.882987254201</v>
      </c>
      <c r="E209" s="103">
        <v>8630.2985525755594</v>
      </c>
      <c r="F209" s="103">
        <v>9235.5852871823099</v>
      </c>
    </row>
    <row r="210" spans="1:6" hidden="1" x14ac:dyDescent="0.2">
      <c r="A210" s="102" t="s">
        <v>159</v>
      </c>
      <c r="B210" s="102" t="s">
        <v>18</v>
      </c>
      <c r="C210" s="102" t="s">
        <v>156</v>
      </c>
      <c r="D210" s="103">
        <v>21493.117012745701</v>
      </c>
      <c r="E210" s="103">
        <v>10457.701447424401</v>
      </c>
      <c r="F210" s="103">
        <v>11260.414712817599</v>
      </c>
    </row>
    <row r="211" spans="1:6" hidden="1" x14ac:dyDescent="0.2">
      <c r="A211" s="102" t="s">
        <v>159</v>
      </c>
      <c r="B211" s="102" t="s">
        <v>18</v>
      </c>
      <c r="C211" s="102" t="s">
        <v>157</v>
      </c>
      <c r="D211" s="104">
        <v>5.2225839851485798</v>
      </c>
      <c r="E211" s="104">
        <v>5.81721090031653</v>
      </c>
      <c r="F211" s="104">
        <v>6.0028882437851596</v>
      </c>
    </row>
    <row r="212" spans="1:6" hidden="1" x14ac:dyDescent="0.2">
      <c r="A212" s="102" t="s">
        <v>159</v>
      </c>
      <c r="B212" s="102" t="s">
        <v>18</v>
      </c>
      <c r="C212" s="102" t="s">
        <v>158</v>
      </c>
      <c r="D212" s="104">
        <v>1.7869910404724001</v>
      </c>
      <c r="E212" s="104">
        <v>1.87634452600948</v>
      </c>
      <c r="F212" s="104">
        <v>1.90123591917405</v>
      </c>
    </row>
    <row r="213" spans="1:6" hidden="1" x14ac:dyDescent="0.2">
      <c r="A213" s="95" t="s">
        <v>159</v>
      </c>
      <c r="B213" s="95" t="s">
        <v>19</v>
      </c>
      <c r="C213" s="95" t="s">
        <v>153</v>
      </c>
      <c r="D213" s="96">
        <v>28415</v>
      </c>
      <c r="E213" s="96">
        <v>12105</v>
      </c>
      <c r="F213" s="96">
        <v>16310</v>
      </c>
    </row>
    <row r="214" spans="1:6" hidden="1" x14ac:dyDescent="0.2">
      <c r="A214" s="97" t="s">
        <v>159</v>
      </c>
      <c r="B214" s="97" t="s">
        <v>19</v>
      </c>
      <c r="C214" s="97" t="s">
        <v>154</v>
      </c>
      <c r="D214" s="98">
        <v>1267.41632115623</v>
      </c>
      <c r="E214" s="98">
        <v>590.12991967832602</v>
      </c>
      <c r="F214" s="98">
        <v>821.97366567745701</v>
      </c>
    </row>
    <row r="215" spans="1:6" hidden="1" x14ac:dyDescent="0.2">
      <c r="A215" s="97" t="s">
        <v>159</v>
      </c>
      <c r="B215" s="97" t="s">
        <v>19</v>
      </c>
      <c r="C215" s="97" t="s">
        <v>155</v>
      </c>
      <c r="D215" s="98">
        <v>26329.172598647801</v>
      </c>
      <c r="E215" s="98">
        <v>11133.8043981476</v>
      </c>
      <c r="F215" s="98">
        <v>14957.2517621551</v>
      </c>
    </row>
    <row r="216" spans="1:6" hidden="1" x14ac:dyDescent="0.2">
      <c r="A216" s="97" t="s">
        <v>159</v>
      </c>
      <c r="B216" s="97" t="s">
        <v>19</v>
      </c>
      <c r="C216" s="97" t="s">
        <v>156</v>
      </c>
      <c r="D216" s="98">
        <v>30500.827401352199</v>
      </c>
      <c r="E216" s="98">
        <v>13076.1956018523</v>
      </c>
      <c r="F216" s="98">
        <v>17662.7482378448</v>
      </c>
    </row>
    <row r="217" spans="1:6" hidden="1" x14ac:dyDescent="0.2">
      <c r="A217" s="97" t="s">
        <v>159</v>
      </c>
      <c r="B217" s="97" t="s">
        <v>19</v>
      </c>
      <c r="C217" s="97" t="s">
        <v>157</v>
      </c>
      <c r="D217" s="99">
        <v>4.4603776919100397</v>
      </c>
      <c r="E217" s="99">
        <v>4.8750922732616804</v>
      </c>
      <c r="F217" s="99">
        <v>5.0396913898065998</v>
      </c>
    </row>
    <row r="218" spans="1:6" hidden="1" x14ac:dyDescent="0.2">
      <c r="A218" s="97" t="s">
        <v>159</v>
      </c>
      <c r="B218" s="97" t="s">
        <v>19</v>
      </c>
      <c r="C218" s="97" t="s">
        <v>158</v>
      </c>
      <c r="D218" s="99">
        <v>1.4899485458613999</v>
      </c>
      <c r="E218" s="99">
        <v>1.46341272471385</v>
      </c>
      <c r="F218" s="99">
        <v>1.7066030430041501</v>
      </c>
    </row>
    <row r="219" spans="1:6" hidden="1" x14ac:dyDescent="0.2">
      <c r="A219" s="100" t="s">
        <v>159</v>
      </c>
      <c r="B219" s="100" t="s">
        <v>20</v>
      </c>
      <c r="C219" s="100" t="s">
        <v>153</v>
      </c>
      <c r="D219" s="101">
        <v>709</v>
      </c>
      <c r="E219" s="101">
        <v>276</v>
      </c>
      <c r="F219" s="101">
        <v>433</v>
      </c>
    </row>
    <row r="220" spans="1:6" hidden="1" x14ac:dyDescent="0.2">
      <c r="A220" s="102" t="s">
        <v>159</v>
      </c>
      <c r="B220" s="102" t="s">
        <v>20</v>
      </c>
      <c r="C220" s="102" t="s">
        <v>154</v>
      </c>
      <c r="D220" s="103">
        <v>151.71018007130101</v>
      </c>
      <c r="E220" s="103">
        <v>75.779016028659299</v>
      </c>
      <c r="F220" s="103">
        <v>96.926019729382105</v>
      </c>
    </row>
    <row r="221" spans="1:6" hidden="1" x14ac:dyDescent="0.2">
      <c r="A221" s="102" t="s">
        <v>159</v>
      </c>
      <c r="B221" s="102" t="s">
        <v>20</v>
      </c>
      <c r="C221" s="102" t="s">
        <v>155</v>
      </c>
      <c r="D221" s="103">
        <v>459.325725355884</v>
      </c>
      <c r="E221" s="103">
        <v>151.28806009387</v>
      </c>
      <c r="F221" s="103">
        <v>273.48576266470002</v>
      </c>
    </row>
    <row r="222" spans="1:6" hidden="1" x14ac:dyDescent="0.2">
      <c r="A222" s="102" t="s">
        <v>159</v>
      </c>
      <c r="B222" s="102" t="s">
        <v>20</v>
      </c>
      <c r="C222" s="102" t="s">
        <v>156</v>
      </c>
      <c r="D222" s="103">
        <v>958.67427464411503</v>
      </c>
      <c r="E222" s="103">
        <v>400.71193990612898</v>
      </c>
      <c r="F222" s="103">
        <v>592.51423733529896</v>
      </c>
    </row>
    <row r="223" spans="1:6" hidden="1" x14ac:dyDescent="0.2">
      <c r="A223" s="102" t="s">
        <v>159</v>
      </c>
      <c r="B223" s="102" t="s">
        <v>20</v>
      </c>
      <c r="C223" s="102" t="s">
        <v>157</v>
      </c>
      <c r="D223" s="104">
        <v>21.397768698349999</v>
      </c>
      <c r="E223" s="104">
        <v>27.456165227775099</v>
      </c>
      <c r="F223" s="104">
        <v>22.3847620622129</v>
      </c>
    </row>
    <row r="224" spans="1:6" hidden="1" x14ac:dyDescent="0.2">
      <c r="A224" s="102" t="s">
        <v>159</v>
      </c>
      <c r="B224" s="102" t="s">
        <v>20</v>
      </c>
      <c r="C224" s="102" t="s">
        <v>158</v>
      </c>
      <c r="D224" s="104">
        <v>1.9941813435858899</v>
      </c>
      <c r="E224" s="104">
        <v>1.8221276616325399</v>
      </c>
      <c r="F224" s="104">
        <v>2.06487532263231</v>
      </c>
    </row>
    <row r="225" spans="1:6" hidden="1" x14ac:dyDescent="0.2">
      <c r="A225" s="95" t="s">
        <v>160</v>
      </c>
      <c r="B225" s="95" t="s">
        <v>152</v>
      </c>
      <c r="C225" s="95" t="s">
        <v>153</v>
      </c>
      <c r="D225" s="96">
        <v>3315766</v>
      </c>
      <c r="E225" s="96">
        <v>1650341</v>
      </c>
      <c r="F225" s="96">
        <v>1665425</v>
      </c>
    </row>
    <row r="226" spans="1:6" hidden="1" x14ac:dyDescent="0.2">
      <c r="A226" s="97" t="s">
        <v>160</v>
      </c>
      <c r="B226" s="97" t="s">
        <v>152</v>
      </c>
      <c r="C226" s="97" t="s">
        <v>154</v>
      </c>
      <c r="D226" s="98">
        <v>69937.793326678395</v>
      </c>
      <c r="E226" s="98">
        <v>35700.016983327398</v>
      </c>
      <c r="F226" s="98">
        <v>34819.134054921196</v>
      </c>
    </row>
    <row r="227" spans="1:6" hidden="1" x14ac:dyDescent="0.2">
      <c r="A227" s="97" t="s">
        <v>160</v>
      </c>
      <c r="B227" s="97" t="s">
        <v>152</v>
      </c>
      <c r="C227" s="97" t="s">
        <v>155</v>
      </c>
      <c r="D227" s="98">
        <v>3200680.7796318298</v>
      </c>
      <c r="E227" s="98">
        <v>1591595.3043432501</v>
      </c>
      <c r="F227" s="98">
        <v>1608128.8297158999</v>
      </c>
    </row>
    <row r="228" spans="1:6" hidden="1" x14ac:dyDescent="0.2">
      <c r="A228" s="97" t="s">
        <v>160</v>
      </c>
      <c r="B228" s="97" t="s">
        <v>152</v>
      </c>
      <c r="C228" s="97" t="s">
        <v>156</v>
      </c>
      <c r="D228" s="98">
        <v>3430851.2203681599</v>
      </c>
      <c r="E228" s="98">
        <v>1709086.6956567401</v>
      </c>
      <c r="F228" s="98">
        <v>1722721.1702840901</v>
      </c>
    </row>
    <row r="229" spans="1:6" hidden="1" x14ac:dyDescent="0.2">
      <c r="A229" s="97" t="s">
        <v>160</v>
      </c>
      <c r="B229" s="97" t="s">
        <v>152</v>
      </c>
      <c r="C229" s="97" t="s">
        <v>157</v>
      </c>
      <c r="D229" s="99">
        <v>2.1092499689869002</v>
      </c>
      <c r="E229" s="99">
        <v>2.1631903335933198</v>
      </c>
      <c r="F229" s="99">
        <v>2.0907056189814099</v>
      </c>
    </row>
    <row r="230" spans="1:6" hidden="1" x14ac:dyDescent="0.2">
      <c r="A230" s="97" t="s">
        <v>160</v>
      </c>
      <c r="B230" s="97" t="s">
        <v>152</v>
      </c>
      <c r="C230" s="97" t="s">
        <v>158</v>
      </c>
      <c r="D230" s="99">
        <v>1.7920216184995901</v>
      </c>
      <c r="E230" s="99">
        <v>1.0182150953789899</v>
      </c>
      <c r="F230" s="99">
        <v>0.95273371891877001</v>
      </c>
    </row>
    <row r="231" spans="1:6" hidden="1" x14ac:dyDescent="0.2">
      <c r="A231" s="100" t="s">
        <v>160</v>
      </c>
      <c r="B231" s="100" t="s">
        <v>4</v>
      </c>
      <c r="C231" s="100" t="s">
        <v>153</v>
      </c>
      <c r="D231" s="101">
        <v>280637</v>
      </c>
      <c r="E231" s="101">
        <v>142279</v>
      </c>
      <c r="F231" s="101">
        <v>138358</v>
      </c>
    </row>
    <row r="232" spans="1:6" hidden="1" x14ac:dyDescent="0.2">
      <c r="A232" s="102" t="s">
        <v>160</v>
      </c>
      <c r="B232" s="102" t="s">
        <v>4</v>
      </c>
      <c r="C232" s="102" t="s">
        <v>154</v>
      </c>
      <c r="D232" s="103">
        <v>7456.0915627581198</v>
      </c>
      <c r="E232" s="103">
        <v>4401.1535011894402</v>
      </c>
      <c r="F232" s="103">
        <v>3686.0931011049602</v>
      </c>
    </row>
    <row r="233" spans="1:6" hidden="1" x14ac:dyDescent="0.2">
      <c r="A233" s="102" t="s">
        <v>160</v>
      </c>
      <c r="B233" s="102" t="s">
        <v>4</v>
      </c>
      <c r="C233" s="102" t="s">
        <v>155</v>
      </c>
      <c r="D233" s="103">
        <v>268367.726124326</v>
      </c>
      <c r="E233" s="103">
        <v>135036.739464374</v>
      </c>
      <c r="F233" s="103">
        <v>132292.39774605501</v>
      </c>
    </row>
    <row r="234" spans="1:6" hidden="1" x14ac:dyDescent="0.2">
      <c r="A234" s="102" t="s">
        <v>160</v>
      </c>
      <c r="B234" s="102" t="s">
        <v>4</v>
      </c>
      <c r="C234" s="102" t="s">
        <v>156</v>
      </c>
      <c r="D234" s="103">
        <v>292906.27387567301</v>
      </c>
      <c r="E234" s="103">
        <v>149521.26053562501</v>
      </c>
      <c r="F234" s="103">
        <v>144423.60225394499</v>
      </c>
    </row>
    <row r="235" spans="1:6" hidden="1" x14ac:dyDescent="0.2">
      <c r="A235" s="102" t="s">
        <v>160</v>
      </c>
      <c r="B235" s="102" t="s">
        <v>4</v>
      </c>
      <c r="C235" s="102" t="s">
        <v>157</v>
      </c>
      <c r="D235" s="104">
        <v>2.6568455202835399</v>
      </c>
      <c r="E235" s="104">
        <v>3.0933261417281801</v>
      </c>
      <c r="F235" s="104">
        <v>2.66417055833776</v>
      </c>
    </row>
    <row r="236" spans="1:6" hidden="1" x14ac:dyDescent="0.2">
      <c r="A236" s="102" t="s">
        <v>160</v>
      </c>
      <c r="B236" s="102" t="s">
        <v>4</v>
      </c>
      <c r="C236" s="102" t="s">
        <v>158</v>
      </c>
      <c r="D236" s="104">
        <v>0.88503087256087998</v>
      </c>
      <c r="E236" s="104">
        <v>1.0513619199347299</v>
      </c>
      <c r="F236" s="104">
        <v>0.82770955578254002</v>
      </c>
    </row>
    <row r="237" spans="1:6" hidden="1" x14ac:dyDescent="0.2">
      <c r="A237" s="95" t="s">
        <v>160</v>
      </c>
      <c r="B237" s="95" t="s">
        <v>5</v>
      </c>
      <c r="C237" s="95" t="s">
        <v>153</v>
      </c>
      <c r="D237" s="96">
        <v>300330</v>
      </c>
      <c r="E237" s="96">
        <v>152154</v>
      </c>
      <c r="F237" s="96">
        <v>148176</v>
      </c>
    </row>
    <row r="238" spans="1:6" hidden="1" x14ac:dyDescent="0.2">
      <c r="A238" s="97" t="s">
        <v>160</v>
      </c>
      <c r="B238" s="97" t="s">
        <v>5</v>
      </c>
      <c r="C238" s="97" t="s">
        <v>154</v>
      </c>
      <c r="D238" s="98">
        <v>7812.7015792990296</v>
      </c>
      <c r="E238" s="98">
        <v>4227.9784977399304</v>
      </c>
      <c r="F238" s="98">
        <v>4075.0001150911598</v>
      </c>
    </row>
    <row r="239" spans="1:6" hidden="1" x14ac:dyDescent="0.2">
      <c r="A239" s="97" t="s">
        <v>160</v>
      </c>
      <c r="B239" s="97" t="s">
        <v>5</v>
      </c>
      <c r="C239" s="97" t="s">
        <v>155</v>
      </c>
      <c r="D239" s="98">
        <v>287473.91117940203</v>
      </c>
      <c r="E239" s="98">
        <v>145196.70532455199</v>
      </c>
      <c r="F239" s="98">
        <v>141470.43689973099</v>
      </c>
    </row>
    <row r="240" spans="1:6" hidden="1" x14ac:dyDescent="0.2">
      <c r="A240" s="97" t="s">
        <v>160</v>
      </c>
      <c r="B240" s="97" t="s">
        <v>5</v>
      </c>
      <c r="C240" s="97" t="s">
        <v>156</v>
      </c>
      <c r="D240" s="98">
        <v>313186.08882059698</v>
      </c>
      <c r="E240" s="98">
        <v>159111.29467544699</v>
      </c>
      <c r="F240" s="98">
        <v>154881.56310026799</v>
      </c>
    </row>
    <row r="241" spans="1:6" hidden="1" x14ac:dyDescent="0.2">
      <c r="A241" s="97" t="s">
        <v>160</v>
      </c>
      <c r="B241" s="97" t="s">
        <v>5</v>
      </c>
      <c r="C241" s="97" t="s">
        <v>157</v>
      </c>
      <c r="D241" s="99">
        <v>2.6013723501811401</v>
      </c>
      <c r="E241" s="99">
        <v>2.7787494891622502</v>
      </c>
      <c r="F241" s="99">
        <v>2.75010805737175</v>
      </c>
    </row>
    <row r="242" spans="1:6" hidden="1" x14ac:dyDescent="0.2">
      <c r="A242" s="97" t="s">
        <v>160</v>
      </c>
      <c r="B242" s="97" t="s">
        <v>5</v>
      </c>
      <c r="C242" s="97" t="s">
        <v>158</v>
      </c>
      <c r="D242" s="99">
        <v>0.87946626171481002</v>
      </c>
      <c r="E242" s="99">
        <v>0.92617953261698005</v>
      </c>
      <c r="F242" s="99">
        <v>0.88471994216618999</v>
      </c>
    </row>
    <row r="243" spans="1:6" hidden="1" x14ac:dyDescent="0.2">
      <c r="A243" s="100" t="s">
        <v>160</v>
      </c>
      <c r="B243" s="100" t="s">
        <v>6</v>
      </c>
      <c r="C243" s="100" t="s">
        <v>153</v>
      </c>
      <c r="D243" s="101">
        <v>306547</v>
      </c>
      <c r="E243" s="101">
        <v>154548</v>
      </c>
      <c r="F243" s="101">
        <v>151999</v>
      </c>
    </row>
    <row r="244" spans="1:6" hidden="1" x14ac:dyDescent="0.2">
      <c r="A244" s="102" t="s">
        <v>160</v>
      </c>
      <c r="B244" s="102" t="s">
        <v>6</v>
      </c>
      <c r="C244" s="102" t="s">
        <v>154</v>
      </c>
      <c r="D244" s="103">
        <v>7267.0341116156096</v>
      </c>
      <c r="E244" s="103">
        <v>4257.4324654144602</v>
      </c>
      <c r="F244" s="103">
        <v>3994.1438836264201</v>
      </c>
    </row>
    <row r="245" spans="1:6" hidden="1" x14ac:dyDescent="0.2">
      <c r="A245" s="102" t="s">
        <v>160</v>
      </c>
      <c r="B245" s="102" t="s">
        <v>6</v>
      </c>
      <c r="C245" s="102" t="s">
        <v>155</v>
      </c>
      <c r="D245" s="103">
        <v>294588.82713841402</v>
      </c>
      <c r="E245" s="103">
        <v>147542.23773357799</v>
      </c>
      <c r="F245" s="103">
        <v>145426.48881306199</v>
      </c>
    </row>
    <row r="246" spans="1:6" hidden="1" x14ac:dyDescent="0.2">
      <c r="A246" s="102" t="s">
        <v>160</v>
      </c>
      <c r="B246" s="102" t="s">
        <v>6</v>
      </c>
      <c r="C246" s="102" t="s">
        <v>156</v>
      </c>
      <c r="D246" s="103">
        <v>318505.17286158499</v>
      </c>
      <c r="E246" s="103">
        <v>161553.76226642099</v>
      </c>
      <c r="F246" s="103">
        <v>158571.51118693699</v>
      </c>
    </row>
    <row r="247" spans="1:6" hidden="1" x14ac:dyDescent="0.2">
      <c r="A247" s="102" t="s">
        <v>160</v>
      </c>
      <c r="B247" s="102" t="s">
        <v>6</v>
      </c>
      <c r="C247" s="102" t="s">
        <v>157</v>
      </c>
      <c r="D247" s="104">
        <v>2.37061008968139</v>
      </c>
      <c r="E247" s="104">
        <v>2.7547638697456098</v>
      </c>
      <c r="F247" s="104">
        <v>2.6277435270142702</v>
      </c>
    </row>
    <row r="248" spans="1:6" hidden="1" x14ac:dyDescent="0.2">
      <c r="A248" s="102" t="s">
        <v>160</v>
      </c>
      <c r="B248" s="102" t="s">
        <v>6</v>
      </c>
      <c r="C248" s="102" t="s">
        <v>158</v>
      </c>
      <c r="D248" s="104">
        <v>0.74033595299751997</v>
      </c>
      <c r="E248" s="104">
        <v>0.89659999363888998</v>
      </c>
      <c r="F248" s="104">
        <v>0.83631385713295003</v>
      </c>
    </row>
    <row r="249" spans="1:6" hidden="1" x14ac:dyDescent="0.2">
      <c r="A249" s="95" t="s">
        <v>160</v>
      </c>
      <c r="B249" s="95" t="s">
        <v>7</v>
      </c>
      <c r="C249" s="95" t="s">
        <v>153</v>
      </c>
      <c r="D249" s="96">
        <v>297964</v>
      </c>
      <c r="E249" s="96">
        <v>151811</v>
      </c>
      <c r="F249" s="96">
        <v>146153</v>
      </c>
    </row>
    <row r="250" spans="1:6" hidden="1" x14ac:dyDescent="0.2">
      <c r="A250" s="97" t="s">
        <v>160</v>
      </c>
      <c r="B250" s="97" t="s">
        <v>7</v>
      </c>
      <c r="C250" s="97" t="s">
        <v>154</v>
      </c>
      <c r="D250" s="98">
        <v>7319.5320465976201</v>
      </c>
      <c r="E250" s="98">
        <v>3983.7082469022298</v>
      </c>
      <c r="F250" s="98">
        <v>3903.4129326893299</v>
      </c>
    </row>
    <row r="251" spans="1:6" hidden="1" x14ac:dyDescent="0.2">
      <c r="A251" s="97" t="s">
        <v>160</v>
      </c>
      <c r="B251" s="97" t="s">
        <v>7</v>
      </c>
      <c r="C251" s="97" t="s">
        <v>155</v>
      </c>
      <c r="D251" s="98">
        <v>285919.439848668</v>
      </c>
      <c r="E251" s="98">
        <v>145255.66103847799</v>
      </c>
      <c r="F251" s="98">
        <v>139729.789941767</v>
      </c>
    </row>
    <row r="252" spans="1:6" hidden="1" x14ac:dyDescent="0.2">
      <c r="A252" s="97" t="s">
        <v>160</v>
      </c>
      <c r="B252" s="97" t="s">
        <v>7</v>
      </c>
      <c r="C252" s="97" t="s">
        <v>156</v>
      </c>
      <c r="D252" s="98">
        <v>310008.56015133101</v>
      </c>
      <c r="E252" s="98">
        <v>158366.33896152099</v>
      </c>
      <c r="F252" s="98">
        <v>152576.21005823201</v>
      </c>
    </row>
    <row r="253" spans="1:6" hidden="1" x14ac:dyDescent="0.2">
      <c r="A253" s="97" t="s">
        <v>160</v>
      </c>
      <c r="B253" s="97" t="s">
        <v>7</v>
      </c>
      <c r="C253" s="97" t="s">
        <v>157</v>
      </c>
      <c r="D253" s="99">
        <v>2.4565155678530299</v>
      </c>
      <c r="E253" s="99">
        <v>2.6241235792546198</v>
      </c>
      <c r="F253" s="99">
        <v>2.67077167946558</v>
      </c>
    </row>
    <row r="254" spans="1:6" hidden="1" x14ac:dyDescent="0.2">
      <c r="A254" s="97" t="s">
        <v>160</v>
      </c>
      <c r="B254" s="97" t="s">
        <v>7</v>
      </c>
      <c r="C254" s="97" t="s">
        <v>158</v>
      </c>
      <c r="D254" s="99">
        <v>0.78759753206656002</v>
      </c>
      <c r="E254" s="99">
        <v>0.82818946548719996</v>
      </c>
      <c r="F254" s="99">
        <v>0.83048606822735005</v>
      </c>
    </row>
    <row r="255" spans="1:6" hidden="1" x14ac:dyDescent="0.2">
      <c r="A255" s="100" t="s">
        <v>160</v>
      </c>
      <c r="B255" s="100" t="s">
        <v>8</v>
      </c>
      <c r="C255" s="100" t="s">
        <v>153</v>
      </c>
      <c r="D255" s="101">
        <v>303190</v>
      </c>
      <c r="E255" s="101">
        <v>151887</v>
      </c>
      <c r="F255" s="101">
        <v>151303</v>
      </c>
    </row>
    <row r="256" spans="1:6" hidden="1" x14ac:dyDescent="0.2">
      <c r="A256" s="102" t="s">
        <v>160</v>
      </c>
      <c r="B256" s="102" t="s">
        <v>8</v>
      </c>
      <c r="C256" s="102" t="s">
        <v>154</v>
      </c>
      <c r="D256" s="103">
        <v>7719.7242658457699</v>
      </c>
      <c r="E256" s="103">
        <v>4516.0267196663699</v>
      </c>
      <c r="F256" s="103">
        <v>3842.96400055506</v>
      </c>
    </row>
    <row r="257" spans="1:6" hidden="1" x14ac:dyDescent="0.2">
      <c r="A257" s="102" t="s">
        <v>160</v>
      </c>
      <c r="B257" s="102" t="s">
        <v>8</v>
      </c>
      <c r="C257" s="102" t="s">
        <v>155</v>
      </c>
      <c r="D257" s="103">
        <v>290486.90878054203</v>
      </c>
      <c r="E257" s="103">
        <v>144455.71134332599</v>
      </c>
      <c r="F257" s="103">
        <v>144979.26089080301</v>
      </c>
    </row>
    <row r="258" spans="1:6" hidden="1" x14ac:dyDescent="0.2">
      <c r="A258" s="102" t="s">
        <v>160</v>
      </c>
      <c r="B258" s="102" t="s">
        <v>8</v>
      </c>
      <c r="C258" s="102" t="s">
        <v>156</v>
      </c>
      <c r="D258" s="103">
        <v>315893.09121945698</v>
      </c>
      <c r="E258" s="103">
        <v>159318.28865667299</v>
      </c>
      <c r="F258" s="103">
        <v>157626.739109196</v>
      </c>
    </row>
    <row r="259" spans="1:6" hidden="1" x14ac:dyDescent="0.2">
      <c r="A259" s="102" t="s">
        <v>160</v>
      </c>
      <c r="B259" s="102" t="s">
        <v>8</v>
      </c>
      <c r="C259" s="102" t="s">
        <v>157</v>
      </c>
      <c r="D259" s="104">
        <v>2.54616717762649</v>
      </c>
      <c r="E259" s="104">
        <v>2.97328060970746</v>
      </c>
      <c r="F259" s="104">
        <v>2.5399126260253002</v>
      </c>
    </row>
    <row r="260" spans="1:6" hidden="1" x14ac:dyDescent="0.2">
      <c r="A260" s="102" t="s">
        <v>160</v>
      </c>
      <c r="B260" s="102" t="s">
        <v>8</v>
      </c>
      <c r="C260" s="102" t="s">
        <v>158</v>
      </c>
      <c r="D260" s="104">
        <v>0.85637529989067995</v>
      </c>
      <c r="E260" s="104">
        <v>1.0537570413041399</v>
      </c>
      <c r="F260" s="104">
        <v>0.79429409412036001</v>
      </c>
    </row>
    <row r="261" spans="1:6" hidden="1" x14ac:dyDescent="0.2">
      <c r="A261" s="95" t="s">
        <v>160</v>
      </c>
      <c r="B261" s="95" t="s">
        <v>9</v>
      </c>
      <c r="C261" s="95" t="s">
        <v>153</v>
      </c>
      <c r="D261" s="96">
        <v>278003</v>
      </c>
      <c r="E261" s="96">
        <v>135511</v>
      </c>
      <c r="F261" s="96">
        <v>142492</v>
      </c>
    </row>
    <row r="262" spans="1:6" hidden="1" x14ac:dyDescent="0.2">
      <c r="A262" s="97" t="s">
        <v>160</v>
      </c>
      <c r="B262" s="97" t="s">
        <v>9</v>
      </c>
      <c r="C262" s="97" t="s">
        <v>154</v>
      </c>
      <c r="D262" s="98">
        <v>7225.83795910552</v>
      </c>
      <c r="E262" s="98">
        <v>3872.3147156824698</v>
      </c>
      <c r="F262" s="98">
        <v>3892.0605572864101</v>
      </c>
    </row>
    <row r="263" spans="1:6" hidden="1" x14ac:dyDescent="0.2">
      <c r="A263" s="97" t="s">
        <v>160</v>
      </c>
      <c r="B263" s="97" t="s">
        <v>9</v>
      </c>
      <c r="C263" s="97" t="s">
        <v>155</v>
      </c>
      <c r="D263" s="98">
        <v>266112.61692794599</v>
      </c>
      <c r="E263" s="98">
        <v>129138.963205707</v>
      </c>
      <c r="F263" s="98">
        <v>136087.470694516</v>
      </c>
    </row>
    <row r="264" spans="1:6" hidden="1" x14ac:dyDescent="0.2">
      <c r="A264" s="97" t="s">
        <v>160</v>
      </c>
      <c r="B264" s="97" t="s">
        <v>9</v>
      </c>
      <c r="C264" s="97" t="s">
        <v>156</v>
      </c>
      <c r="D264" s="98">
        <v>289893.38307205302</v>
      </c>
      <c r="E264" s="98">
        <v>141883.03679429201</v>
      </c>
      <c r="F264" s="98">
        <v>148896.52930548301</v>
      </c>
    </row>
    <row r="265" spans="1:6" hidden="1" x14ac:dyDescent="0.2">
      <c r="A265" s="97" t="s">
        <v>160</v>
      </c>
      <c r="B265" s="97" t="s">
        <v>9</v>
      </c>
      <c r="C265" s="97" t="s">
        <v>157</v>
      </c>
      <c r="D265" s="99">
        <v>2.5991942385893299</v>
      </c>
      <c r="E265" s="99">
        <v>2.8575648587070202</v>
      </c>
      <c r="F265" s="99">
        <v>2.7314239096134498</v>
      </c>
    </row>
    <row r="266" spans="1:6" hidden="1" x14ac:dyDescent="0.2">
      <c r="A266" s="97" t="s">
        <v>160</v>
      </c>
      <c r="B266" s="97" t="s">
        <v>9</v>
      </c>
      <c r="C266" s="97" t="s">
        <v>158</v>
      </c>
      <c r="D266" s="99">
        <v>0.90900511782372995</v>
      </c>
      <c r="E266" s="99">
        <v>0.99257346506664001</v>
      </c>
      <c r="F266" s="99">
        <v>0.93120896910420004</v>
      </c>
    </row>
    <row r="267" spans="1:6" hidden="1" x14ac:dyDescent="0.2">
      <c r="A267" s="100" t="s">
        <v>160</v>
      </c>
      <c r="B267" s="100" t="s">
        <v>10</v>
      </c>
      <c r="C267" s="100" t="s">
        <v>153</v>
      </c>
      <c r="D267" s="101">
        <v>260846</v>
      </c>
      <c r="E267" s="101">
        <v>129848</v>
      </c>
      <c r="F267" s="101">
        <v>130998</v>
      </c>
    </row>
    <row r="268" spans="1:6" hidden="1" x14ac:dyDescent="0.2">
      <c r="A268" s="102" t="s">
        <v>160</v>
      </c>
      <c r="B268" s="102" t="s">
        <v>10</v>
      </c>
      <c r="C268" s="102" t="s">
        <v>154</v>
      </c>
      <c r="D268" s="103">
        <v>6659.3486327055198</v>
      </c>
      <c r="E268" s="103">
        <v>3515.5884702482399</v>
      </c>
      <c r="F268" s="103">
        <v>3542.9499621338</v>
      </c>
    </row>
    <row r="269" spans="1:6" hidden="1" x14ac:dyDescent="0.2">
      <c r="A269" s="102" t="s">
        <v>160</v>
      </c>
      <c r="B269" s="102" t="s">
        <v>10</v>
      </c>
      <c r="C269" s="102" t="s">
        <v>155</v>
      </c>
      <c r="D269" s="103">
        <v>249887.79602402399</v>
      </c>
      <c r="E269" s="103">
        <v>124062.969409565</v>
      </c>
      <c r="F269" s="103">
        <v>125167.945064737</v>
      </c>
    </row>
    <row r="270" spans="1:6" hidden="1" x14ac:dyDescent="0.2">
      <c r="A270" s="102" t="s">
        <v>160</v>
      </c>
      <c r="B270" s="102" t="s">
        <v>10</v>
      </c>
      <c r="C270" s="102" t="s">
        <v>156</v>
      </c>
      <c r="D270" s="103">
        <v>271804.20397597499</v>
      </c>
      <c r="E270" s="103">
        <v>135633.03059043401</v>
      </c>
      <c r="F270" s="103">
        <v>136828.05493526199</v>
      </c>
    </row>
    <row r="271" spans="1:6" hidden="1" x14ac:dyDescent="0.2">
      <c r="A271" s="102" t="s">
        <v>160</v>
      </c>
      <c r="B271" s="102" t="s">
        <v>10</v>
      </c>
      <c r="C271" s="102" t="s">
        <v>157</v>
      </c>
      <c r="D271" s="104">
        <v>2.5529809284809901</v>
      </c>
      <c r="E271" s="104">
        <v>2.7074644740375202</v>
      </c>
      <c r="F271" s="104">
        <v>2.7045832471746101</v>
      </c>
    </row>
    <row r="272" spans="1:6" hidden="1" x14ac:dyDescent="0.2">
      <c r="A272" s="102" t="s">
        <v>160</v>
      </c>
      <c r="B272" s="102" t="s">
        <v>10</v>
      </c>
      <c r="C272" s="102" t="s">
        <v>158</v>
      </c>
      <c r="D272" s="104">
        <v>0.84726367718668005</v>
      </c>
      <c r="E272" s="104">
        <v>0.87142598856808995</v>
      </c>
      <c r="F272" s="104">
        <v>0.87919470260647004</v>
      </c>
    </row>
    <row r="273" spans="1:6" hidden="1" x14ac:dyDescent="0.2">
      <c r="A273" s="95" t="s">
        <v>160</v>
      </c>
      <c r="B273" s="95" t="s">
        <v>11</v>
      </c>
      <c r="C273" s="95" t="s">
        <v>153</v>
      </c>
      <c r="D273" s="96">
        <v>254074</v>
      </c>
      <c r="E273" s="96">
        <v>124218</v>
      </c>
      <c r="F273" s="96">
        <v>129856</v>
      </c>
    </row>
    <row r="274" spans="1:6" hidden="1" x14ac:dyDescent="0.2">
      <c r="A274" s="97" t="s">
        <v>160</v>
      </c>
      <c r="B274" s="97" t="s">
        <v>11</v>
      </c>
      <c r="C274" s="97" t="s">
        <v>154</v>
      </c>
      <c r="D274" s="98">
        <v>6471.86806363306</v>
      </c>
      <c r="E274" s="98">
        <v>3285.3679259722398</v>
      </c>
      <c r="F274" s="98">
        <v>3626.7013133484002</v>
      </c>
    </row>
    <row r="275" spans="1:6" hidden="1" x14ac:dyDescent="0.2">
      <c r="A275" s="97" t="s">
        <v>160</v>
      </c>
      <c r="B275" s="97" t="s">
        <v>11</v>
      </c>
      <c r="C275" s="97" t="s">
        <v>155</v>
      </c>
      <c r="D275" s="98">
        <v>243424.30222046201</v>
      </c>
      <c r="E275" s="98">
        <v>118811.80581275999</v>
      </c>
      <c r="F275" s="98">
        <v>123888.12912499699</v>
      </c>
    </row>
    <row r="276" spans="1:6" hidden="1" x14ac:dyDescent="0.2">
      <c r="A276" s="97" t="s">
        <v>160</v>
      </c>
      <c r="B276" s="97" t="s">
        <v>11</v>
      </c>
      <c r="C276" s="97" t="s">
        <v>156</v>
      </c>
      <c r="D276" s="98">
        <v>264723.697779537</v>
      </c>
      <c r="E276" s="98">
        <v>129624.194187239</v>
      </c>
      <c r="F276" s="98">
        <v>135823.870875002</v>
      </c>
    </row>
    <row r="277" spans="1:6" hidden="1" x14ac:dyDescent="0.2">
      <c r="A277" s="97" t="s">
        <v>160</v>
      </c>
      <c r="B277" s="97" t="s">
        <v>11</v>
      </c>
      <c r="C277" s="97" t="s">
        <v>157</v>
      </c>
      <c r="D277" s="99">
        <v>2.5472374440647401</v>
      </c>
      <c r="E277" s="99">
        <v>2.6448404627125202</v>
      </c>
      <c r="F277" s="99">
        <v>2.7928638748678498</v>
      </c>
    </row>
    <row r="278" spans="1:6" hidden="1" x14ac:dyDescent="0.2">
      <c r="A278" s="97" t="s">
        <v>160</v>
      </c>
      <c r="B278" s="97" t="s">
        <v>11</v>
      </c>
      <c r="C278" s="97" t="s">
        <v>158</v>
      </c>
      <c r="D278" s="99">
        <v>0.84802052469138001</v>
      </c>
      <c r="E278" s="99">
        <v>0.87242798122842002</v>
      </c>
      <c r="F278" s="99">
        <v>0.88876639390696999</v>
      </c>
    </row>
    <row r="279" spans="1:6" hidden="1" x14ac:dyDescent="0.2">
      <c r="A279" s="100" t="s">
        <v>160</v>
      </c>
      <c r="B279" s="100" t="s">
        <v>12</v>
      </c>
      <c r="C279" s="100" t="s">
        <v>153</v>
      </c>
      <c r="D279" s="101">
        <v>251522</v>
      </c>
      <c r="E279" s="101">
        <v>126874</v>
      </c>
      <c r="F279" s="101">
        <v>124648</v>
      </c>
    </row>
    <row r="280" spans="1:6" hidden="1" x14ac:dyDescent="0.2">
      <c r="A280" s="102" t="s">
        <v>160</v>
      </c>
      <c r="B280" s="102" t="s">
        <v>12</v>
      </c>
      <c r="C280" s="102" t="s">
        <v>154</v>
      </c>
      <c r="D280" s="103">
        <v>6782.94708785493</v>
      </c>
      <c r="E280" s="103">
        <v>3645.0582723922598</v>
      </c>
      <c r="F280" s="103">
        <v>3617.1368098103299</v>
      </c>
    </row>
    <row r="281" spans="1:6" hidden="1" x14ac:dyDescent="0.2">
      <c r="A281" s="102" t="s">
        <v>160</v>
      </c>
      <c r="B281" s="102" t="s">
        <v>12</v>
      </c>
      <c r="C281" s="102" t="s">
        <v>155</v>
      </c>
      <c r="D281" s="103">
        <v>240360.41020397699</v>
      </c>
      <c r="E281" s="103">
        <v>120875.922071323</v>
      </c>
      <c r="F281" s="103">
        <v>118695.867868601</v>
      </c>
    </row>
    <row r="282" spans="1:6" hidden="1" x14ac:dyDescent="0.2">
      <c r="A282" s="102" t="s">
        <v>160</v>
      </c>
      <c r="B282" s="102" t="s">
        <v>12</v>
      </c>
      <c r="C282" s="102" t="s">
        <v>156</v>
      </c>
      <c r="D282" s="103">
        <v>262683.58979602199</v>
      </c>
      <c r="E282" s="103">
        <v>132872.07792867601</v>
      </c>
      <c r="F282" s="103">
        <v>130600.132131398</v>
      </c>
    </row>
    <row r="283" spans="1:6" hidden="1" x14ac:dyDescent="0.2">
      <c r="A283" s="102" t="s">
        <v>160</v>
      </c>
      <c r="B283" s="102" t="s">
        <v>12</v>
      </c>
      <c r="C283" s="102" t="s">
        <v>157</v>
      </c>
      <c r="D283" s="104">
        <v>2.6967609544512698</v>
      </c>
      <c r="E283" s="104">
        <v>2.8729749770577602</v>
      </c>
      <c r="F283" s="104">
        <v>2.90188114515301</v>
      </c>
    </row>
    <row r="284" spans="1:6" hidden="1" x14ac:dyDescent="0.2">
      <c r="A284" s="102" t="s">
        <v>160</v>
      </c>
      <c r="B284" s="102" t="s">
        <v>12</v>
      </c>
      <c r="C284" s="102" t="s">
        <v>158</v>
      </c>
      <c r="D284" s="104">
        <v>0.89652768820604001</v>
      </c>
      <c r="E284" s="104">
        <v>0.90545149389519997</v>
      </c>
      <c r="F284" s="104">
        <v>0.97960509990824995</v>
      </c>
    </row>
    <row r="285" spans="1:6" hidden="1" x14ac:dyDescent="0.2">
      <c r="A285" s="95" t="s">
        <v>160</v>
      </c>
      <c r="B285" s="95" t="s">
        <v>13</v>
      </c>
      <c r="C285" s="95" t="s">
        <v>153</v>
      </c>
      <c r="D285" s="96">
        <v>198962</v>
      </c>
      <c r="E285" s="96">
        <v>100569</v>
      </c>
      <c r="F285" s="96">
        <v>98393</v>
      </c>
    </row>
    <row r="286" spans="1:6" hidden="1" x14ac:dyDescent="0.2">
      <c r="A286" s="97" t="s">
        <v>160</v>
      </c>
      <c r="B286" s="97" t="s">
        <v>13</v>
      </c>
      <c r="C286" s="97" t="s">
        <v>154</v>
      </c>
      <c r="D286" s="98">
        <v>5013.6875736399097</v>
      </c>
      <c r="E286" s="98">
        <v>2647.13689792075</v>
      </c>
      <c r="F286" s="98">
        <v>2819.8682813740902</v>
      </c>
    </row>
    <row r="287" spans="1:6" hidden="1" x14ac:dyDescent="0.2">
      <c r="A287" s="97" t="s">
        <v>160</v>
      </c>
      <c r="B287" s="97" t="s">
        <v>13</v>
      </c>
      <c r="C287" s="97" t="s">
        <v>155</v>
      </c>
      <c r="D287" s="98">
        <v>190711.79203912901</v>
      </c>
      <c r="E287" s="98">
        <v>96213.038526938995</v>
      </c>
      <c r="F287" s="98">
        <v>93752.802659839595</v>
      </c>
    </row>
    <row r="288" spans="1:6" hidden="1" x14ac:dyDescent="0.2">
      <c r="A288" s="97" t="s">
        <v>160</v>
      </c>
      <c r="B288" s="97" t="s">
        <v>13</v>
      </c>
      <c r="C288" s="97" t="s">
        <v>156</v>
      </c>
      <c r="D288" s="98">
        <v>207212.20796087</v>
      </c>
      <c r="E288" s="98">
        <v>104924.961473061</v>
      </c>
      <c r="F288" s="98">
        <v>103033.19734016</v>
      </c>
    </row>
    <row r="289" spans="1:6" hidden="1" x14ac:dyDescent="0.2">
      <c r="A289" s="97" t="s">
        <v>160</v>
      </c>
      <c r="B289" s="97" t="s">
        <v>13</v>
      </c>
      <c r="C289" s="97" t="s">
        <v>157</v>
      </c>
      <c r="D289" s="99">
        <v>2.5199221829494598</v>
      </c>
      <c r="E289" s="99">
        <v>2.6321599080439801</v>
      </c>
      <c r="F289" s="99">
        <v>2.8659236748285801</v>
      </c>
    </row>
    <row r="290" spans="1:6" hidden="1" x14ac:dyDescent="0.2">
      <c r="A290" s="97" t="s">
        <v>160</v>
      </c>
      <c r="B290" s="97" t="s">
        <v>13</v>
      </c>
      <c r="C290" s="97" t="s">
        <v>158</v>
      </c>
      <c r="D290" s="99">
        <v>0.82446170823687004</v>
      </c>
      <c r="E290" s="99">
        <v>0.80973212053002996</v>
      </c>
      <c r="F290" s="99">
        <v>0.94682386535252006</v>
      </c>
    </row>
    <row r="291" spans="1:6" hidden="1" x14ac:dyDescent="0.2">
      <c r="A291" s="100" t="s">
        <v>160</v>
      </c>
      <c r="B291" s="100" t="s">
        <v>14</v>
      </c>
      <c r="C291" s="100" t="s">
        <v>153</v>
      </c>
      <c r="D291" s="101">
        <v>174381</v>
      </c>
      <c r="E291" s="101">
        <v>87536</v>
      </c>
      <c r="F291" s="101">
        <v>86845</v>
      </c>
    </row>
    <row r="292" spans="1:6" hidden="1" x14ac:dyDescent="0.2">
      <c r="A292" s="102" t="s">
        <v>160</v>
      </c>
      <c r="B292" s="102" t="s">
        <v>14</v>
      </c>
      <c r="C292" s="102" t="s">
        <v>154</v>
      </c>
      <c r="D292" s="103">
        <v>4405.0391222526496</v>
      </c>
      <c r="E292" s="103">
        <v>2404.4103636763698</v>
      </c>
      <c r="F292" s="103">
        <v>2432.84800897691</v>
      </c>
    </row>
    <row r="293" spans="1:6" hidden="1" x14ac:dyDescent="0.2">
      <c r="A293" s="102" t="s">
        <v>160</v>
      </c>
      <c r="B293" s="102" t="s">
        <v>14</v>
      </c>
      <c r="C293" s="102" t="s">
        <v>155</v>
      </c>
      <c r="D293" s="103">
        <v>167132.34553149401</v>
      </c>
      <c r="E293" s="103">
        <v>83579.453998231198</v>
      </c>
      <c r="F293" s="103">
        <v>82841.658803237297</v>
      </c>
    </row>
    <row r="294" spans="1:6" hidden="1" x14ac:dyDescent="0.2">
      <c r="A294" s="102" t="s">
        <v>160</v>
      </c>
      <c r="B294" s="102" t="s">
        <v>14</v>
      </c>
      <c r="C294" s="102" t="s">
        <v>156</v>
      </c>
      <c r="D294" s="103">
        <v>181629.654468505</v>
      </c>
      <c r="E294" s="103">
        <v>91492.5460017687</v>
      </c>
      <c r="F294" s="103">
        <v>90848.341196762602</v>
      </c>
    </row>
    <row r="295" spans="1:6" hidden="1" x14ac:dyDescent="0.2">
      <c r="A295" s="102" t="s">
        <v>160</v>
      </c>
      <c r="B295" s="102" t="s">
        <v>14</v>
      </c>
      <c r="C295" s="102" t="s">
        <v>157</v>
      </c>
      <c r="D295" s="104">
        <v>2.5261003906690802</v>
      </c>
      <c r="E295" s="104">
        <v>2.7467674598752199</v>
      </c>
      <c r="F295" s="104">
        <v>2.8013679647382199</v>
      </c>
    </row>
    <row r="296" spans="1:6" hidden="1" x14ac:dyDescent="0.2">
      <c r="A296" s="102" t="s">
        <v>160</v>
      </c>
      <c r="B296" s="102" t="s">
        <v>14</v>
      </c>
      <c r="C296" s="102" t="s">
        <v>158</v>
      </c>
      <c r="D296" s="104">
        <v>0.82260929129534999</v>
      </c>
      <c r="E296" s="104">
        <v>0.88983030388708995</v>
      </c>
      <c r="F296" s="104">
        <v>0.87607344677659005</v>
      </c>
    </row>
    <row r="297" spans="1:6" hidden="1" x14ac:dyDescent="0.2">
      <c r="A297" s="95" t="s">
        <v>160</v>
      </c>
      <c r="B297" s="95" t="s">
        <v>15</v>
      </c>
      <c r="C297" s="95" t="s">
        <v>153</v>
      </c>
      <c r="D297" s="96">
        <v>127019</v>
      </c>
      <c r="E297" s="96">
        <v>61735</v>
      </c>
      <c r="F297" s="96">
        <v>65284</v>
      </c>
    </row>
    <row r="298" spans="1:6" hidden="1" x14ac:dyDescent="0.2">
      <c r="A298" s="97" t="s">
        <v>160</v>
      </c>
      <c r="B298" s="97" t="s">
        <v>15</v>
      </c>
      <c r="C298" s="97" t="s">
        <v>154</v>
      </c>
      <c r="D298" s="98">
        <v>3692.2539345701698</v>
      </c>
      <c r="E298" s="98">
        <v>1929.54693874597</v>
      </c>
      <c r="F298" s="98">
        <v>2169.0503607269702</v>
      </c>
    </row>
    <row r="299" spans="1:6" hidden="1" x14ac:dyDescent="0.2">
      <c r="A299" s="97" t="s">
        <v>160</v>
      </c>
      <c r="B299" s="97" t="s">
        <v>15</v>
      </c>
      <c r="C299" s="97" t="s">
        <v>155</v>
      </c>
      <c r="D299" s="98">
        <v>120943.25986718699</v>
      </c>
      <c r="E299" s="98">
        <v>58559.859291469897</v>
      </c>
      <c r="F299" s="98">
        <v>61714.747570374202</v>
      </c>
    </row>
    <row r="300" spans="1:6" hidden="1" x14ac:dyDescent="0.2">
      <c r="A300" s="97" t="s">
        <v>160</v>
      </c>
      <c r="B300" s="97" t="s">
        <v>15</v>
      </c>
      <c r="C300" s="97" t="s">
        <v>156</v>
      </c>
      <c r="D300" s="98">
        <v>133094.740132812</v>
      </c>
      <c r="E300" s="98">
        <v>64910.140708530002</v>
      </c>
      <c r="F300" s="98">
        <v>68853.252429625805</v>
      </c>
    </row>
    <row r="301" spans="1:6" hidden="1" x14ac:dyDescent="0.2">
      <c r="A301" s="97" t="s">
        <v>160</v>
      </c>
      <c r="B301" s="97" t="s">
        <v>15</v>
      </c>
      <c r="C301" s="97" t="s">
        <v>157</v>
      </c>
      <c r="D301" s="99">
        <v>2.9068516793315702</v>
      </c>
      <c r="E301" s="99">
        <v>3.1255316088863201</v>
      </c>
      <c r="F301" s="99">
        <v>3.3224838562694901</v>
      </c>
    </row>
    <row r="302" spans="1:6" hidden="1" x14ac:dyDescent="0.2">
      <c r="A302" s="97" t="s">
        <v>160</v>
      </c>
      <c r="B302" s="97" t="s">
        <v>15</v>
      </c>
      <c r="C302" s="97" t="s">
        <v>158</v>
      </c>
      <c r="D302" s="99">
        <v>1.0346508509130801</v>
      </c>
      <c r="E302" s="99">
        <v>1.01143013239935</v>
      </c>
      <c r="F302" s="99">
        <v>1.17198846015017</v>
      </c>
    </row>
    <row r="303" spans="1:6" hidden="1" x14ac:dyDescent="0.2">
      <c r="A303" s="100" t="s">
        <v>160</v>
      </c>
      <c r="B303" s="100" t="s">
        <v>16</v>
      </c>
      <c r="C303" s="100" t="s">
        <v>153</v>
      </c>
      <c r="D303" s="101">
        <v>100896</v>
      </c>
      <c r="E303" s="101">
        <v>47479</v>
      </c>
      <c r="F303" s="101">
        <v>53417</v>
      </c>
    </row>
    <row r="304" spans="1:6" hidden="1" x14ac:dyDescent="0.2">
      <c r="A304" s="102" t="s">
        <v>160</v>
      </c>
      <c r="B304" s="102" t="s">
        <v>16</v>
      </c>
      <c r="C304" s="102" t="s">
        <v>154</v>
      </c>
      <c r="D304" s="103">
        <v>3131.70889677487</v>
      </c>
      <c r="E304" s="103">
        <v>1645.6764488190599</v>
      </c>
      <c r="F304" s="103">
        <v>1830.8701146876001</v>
      </c>
    </row>
    <row r="305" spans="1:6" hidden="1" x14ac:dyDescent="0.2">
      <c r="A305" s="102" t="s">
        <v>160</v>
      </c>
      <c r="B305" s="102" t="s">
        <v>16</v>
      </c>
      <c r="C305" s="102" t="s">
        <v>155</v>
      </c>
      <c r="D305" s="103">
        <v>95742.657416959104</v>
      </c>
      <c r="E305" s="103">
        <v>44770.978660487701</v>
      </c>
      <c r="F305" s="103">
        <v>50404.235647683199</v>
      </c>
    </row>
    <row r="306" spans="1:6" hidden="1" x14ac:dyDescent="0.2">
      <c r="A306" s="102" t="s">
        <v>160</v>
      </c>
      <c r="B306" s="102" t="s">
        <v>16</v>
      </c>
      <c r="C306" s="102" t="s">
        <v>156</v>
      </c>
      <c r="D306" s="103">
        <v>106049.34258303999</v>
      </c>
      <c r="E306" s="103">
        <v>50187.021339512197</v>
      </c>
      <c r="F306" s="103">
        <v>56429.764352316699</v>
      </c>
    </row>
    <row r="307" spans="1:6" hidden="1" x14ac:dyDescent="0.2">
      <c r="A307" s="102" t="s">
        <v>160</v>
      </c>
      <c r="B307" s="102" t="s">
        <v>16</v>
      </c>
      <c r="C307" s="102" t="s">
        <v>157</v>
      </c>
      <c r="D307" s="104">
        <v>3.10389797095511</v>
      </c>
      <c r="E307" s="104">
        <v>3.4661143849260898</v>
      </c>
      <c r="F307" s="104">
        <v>3.42750456724939</v>
      </c>
    </row>
    <row r="308" spans="1:6" hidden="1" x14ac:dyDescent="0.2">
      <c r="A308" s="102" t="s">
        <v>160</v>
      </c>
      <c r="B308" s="102" t="s">
        <v>16</v>
      </c>
      <c r="C308" s="102" t="s">
        <v>158</v>
      </c>
      <c r="D308" s="104">
        <v>1.07406511136248</v>
      </c>
      <c r="E308" s="104">
        <v>1.12369776344703</v>
      </c>
      <c r="F308" s="104">
        <v>1.1311581710860801</v>
      </c>
    </row>
    <row r="309" spans="1:6" hidden="1" x14ac:dyDescent="0.2">
      <c r="A309" s="95" t="s">
        <v>160</v>
      </c>
      <c r="B309" s="95" t="s">
        <v>17</v>
      </c>
      <c r="C309" s="95" t="s">
        <v>153</v>
      </c>
      <c r="D309" s="96">
        <v>69522</v>
      </c>
      <c r="E309" s="96">
        <v>31300</v>
      </c>
      <c r="F309" s="96">
        <v>38222</v>
      </c>
    </row>
    <row r="310" spans="1:6" hidden="1" x14ac:dyDescent="0.2">
      <c r="A310" s="97" t="s">
        <v>160</v>
      </c>
      <c r="B310" s="97" t="s">
        <v>17</v>
      </c>
      <c r="C310" s="97" t="s">
        <v>154</v>
      </c>
      <c r="D310" s="98">
        <v>2347.0138822261401</v>
      </c>
      <c r="E310" s="98">
        <v>1178.8202262728601</v>
      </c>
      <c r="F310" s="98">
        <v>1526.73114954588</v>
      </c>
    </row>
    <row r="311" spans="1:6" hidden="1" x14ac:dyDescent="0.2">
      <c r="A311" s="97" t="s">
        <v>160</v>
      </c>
      <c r="B311" s="97" t="s">
        <v>17</v>
      </c>
      <c r="C311" s="97" t="s">
        <v>155</v>
      </c>
      <c r="D311" s="98">
        <v>65659.902026998796</v>
      </c>
      <c r="E311" s="98">
        <v>29360.207806652099</v>
      </c>
      <c r="F311" s="98">
        <v>35709.707540789503</v>
      </c>
    </row>
    <row r="312" spans="1:6" hidden="1" x14ac:dyDescent="0.2">
      <c r="A312" s="97" t="s">
        <v>160</v>
      </c>
      <c r="B312" s="97" t="s">
        <v>17</v>
      </c>
      <c r="C312" s="97" t="s">
        <v>156</v>
      </c>
      <c r="D312" s="98">
        <v>73384.097973001204</v>
      </c>
      <c r="E312" s="98">
        <v>33239.792193347799</v>
      </c>
      <c r="F312" s="98">
        <v>40734.292459210403</v>
      </c>
    </row>
    <row r="313" spans="1:6" hidden="1" x14ac:dyDescent="0.2">
      <c r="A313" s="97" t="s">
        <v>160</v>
      </c>
      <c r="B313" s="97" t="s">
        <v>17</v>
      </c>
      <c r="C313" s="97" t="s">
        <v>157</v>
      </c>
      <c r="D313" s="99">
        <v>3.3759297520585498</v>
      </c>
      <c r="E313" s="99">
        <v>3.76619880598358</v>
      </c>
      <c r="F313" s="99">
        <v>3.9943779748466399</v>
      </c>
    </row>
    <row r="314" spans="1:6" hidden="1" x14ac:dyDescent="0.2">
      <c r="A314" s="97" t="s">
        <v>160</v>
      </c>
      <c r="B314" s="97" t="s">
        <v>17</v>
      </c>
      <c r="C314" s="97" t="s">
        <v>158</v>
      </c>
      <c r="D314" s="99">
        <v>1.1232707938476201</v>
      </c>
      <c r="E314" s="99">
        <v>1.11970165417032</v>
      </c>
      <c r="F314" s="99">
        <v>1.29814401703532</v>
      </c>
    </row>
    <row r="315" spans="1:6" hidden="1" x14ac:dyDescent="0.2">
      <c r="A315" s="100" t="s">
        <v>160</v>
      </c>
      <c r="B315" s="100" t="s">
        <v>18</v>
      </c>
      <c r="C315" s="100" t="s">
        <v>153</v>
      </c>
      <c r="D315" s="101">
        <v>46249</v>
      </c>
      <c r="E315" s="101">
        <v>22559</v>
      </c>
      <c r="F315" s="101">
        <v>23690</v>
      </c>
    </row>
    <row r="316" spans="1:6" hidden="1" x14ac:dyDescent="0.2">
      <c r="A316" s="102" t="s">
        <v>160</v>
      </c>
      <c r="B316" s="102" t="s">
        <v>18</v>
      </c>
      <c r="C316" s="102" t="s">
        <v>154</v>
      </c>
      <c r="D316" s="103">
        <v>1741.3940694707101</v>
      </c>
      <c r="E316" s="103">
        <v>1004.8557746292</v>
      </c>
      <c r="F316" s="103">
        <v>1037.3504560660899</v>
      </c>
    </row>
    <row r="317" spans="1:6" hidden="1" x14ac:dyDescent="0.2">
      <c r="A317" s="102" t="s">
        <v>160</v>
      </c>
      <c r="B317" s="102" t="s">
        <v>18</v>
      </c>
      <c r="C317" s="102" t="s">
        <v>155</v>
      </c>
      <c r="D317" s="103">
        <v>43383.471782706198</v>
      </c>
      <c r="E317" s="103">
        <v>20905.472732972001</v>
      </c>
      <c r="F317" s="103">
        <v>21983.0015352679</v>
      </c>
    </row>
    <row r="318" spans="1:6" hidden="1" x14ac:dyDescent="0.2">
      <c r="A318" s="102" t="s">
        <v>160</v>
      </c>
      <c r="B318" s="102" t="s">
        <v>18</v>
      </c>
      <c r="C318" s="102" t="s">
        <v>156</v>
      </c>
      <c r="D318" s="103">
        <v>49114.5282172937</v>
      </c>
      <c r="E318" s="103">
        <v>24212.527267027901</v>
      </c>
      <c r="F318" s="103">
        <v>25396.998464732002</v>
      </c>
    </row>
    <row r="319" spans="1:6" hidden="1" x14ac:dyDescent="0.2">
      <c r="A319" s="102" t="s">
        <v>160</v>
      </c>
      <c r="B319" s="102" t="s">
        <v>18</v>
      </c>
      <c r="C319" s="102" t="s">
        <v>157</v>
      </c>
      <c r="D319" s="104">
        <v>3.7652577774021299</v>
      </c>
      <c r="E319" s="104">
        <v>4.4543453815736704</v>
      </c>
      <c r="F319" s="104">
        <v>4.3788537613596397</v>
      </c>
    </row>
    <row r="320" spans="1:6" hidden="1" x14ac:dyDescent="0.2">
      <c r="A320" s="102" t="s">
        <v>160</v>
      </c>
      <c r="B320" s="102" t="s">
        <v>18</v>
      </c>
      <c r="C320" s="102" t="s">
        <v>158</v>
      </c>
      <c r="D320" s="104">
        <v>1.1938241151442499</v>
      </c>
      <c r="E320" s="104">
        <v>1.29656186296297</v>
      </c>
      <c r="F320" s="104">
        <v>1.26788680404159</v>
      </c>
    </row>
    <row r="321" spans="1:6" hidden="1" x14ac:dyDescent="0.2">
      <c r="A321" s="95" t="s">
        <v>160</v>
      </c>
      <c r="B321" s="95" t="s">
        <v>19</v>
      </c>
      <c r="C321" s="95" t="s">
        <v>153</v>
      </c>
      <c r="D321" s="96">
        <v>63970</v>
      </c>
      <c r="E321" s="96">
        <v>29088</v>
      </c>
      <c r="F321" s="96">
        <v>34882</v>
      </c>
    </row>
    <row r="322" spans="1:6" hidden="1" x14ac:dyDescent="0.2">
      <c r="A322" s="97" t="s">
        <v>160</v>
      </c>
      <c r="B322" s="97" t="s">
        <v>19</v>
      </c>
      <c r="C322" s="97" t="s">
        <v>154</v>
      </c>
      <c r="D322" s="98">
        <v>2497.8771028374099</v>
      </c>
      <c r="E322" s="98">
        <v>1272.15968782237</v>
      </c>
      <c r="F322" s="98">
        <v>1501.81119273643</v>
      </c>
    </row>
    <row r="323" spans="1:6" hidden="1" x14ac:dyDescent="0.2">
      <c r="A323" s="97" t="s">
        <v>160</v>
      </c>
      <c r="B323" s="97" t="s">
        <v>19</v>
      </c>
      <c r="C323" s="97" t="s">
        <v>155</v>
      </c>
      <c r="D323" s="98">
        <v>59859.651029023997</v>
      </c>
      <c r="E323" s="98">
        <v>26994.614277452602</v>
      </c>
      <c r="F323" s="98">
        <v>32410.7142495312</v>
      </c>
    </row>
    <row r="324" spans="1:6" hidden="1" x14ac:dyDescent="0.2">
      <c r="A324" s="97" t="s">
        <v>160</v>
      </c>
      <c r="B324" s="97" t="s">
        <v>19</v>
      </c>
      <c r="C324" s="97" t="s">
        <v>156</v>
      </c>
      <c r="D324" s="98">
        <v>68080.348970975901</v>
      </c>
      <c r="E324" s="98">
        <v>31181.3857225473</v>
      </c>
      <c r="F324" s="98">
        <v>37353.285750468698</v>
      </c>
    </row>
    <row r="325" spans="1:6" hidden="1" x14ac:dyDescent="0.2">
      <c r="A325" s="97" t="s">
        <v>160</v>
      </c>
      <c r="B325" s="97" t="s">
        <v>19</v>
      </c>
      <c r="C325" s="97" t="s">
        <v>157</v>
      </c>
      <c r="D325" s="99">
        <v>3.9047633309948599</v>
      </c>
      <c r="E325" s="99">
        <v>4.3734862755169601</v>
      </c>
      <c r="F325" s="99">
        <v>4.3054044857990803</v>
      </c>
    </row>
    <row r="326" spans="1:6" hidden="1" x14ac:dyDescent="0.2">
      <c r="A326" s="97" t="s">
        <v>160</v>
      </c>
      <c r="B326" s="97" t="s">
        <v>19</v>
      </c>
      <c r="C326" s="97" t="s">
        <v>158</v>
      </c>
      <c r="D326" s="99">
        <v>1.3688674119726201</v>
      </c>
      <c r="E326" s="99">
        <v>1.4288255757572701</v>
      </c>
      <c r="F326" s="99">
        <v>1.39188803813148</v>
      </c>
    </row>
    <row r="327" spans="1:6" hidden="1" x14ac:dyDescent="0.2">
      <c r="A327" s="100" t="s">
        <v>160</v>
      </c>
      <c r="B327" s="100" t="s">
        <v>20</v>
      </c>
      <c r="C327" s="100" t="s">
        <v>153</v>
      </c>
      <c r="D327" s="101">
        <v>1654</v>
      </c>
      <c r="E327" s="101">
        <v>945</v>
      </c>
      <c r="F327" s="101">
        <v>709</v>
      </c>
    </row>
    <row r="328" spans="1:6" hidden="1" x14ac:dyDescent="0.2">
      <c r="A328" s="102" t="s">
        <v>160</v>
      </c>
      <c r="B328" s="102" t="s">
        <v>20</v>
      </c>
      <c r="C328" s="102" t="s">
        <v>154</v>
      </c>
      <c r="D328" s="103">
        <v>339.600011752961</v>
      </c>
      <c r="E328" s="103">
        <v>213.45486532149201</v>
      </c>
      <c r="F328" s="103">
        <v>166.28450525395399</v>
      </c>
    </row>
    <row r="329" spans="1:6" hidden="1" x14ac:dyDescent="0.2">
      <c r="A329" s="102" t="s">
        <v>160</v>
      </c>
      <c r="B329" s="102" t="s">
        <v>20</v>
      </c>
      <c r="C329" s="102" t="s">
        <v>155</v>
      </c>
      <c r="D329" s="103">
        <v>1095.1756458047601</v>
      </c>
      <c r="E329" s="103">
        <v>593.75214035655802</v>
      </c>
      <c r="F329" s="103">
        <v>435.37270893614499</v>
      </c>
    </row>
    <row r="330" spans="1:6" hidden="1" x14ac:dyDescent="0.2">
      <c r="A330" s="102" t="s">
        <v>160</v>
      </c>
      <c r="B330" s="102" t="s">
        <v>20</v>
      </c>
      <c r="C330" s="102" t="s">
        <v>156</v>
      </c>
      <c r="D330" s="103">
        <v>2212.8243541952402</v>
      </c>
      <c r="E330" s="103">
        <v>1296.2478596434401</v>
      </c>
      <c r="F330" s="103">
        <v>982.62729106385405</v>
      </c>
    </row>
    <row r="331" spans="1:6" hidden="1" x14ac:dyDescent="0.2">
      <c r="A331" s="102" t="s">
        <v>160</v>
      </c>
      <c r="B331" s="102" t="s">
        <v>20</v>
      </c>
      <c r="C331" s="102" t="s">
        <v>157</v>
      </c>
      <c r="D331" s="104">
        <v>20.5320442414124</v>
      </c>
      <c r="E331" s="104">
        <v>22.587816436136801</v>
      </c>
      <c r="F331" s="104">
        <v>23.4533857904025</v>
      </c>
    </row>
    <row r="332" spans="1:6" hidden="1" x14ac:dyDescent="0.2">
      <c r="A332" s="102" t="s">
        <v>160</v>
      </c>
      <c r="B332" s="102" t="s">
        <v>20</v>
      </c>
      <c r="C332" s="102" t="s">
        <v>158</v>
      </c>
      <c r="D332" s="104">
        <v>1.8818942397460501</v>
      </c>
      <c r="E332" s="104">
        <v>1.7539162774825501</v>
      </c>
      <c r="F332" s="104">
        <v>1.7408938209202001</v>
      </c>
    </row>
    <row r="333" spans="1:6" hidden="1" x14ac:dyDescent="0.2">
      <c r="A333" s="95" t="s">
        <v>161</v>
      </c>
      <c r="B333" s="95" t="s">
        <v>152</v>
      </c>
      <c r="C333" s="95" t="s">
        <v>153</v>
      </c>
      <c r="D333" s="96">
        <v>712029</v>
      </c>
      <c r="E333" s="96">
        <v>359137</v>
      </c>
      <c r="F333" s="96">
        <v>352892</v>
      </c>
    </row>
    <row r="334" spans="1:6" hidden="1" x14ac:dyDescent="0.2">
      <c r="A334" s="97" t="s">
        <v>161</v>
      </c>
      <c r="B334" s="97" t="s">
        <v>152</v>
      </c>
      <c r="C334" s="97" t="s">
        <v>154</v>
      </c>
      <c r="D334" s="98">
        <v>22113.272372651201</v>
      </c>
      <c r="E334" s="98">
        <v>11433.3836569046</v>
      </c>
      <c r="F334" s="98">
        <v>10905.1514218418</v>
      </c>
    </row>
    <row r="335" spans="1:6" hidden="1" x14ac:dyDescent="0.2">
      <c r="A335" s="97" t="s">
        <v>161</v>
      </c>
      <c r="B335" s="97" t="s">
        <v>152</v>
      </c>
      <c r="C335" s="97" t="s">
        <v>155</v>
      </c>
      <c r="D335" s="98">
        <v>675628.33119469602</v>
      </c>
      <c r="E335" s="98">
        <v>340316.50139601802</v>
      </c>
      <c r="F335" s="98">
        <v>334941.02474456502</v>
      </c>
    </row>
    <row r="336" spans="1:6" hidden="1" x14ac:dyDescent="0.2">
      <c r="A336" s="97" t="s">
        <v>161</v>
      </c>
      <c r="B336" s="97" t="s">
        <v>152</v>
      </c>
      <c r="C336" s="97" t="s">
        <v>156</v>
      </c>
      <c r="D336" s="98">
        <v>748429.66880530305</v>
      </c>
      <c r="E336" s="98">
        <v>377957.49860398198</v>
      </c>
      <c r="F336" s="98">
        <v>370842.97525543399</v>
      </c>
    </row>
    <row r="337" spans="1:6" hidden="1" x14ac:dyDescent="0.2">
      <c r="A337" s="97" t="s">
        <v>161</v>
      </c>
      <c r="B337" s="97" t="s">
        <v>152</v>
      </c>
      <c r="C337" s="97" t="s">
        <v>157</v>
      </c>
      <c r="D337" s="99">
        <v>3.1056701865585898</v>
      </c>
      <c r="E337" s="99">
        <v>3.18357163336126</v>
      </c>
      <c r="F337" s="99">
        <v>3.09022347399257</v>
      </c>
    </row>
    <row r="338" spans="1:6" hidden="1" x14ac:dyDescent="0.2">
      <c r="A338" s="97" t="s">
        <v>161</v>
      </c>
      <c r="B338" s="97" t="s">
        <v>152</v>
      </c>
      <c r="C338" s="97" t="s">
        <v>158</v>
      </c>
      <c r="D338" s="99">
        <v>3.2655489460943699</v>
      </c>
      <c r="E338" s="99">
        <v>1.47321750604937</v>
      </c>
      <c r="F338" s="99">
        <v>1.4032043358976201</v>
      </c>
    </row>
    <row r="339" spans="1:6" hidden="1" x14ac:dyDescent="0.2">
      <c r="A339" s="100" t="s">
        <v>161</v>
      </c>
      <c r="B339" s="100" t="s">
        <v>4</v>
      </c>
      <c r="C339" s="100" t="s">
        <v>153</v>
      </c>
      <c r="D339" s="101">
        <v>62513</v>
      </c>
      <c r="E339" s="101">
        <v>30604</v>
      </c>
      <c r="F339" s="101">
        <v>31909</v>
      </c>
    </row>
    <row r="340" spans="1:6" hidden="1" x14ac:dyDescent="0.2">
      <c r="A340" s="102" t="s">
        <v>161</v>
      </c>
      <c r="B340" s="102" t="s">
        <v>4</v>
      </c>
      <c r="C340" s="102" t="s">
        <v>154</v>
      </c>
      <c r="D340" s="103">
        <v>2430.0571697815499</v>
      </c>
      <c r="E340" s="103">
        <v>1392.6078428641899</v>
      </c>
      <c r="F340" s="103">
        <v>1255.26996509216</v>
      </c>
    </row>
    <row r="341" spans="1:6" hidden="1" x14ac:dyDescent="0.2">
      <c r="A341" s="102" t="s">
        <v>161</v>
      </c>
      <c r="B341" s="102" t="s">
        <v>4</v>
      </c>
      <c r="C341" s="102" t="s">
        <v>155</v>
      </c>
      <c r="D341" s="103">
        <v>58512.8816672393</v>
      </c>
      <c r="E341" s="103">
        <v>28311.627527508699</v>
      </c>
      <c r="F341" s="103">
        <v>29842.699477374699</v>
      </c>
    </row>
    <row r="342" spans="1:6" hidden="1" x14ac:dyDescent="0.2">
      <c r="A342" s="102" t="s">
        <v>161</v>
      </c>
      <c r="B342" s="102" t="s">
        <v>4</v>
      </c>
      <c r="C342" s="102" t="s">
        <v>156</v>
      </c>
      <c r="D342" s="103">
        <v>66513.118332760598</v>
      </c>
      <c r="E342" s="103">
        <v>32896.372472491203</v>
      </c>
      <c r="F342" s="103">
        <v>33975.300522625301</v>
      </c>
    </row>
    <row r="343" spans="1:6" hidden="1" x14ac:dyDescent="0.2">
      <c r="A343" s="102" t="s">
        <v>161</v>
      </c>
      <c r="B343" s="102" t="s">
        <v>4</v>
      </c>
      <c r="C343" s="102" t="s">
        <v>157</v>
      </c>
      <c r="D343" s="104">
        <v>3.8872829168037999</v>
      </c>
      <c r="E343" s="104">
        <v>4.5504111974388799</v>
      </c>
      <c r="F343" s="104">
        <v>3.93390568520533</v>
      </c>
    </row>
    <row r="344" spans="1:6" hidden="1" x14ac:dyDescent="0.2">
      <c r="A344" s="102" t="s">
        <v>161</v>
      </c>
      <c r="B344" s="102" t="s">
        <v>4</v>
      </c>
      <c r="C344" s="102" t="s">
        <v>158</v>
      </c>
      <c r="D344" s="104">
        <v>1.1538701139740499</v>
      </c>
      <c r="E344" s="104">
        <v>1.35437346812881</v>
      </c>
      <c r="F344" s="104">
        <v>1.0691197904434599</v>
      </c>
    </row>
    <row r="345" spans="1:6" hidden="1" x14ac:dyDescent="0.2">
      <c r="A345" s="95" t="s">
        <v>161</v>
      </c>
      <c r="B345" s="95" t="s">
        <v>5</v>
      </c>
      <c r="C345" s="95" t="s">
        <v>153</v>
      </c>
      <c r="D345" s="96">
        <v>62959</v>
      </c>
      <c r="E345" s="96">
        <v>31286</v>
      </c>
      <c r="F345" s="96">
        <v>31673</v>
      </c>
    </row>
    <row r="346" spans="1:6" hidden="1" x14ac:dyDescent="0.2">
      <c r="A346" s="97" t="s">
        <v>161</v>
      </c>
      <c r="B346" s="97" t="s">
        <v>5</v>
      </c>
      <c r="C346" s="97" t="s">
        <v>154</v>
      </c>
      <c r="D346" s="98">
        <v>2212.6451483738501</v>
      </c>
      <c r="E346" s="98">
        <v>1165.67713791494</v>
      </c>
      <c r="F346" s="98">
        <v>1293.12793255572</v>
      </c>
    </row>
    <row r="347" spans="1:6" hidden="1" x14ac:dyDescent="0.2">
      <c r="A347" s="97" t="s">
        <v>161</v>
      </c>
      <c r="B347" s="97" t="s">
        <v>5</v>
      </c>
      <c r="C347" s="97" t="s">
        <v>155</v>
      </c>
      <c r="D347" s="98">
        <v>59316.7637053289</v>
      </c>
      <c r="E347" s="98">
        <v>29367.178275376598</v>
      </c>
      <c r="F347" s="98">
        <v>29544.381458039501</v>
      </c>
    </row>
    <row r="348" spans="1:6" hidden="1" x14ac:dyDescent="0.2">
      <c r="A348" s="97" t="s">
        <v>161</v>
      </c>
      <c r="B348" s="97" t="s">
        <v>5</v>
      </c>
      <c r="C348" s="97" t="s">
        <v>156</v>
      </c>
      <c r="D348" s="98">
        <v>66601.236294671093</v>
      </c>
      <c r="E348" s="98">
        <v>33204.821724623303</v>
      </c>
      <c r="F348" s="98">
        <v>33801.618541960401</v>
      </c>
    </row>
    <row r="349" spans="1:6" hidden="1" x14ac:dyDescent="0.2">
      <c r="A349" s="97" t="s">
        <v>161</v>
      </c>
      <c r="B349" s="97" t="s">
        <v>5</v>
      </c>
      <c r="C349" s="97" t="s">
        <v>157</v>
      </c>
      <c r="D349" s="99">
        <v>3.5144223198809499</v>
      </c>
      <c r="E349" s="99">
        <v>3.7258746337497302</v>
      </c>
      <c r="F349" s="99">
        <v>4.0827453432125997</v>
      </c>
    </row>
    <row r="350" spans="1:6" hidden="1" x14ac:dyDescent="0.2">
      <c r="A350" s="97" t="s">
        <v>161</v>
      </c>
      <c r="B350" s="97" t="s">
        <v>5</v>
      </c>
      <c r="C350" s="97" t="s">
        <v>158</v>
      </c>
      <c r="D350" s="99">
        <v>0.95772710830867003</v>
      </c>
      <c r="E350" s="99">
        <v>0.94637383579984002</v>
      </c>
      <c r="F350" s="99">
        <v>1.1436584007996</v>
      </c>
    </row>
    <row r="351" spans="1:6" hidden="1" x14ac:dyDescent="0.2">
      <c r="A351" s="100" t="s">
        <v>161</v>
      </c>
      <c r="B351" s="100" t="s">
        <v>6</v>
      </c>
      <c r="C351" s="100" t="s">
        <v>153</v>
      </c>
      <c r="D351" s="101">
        <v>64031</v>
      </c>
      <c r="E351" s="101">
        <v>32425</v>
      </c>
      <c r="F351" s="101">
        <v>31606</v>
      </c>
    </row>
    <row r="352" spans="1:6" hidden="1" x14ac:dyDescent="0.2">
      <c r="A352" s="102" t="s">
        <v>161</v>
      </c>
      <c r="B352" s="102" t="s">
        <v>6</v>
      </c>
      <c r="C352" s="102" t="s">
        <v>154</v>
      </c>
      <c r="D352" s="103">
        <v>2860.5754452024598</v>
      </c>
      <c r="E352" s="103">
        <v>1619.07917781021</v>
      </c>
      <c r="F352" s="103">
        <v>1546.64134264938</v>
      </c>
    </row>
    <row r="353" spans="1:6" hidden="1" x14ac:dyDescent="0.2">
      <c r="A353" s="102" t="s">
        <v>161</v>
      </c>
      <c r="B353" s="102" t="s">
        <v>6</v>
      </c>
      <c r="C353" s="102" t="s">
        <v>155</v>
      </c>
      <c r="D353" s="103">
        <v>59322.205316939901</v>
      </c>
      <c r="E353" s="103">
        <v>29759.832948834701</v>
      </c>
      <c r="F353" s="103">
        <v>29060.072905826499</v>
      </c>
    </row>
    <row r="354" spans="1:6" hidden="1" x14ac:dyDescent="0.2">
      <c r="A354" s="102" t="s">
        <v>161</v>
      </c>
      <c r="B354" s="102" t="s">
        <v>6</v>
      </c>
      <c r="C354" s="102" t="s">
        <v>156</v>
      </c>
      <c r="D354" s="103">
        <v>68739.794683059998</v>
      </c>
      <c r="E354" s="103">
        <v>35090.167051165197</v>
      </c>
      <c r="F354" s="103">
        <v>34151.927094173399</v>
      </c>
    </row>
    <row r="355" spans="1:6" hidden="1" x14ac:dyDescent="0.2">
      <c r="A355" s="102" t="s">
        <v>161</v>
      </c>
      <c r="B355" s="102" t="s">
        <v>6</v>
      </c>
      <c r="C355" s="102" t="s">
        <v>157</v>
      </c>
      <c r="D355" s="104">
        <v>4.4674851949875301</v>
      </c>
      <c r="E355" s="104">
        <v>4.9933050973329598</v>
      </c>
      <c r="F355" s="104">
        <v>4.8935054820267796</v>
      </c>
    </row>
    <row r="356" spans="1:6" hidden="1" x14ac:dyDescent="0.2">
      <c r="A356" s="102" t="s">
        <v>161</v>
      </c>
      <c r="B356" s="102" t="s">
        <v>6</v>
      </c>
      <c r="C356" s="102" t="s">
        <v>158</v>
      </c>
      <c r="D356" s="104">
        <v>1.5664766297124799</v>
      </c>
      <c r="E356" s="104">
        <v>1.69638133873358</v>
      </c>
      <c r="F356" s="104">
        <v>1.6378508026888601</v>
      </c>
    </row>
    <row r="357" spans="1:6" hidden="1" x14ac:dyDescent="0.2">
      <c r="A357" s="95" t="s">
        <v>161</v>
      </c>
      <c r="B357" s="95" t="s">
        <v>7</v>
      </c>
      <c r="C357" s="95" t="s">
        <v>153</v>
      </c>
      <c r="D357" s="96">
        <v>62023</v>
      </c>
      <c r="E357" s="96">
        <v>32225</v>
      </c>
      <c r="F357" s="96">
        <v>29798</v>
      </c>
    </row>
    <row r="358" spans="1:6" hidden="1" x14ac:dyDescent="0.2">
      <c r="A358" s="97" t="s">
        <v>161</v>
      </c>
      <c r="B358" s="97" t="s">
        <v>7</v>
      </c>
      <c r="C358" s="97" t="s">
        <v>154</v>
      </c>
      <c r="D358" s="98">
        <v>2302.3830670611001</v>
      </c>
      <c r="E358" s="98">
        <v>1181.93660385051</v>
      </c>
      <c r="F358" s="98">
        <v>1391.16494398487</v>
      </c>
    </row>
    <row r="359" spans="1:6" hidden="1" x14ac:dyDescent="0.2">
      <c r="A359" s="97" t="s">
        <v>161</v>
      </c>
      <c r="B359" s="97" t="s">
        <v>7</v>
      </c>
      <c r="C359" s="97" t="s">
        <v>155</v>
      </c>
      <c r="D359" s="98">
        <v>58233.046072119003</v>
      </c>
      <c r="E359" s="98">
        <v>30279.413560299701</v>
      </c>
      <c r="F359" s="98">
        <v>27508.002684081599</v>
      </c>
    </row>
    <row r="360" spans="1:6" hidden="1" x14ac:dyDescent="0.2">
      <c r="A360" s="97" t="s">
        <v>161</v>
      </c>
      <c r="B360" s="97" t="s">
        <v>7</v>
      </c>
      <c r="C360" s="97" t="s">
        <v>156</v>
      </c>
      <c r="D360" s="98">
        <v>65812.953927880895</v>
      </c>
      <c r="E360" s="98">
        <v>34170.586439700201</v>
      </c>
      <c r="F360" s="98">
        <v>32087.997315918299</v>
      </c>
    </row>
    <row r="361" spans="1:6" hidden="1" x14ac:dyDescent="0.2">
      <c r="A361" s="97" t="s">
        <v>161</v>
      </c>
      <c r="B361" s="97" t="s">
        <v>7</v>
      </c>
      <c r="C361" s="97" t="s">
        <v>157</v>
      </c>
      <c r="D361" s="99">
        <v>3.7121439902312101</v>
      </c>
      <c r="E361" s="99">
        <v>3.6677629289387599</v>
      </c>
      <c r="F361" s="99">
        <v>4.6686520705580197</v>
      </c>
    </row>
    <row r="362" spans="1:6" hidden="1" x14ac:dyDescent="0.2">
      <c r="A362" s="97" t="s">
        <v>161</v>
      </c>
      <c r="B362" s="97" t="s">
        <v>7</v>
      </c>
      <c r="C362" s="97" t="s">
        <v>158</v>
      </c>
      <c r="D362" s="99">
        <v>1.08345466170197</v>
      </c>
      <c r="E362" s="99">
        <v>0.96507760334462001</v>
      </c>
      <c r="F362" s="99">
        <v>1.4499939402031401</v>
      </c>
    </row>
    <row r="363" spans="1:6" hidden="1" x14ac:dyDescent="0.2">
      <c r="A363" s="100" t="s">
        <v>161</v>
      </c>
      <c r="B363" s="100" t="s">
        <v>8</v>
      </c>
      <c r="C363" s="100" t="s">
        <v>153</v>
      </c>
      <c r="D363" s="101">
        <v>64077</v>
      </c>
      <c r="E363" s="101">
        <v>32943</v>
      </c>
      <c r="F363" s="101">
        <v>31134</v>
      </c>
    </row>
    <row r="364" spans="1:6" hidden="1" x14ac:dyDescent="0.2">
      <c r="A364" s="102" t="s">
        <v>161</v>
      </c>
      <c r="B364" s="102" t="s">
        <v>8</v>
      </c>
      <c r="C364" s="102" t="s">
        <v>154</v>
      </c>
      <c r="D364" s="103">
        <v>2566.7726320875399</v>
      </c>
      <c r="E364" s="103">
        <v>1816.12923159804</v>
      </c>
      <c r="F364" s="103">
        <v>1160.4318385189299</v>
      </c>
    </row>
    <row r="365" spans="1:6" hidden="1" x14ac:dyDescent="0.2">
      <c r="A365" s="102" t="s">
        <v>161</v>
      </c>
      <c r="B365" s="102" t="s">
        <v>8</v>
      </c>
      <c r="C365" s="102" t="s">
        <v>155</v>
      </c>
      <c r="D365" s="103">
        <v>59851.834275785899</v>
      </c>
      <c r="E365" s="103">
        <v>29953.468755913698</v>
      </c>
      <c r="F365" s="103">
        <v>29223.812565357799</v>
      </c>
    </row>
    <row r="366" spans="1:6" hidden="1" x14ac:dyDescent="0.2">
      <c r="A366" s="102" t="s">
        <v>161</v>
      </c>
      <c r="B366" s="102" t="s">
        <v>8</v>
      </c>
      <c r="C366" s="102" t="s">
        <v>156</v>
      </c>
      <c r="D366" s="103">
        <v>68302.165724214006</v>
      </c>
      <c r="E366" s="103">
        <v>35932.531244086204</v>
      </c>
      <c r="F366" s="103">
        <v>33044.187434642103</v>
      </c>
    </row>
    <row r="367" spans="1:6" hidden="1" x14ac:dyDescent="0.2">
      <c r="A367" s="102" t="s">
        <v>161</v>
      </c>
      <c r="B367" s="102" t="s">
        <v>8</v>
      </c>
      <c r="C367" s="102" t="s">
        <v>157</v>
      </c>
      <c r="D367" s="104">
        <v>4.0057628042628997</v>
      </c>
      <c r="E367" s="104">
        <v>5.5129442722218602</v>
      </c>
      <c r="F367" s="104">
        <v>3.7272173139298901</v>
      </c>
    </row>
    <row r="368" spans="1:6" hidden="1" x14ac:dyDescent="0.2">
      <c r="A368" s="102" t="s">
        <v>161</v>
      </c>
      <c r="B368" s="102" t="s">
        <v>8</v>
      </c>
      <c r="C368" s="102" t="s">
        <v>158</v>
      </c>
      <c r="D368" s="104">
        <v>1.2266261623242301</v>
      </c>
      <c r="E368" s="104">
        <v>1.9430983087423399</v>
      </c>
      <c r="F368" s="104">
        <v>0.99007098479588995</v>
      </c>
    </row>
    <row r="369" spans="1:6" hidden="1" x14ac:dyDescent="0.2">
      <c r="A369" s="95" t="s">
        <v>161</v>
      </c>
      <c r="B369" s="95" t="s">
        <v>9</v>
      </c>
      <c r="C369" s="95" t="s">
        <v>153</v>
      </c>
      <c r="D369" s="96">
        <v>59244</v>
      </c>
      <c r="E369" s="96">
        <v>29845</v>
      </c>
      <c r="F369" s="96">
        <v>29399</v>
      </c>
    </row>
    <row r="370" spans="1:6" hidden="1" x14ac:dyDescent="0.2">
      <c r="A370" s="97" t="s">
        <v>161</v>
      </c>
      <c r="B370" s="97" t="s">
        <v>9</v>
      </c>
      <c r="C370" s="97" t="s">
        <v>154</v>
      </c>
      <c r="D370" s="98">
        <v>2344.3667836300501</v>
      </c>
      <c r="E370" s="98">
        <v>1364.80686139665</v>
      </c>
      <c r="F370" s="98">
        <v>1153.7389964036699</v>
      </c>
    </row>
    <row r="371" spans="1:6" hidden="1" x14ac:dyDescent="0.2">
      <c r="A371" s="97" t="s">
        <v>161</v>
      </c>
      <c r="B371" s="97" t="s">
        <v>9</v>
      </c>
      <c r="C371" s="97" t="s">
        <v>155</v>
      </c>
      <c r="D371" s="98">
        <v>55384.936655100697</v>
      </c>
      <c r="E371" s="98">
        <v>27598.390737123598</v>
      </c>
      <c r="F371" s="98">
        <v>27499.8296561393</v>
      </c>
    </row>
    <row r="372" spans="1:6" hidden="1" x14ac:dyDescent="0.2">
      <c r="A372" s="97" t="s">
        <v>161</v>
      </c>
      <c r="B372" s="97" t="s">
        <v>9</v>
      </c>
      <c r="C372" s="97" t="s">
        <v>156</v>
      </c>
      <c r="D372" s="98">
        <v>63103.063344899201</v>
      </c>
      <c r="E372" s="98">
        <v>32091.6092628763</v>
      </c>
      <c r="F372" s="98">
        <v>31298.1703438607</v>
      </c>
    </row>
    <row r="373" spans="1:6" hidden="1" x14ac:dyDescent="0.2">
      <c r="A373" s="97" t="s">
        <v>161</v>
      </c>
      <c r="B373" s="97" t="s">
        <v>9</v>
      </c>
      <c r="C373" s="97" t="s">
        <v>157</v>
      </c>
      <c r="D373" s="99">
        <v>3.9571379103876398</v>
      </c>
      <c r="E373" s="99">
        <v>4.5729832849611398</v>
      </c>
      <c r="F373" s="99">
        <v>3.92441578422285</v>
      </c>
    </row>
    <row r="374" spans="1:6" hidden="1" x14ac:dyDescent="0.2">
      <c r="A374" s="97" t="s">
        <v>161</v>
      </c>
      <c r="B374" s="97" t="s">
        <v>9</v>
      </c>
      <c r="C374" s="97" t="s">
        <v>158</v>
      </c>
      <c r="D374" s="99">
        <v>1.2059975271432799</v>
      </c>
      <c r="E374" s="99">
        <v>1.3805243550078401</v>
      </c>
      <c r="F374" s="99">
        <v>1.0978596839354999</v>
      </c>
    </row>
    <row r="375" spans="1:6" hidden="1" x14ac:dyDescent="0.2">
      <c r="A375" s="100" t="s">
        <v>161</v>
      </c>
      <c r="B375" s="100" t="s">
        <v>10</v>
      </c>
      <c r="C375" s="100" t="s">
        <v>153</v>
      </c>
      <c r="D375" s="101">
        <v>61495</v>
      </c>
      <c r="E375" s="101">
        <v>31840</v>
      </c>
      <c r="F375" s="101">
        <v>29655</v>
      </c>
    </row>
    <row r="376" spans="1:6" hidden="1" x14ac:dyDescent="0.2">
      <c r="A376" s="102" t="s">
        <v>161</v>
      </c>
      <c r="B376" s="102" t="s">
        <v>10</v>
      </c>
      <c r="C376" s="102" t="s">
        <v>154</v>
      </c>
      <c r="D376" s="103">
        <v>2482.3044427689701</v>
      </c>
      <c r="E376" s="103">
        <v>1445.3596509681699</v>
      </c>
      <c r="F376" s="103">
        <v>1200.7878852378201</v>
      </c>
    </row>
    <row r="377" spans="1:6" hidden="1" x14ac:dyDescent="0.2">
      <c r="A377" s="102" t="s">
        <v>161</v>
      </c>
      <c r="B377" s="102" t="s">
        <v>10</v>
      </c>
      <c r="C377" s="102" t="s">
        <v>155</v>
      </c>
      <c r="D377" s="103">
        <v>57408.877404824198</v>
      </c>
      <c r="E377" s="103">
        <v>29460.792749583699</v>
      </c>
      <c r="F377" s="103">
        <v>27678.3824565006</v>
      </c>
    </row>
    <row r="378" spans="1:6" hidden="1" x14ac:dyDescent="0.2">
      <c r="A378" s="102" t="s">
        <v>161</v>
      </c>
      <c r="B378" s="102" t="s">
        <v>10</v>
      </c>
      <c r="C378" s="102" t="s">
        <v>156</v>
      </c>
      <c r="D378" s="103">
        <v>65581.122595175795</v>
      </c>
      <c r="E378" s="103">
        <v>34219.207250416199</v>
      </c>
      <c r="F378" s="103">
        <v>31631.6175434994</v>
      </c>
    </row>
    <row r="379" spans="1:6" hidden="1" x14ac:dyDescent="0.2">
      <c r="A379" s="102" t="s">
        <v>161</v>
      </c>
      <c r="B379" s="102" t="s">
        <v>10</v>
      </c>
      <c r="C379" s="102" t="s">
        <v>157</v>
      </c>
      <c r="D379" s="104">
        <v>4.0365955651174499</v>
      </c>
      <c r="E379" s="104">
        <v>4.5394461399754196</v>
      </c>
      <c r="F379" s="104">
        <v>4.0491919920344799</v>
      </c>
    </row>
    <row r="380" spans="1:6" hidden="1" x14ac:dyDescent="0.2">
      <c r="A380" s="102" t="s">
        <v>161</v>
      </c>
      <c r="B380" s="102" t="s">
        <v>10</v>
      </c>
      <c r="C380" s="102" t="s">
        <v>158</v>
      </c>
      <c r="D380" s="104">
        <v>1.2339418399673301</v>
      </c>
      <c r="E380" s="104">
        <v>1.4174328868371999</v>
      </c>
      <c r="F380" s="104">
        <v>1.09829298087578</v>
      </c>
    </row>
    <row r="381" spans="1:6" hidden="1" x14ac:dyDescent="0.2">
      <c r="A381" s="95" t="s">
        <v>161</v>
      </c>
      <c r="B381" s="95" t="s">
        <v>11</v>
      </c>
      <c r="C381" s="95" t="s">
        <v>153</v>
      </c>
      <c r="D381" s="96">
        <v>59629</v>
      </c>
      <c r="E381" s="96">
        <v>30646</v>
      </c>
      <c r="F381" s="96">
        <v>28983</v>
      </c>
    </row>
    <row r="382" spans="1:6" hidden="1" x14ac:dyDescent="0.2">
      <c r="A382" s="97" t="s">
        <v>161</v>
      </c>
      <c r="B382" s="97" t="s">
        <v>11</v>
      </c>
      <c r="C382" s="97" t="s">
        <v>154</v>
      </c>
      <c r="D382" s="98">
        <v>2511.1597904719902</v>
      </c>
      <c r="E382" s="98">
        <v>1452.10741867958</v>
      </c>
      <c r="F382" s="98">
        <v>1244.40710649889</v>
      </c>
    </row>
    <row r="383" spans="1:6" hidden="1" x14ac:dyDescent="0.2">
      <c r="A383" s="97" t="s">
        <v>161</v>
      </c>
      <c r="B383" s="97" t="s">
        <v>11</v>
      </c>
      <c r="C383" s="97" t="s">
        <v>155</v>
      </c>
      <c r="D383" s="98">
        <v>55495.3786024172</v>
      </c>
      <c r="E383" s="98">
        <v>28255.685245750701</v>
      </c>
      <c r="F383" s="98">
        <v>26934.580834383702</v>
      </c>
    </row>
    <row r="384" spans="1:6" hidden="1" x14ac:dyDescent="0.2">
      <c r="A384" s="97" t="s">
        <v>161</v>
      </c>
      <c r="B384" s="97" t="s">
        <v>11</v>
      </c>
      <c r="C384" s="97" t="s">
        <v>156</v>
      </c>
      <c r="D384" s="98">
        <v>63762.621397582698</v>
      </c>
      <c r="E384" s="98">
        <v>33036.314754249201</v>
      </c>
      <c r="F384" s="98">
        <v>31031.419165616298</v>
      </c>
    </row>
    <row r="385" spans="1:6" hidden="1" x14ac:dyDescent="0.2">
      <c r="A385" s="97" t="s">
        <v>161</v>
      </c>
      <c r="B385" s="97" t="s">
        <v>11</v>
      </c>
      <c r="C385" s="97" t="s">
        <v>157</v>
      </c>
      <c r="D385" s="99">
        <v>4.2113062276274897</v>
      </c>
      <c r="E385" s="99">
        <v>4.7383261067662401</v>
      </c>
      <c r="F385" s="99">
        <v>4.29357591173755</v>
      </c>
    </row>
    <row r="386" spans="1:6" hidden="1" x14ac:dyDescent="0.2">
      <c r="A386" s="97" t="s">
        <v>161</v>
      </c>
      <c r="B386" s="97" t="s">
        <v>11</v>
      </c>
      <c r="C386" s="97" t="s">
        <v>158</v>
      </c>
      <c r="D386" s="99">
        <v>1.32964693422355</v>
      </c>
      <c r="E386" s="99">
        <v>1.4757916823710999</v>
      </c>
      <c r="F386" s="99">
        <v>1.2652192506370299</v>
      </c>
    </row>
    <row r="387" spans="1:6" hidden="1" x14ac:dyDescent="0.2">
      <c r="A387" s="100" t="s">
        <v>161</v>
      </c>
      <c r="B387" s="100" t="s">
        <v>12</v>
      </c>
      <c r="C387" s="100" t="s">
        <v>153</v>
      </c>
      <c r="D387" s="101">
        <v>52637</v>
      </c>
      <c r="E387" s="101">
        <v>26707</v>
      </c>
      <c r="F387" s="101">
        <v>25930</v>
      </c>
    </row>
    <row r="388" spans="1:6" hidden="1" x14ac:dyDescent="0.2">
      <c r="A388" s="102" t="s">
        <v>161</v>
      </c>
      <c r="B388" s="102" t="s">
        <v>12</v>
      </c>
      <c r="C388" s="102" t="s">
        <v>154</v>
      </c>
      <c r="D388" s="103">
        <v>1793.64348996633</v>
      </c>
      <c r="E388" s="103">
        <v>1043.2335834553901</v>
      </c>
      <c r="F388" s="103">
        <v>1011.34198249582</v>
      </c>
    </row>
    <row r="389" spans="1:6" hidden="1" x14ac:dyDescent="0.2">
      <c r="A389" s="102" t="s">
        <v>161</v>
      </c>
      <c r="B389" s="102" t="s">
        <v>12</v>
      </c>
      <c r="C389" s="102" t="s">
        <v>155</v>
      </c>
      <c r="D389" s="103">
        <v>49684.482546554202</v>
      </c>
      <c r="E389" s="103">
        <v>24989.732672126102</v>
      </c>
      <c r="F389" s="103">
        <v>24265.22945255</v>
      </c>
    </row>
    <row r="390" spans="1:6" hidden="1" x14ac:dyDescent="0.2">
      <c r="A390" s="102" t="s">
        <v>161</v>
      </c>
      <c r="B390" s="102" t="s">
        <v>12</v>
      </c>
      <c r="C390" s="102" t="s">
        <v>156</v>
      </c>
      <c r="D390" s="103">
        <v>55589.517453445696</v>
      </c>
      <c r="E390" s="103">
        <v>28424.2673278738</v>
      </c>
      <c r="F390" s="103">
        <v>27594.77054745</v>
      </c>
    </row>
    <row r="391" spans="1:6" hidden="1" x14ac:dyDescent="0.2">
      <c r="A391" s="102" t="s">
        <v>161</v>
      </c>
      <c r="B391" s="102" t="s">
        <v>12</v>
      </c>
      <c r="C391" s="102" t="s">
        <v>157</v>
      </c>
      <c r="D391" s="104">
        <v>3.4075716510559699</v>
      </c>
      <c r="E391" s="104">
        <v>3.9062177835600802</v>
      </c>
      <c r="F391" s="104">
        <v>3.9002776031462401</v>
      </c>
    </row>
    <row r="392" spans="1:6" hidden="1" x14ac:dyDescent="0.2">
      <c r="A392" s="102" t="s">
        <v>161</v>
      </c>
      <c r="B392" s="102" t="s">
        <v>12</v>
      </c>
      <c r="C392" s="102" t="s">
        <v>158</v>
      </c>
      <c r="D392" s="104">
        <v>0.92476407407189998</v>
      </c>
      <c r="E392" s="104">
        <v>1.0805896671486099</v>
      </c>
      <c r="F392" s="104">
        <v>1.06426144717898</v>
      </c>
    </row>
    <row r="393" spans="1:6" hidden="1" x14ac:dyDescent="0.2">
      <c r="A393" s="95" t="s">
        <v>161</v>
      </c>
      <c r="B393" s="95" t="s">
        <v>13</v>
      </c>
      <c r="C393" s="95" t="s">
        <v>153</v>
      </c>
      <c r="D393" s="96">
        <v>42500</v>
      </c>
      <c r="E393" s="96">
        <v>21326</v>
      </c>
      <c r="F393" s="96">
        <v>21174</v>
      </c>
    </row>
    <row r="394" spans="1:6" hidden="1" x14ac:dyDescent="0.2">
      <c r="A394" s="97" t="s">
        <v>161</v>
      </c>
      <c r="B394" s="97" t="s">
        <v>13</v>
      </c>
      <c r="C394" s="97" t="s">
        <v>154</v>
      </c>
      <c r="D394" s="98">
        <v>1999.9622512676401</v>
      </c>
      <c r="E394" s="98">
        <v>1166.40817429665</v>
      </c>
      <c r="F394" s="98">
        <v>1033.75611076066</v>
      </c>
    </row>
    <row r="395" spans="1:6" hidden="1" x14ac:dyDescent="0.2">
      <c r="A395" s="97" t="s">
        <v>161</v>
      </c>
      <c r="B395" s="97" t="s">
        <v>13</v>
      </c>
      <c r="C395" s="97" t="s">
        <v>155</v>
      </c>
      <c r="D395" s="98">
        <v>39207.861129520599</v>
      </c>
      <c r="E395" s="98">
        <v>19405.974916020001</v>
      </c>
      <c r="F395" s="98">
        <v>19472.333544708799</v>
      </c>
    </row>
    <row r="396" spans="1:6" hidden="1" x14ac:dyDescent="0.2">
      <c r="A396" s="97" t="s">
        <v>161</v>
      </c>
      <c r="B396" s="97" t="s">
        <v>13</v>
      </c>
      <c r="C396" s="97" t="s">
        <v>156</v>
      </c>
      <c r="D396" s="98">
        <v>45792.138870479299</v>
      </c>
      <c r="E396" s="98">
        <v>23246.025083979901</v>
      </c>
      <c r="F396" s="98">
        <v>22875.666455291099</v>
      </c>
    </row>
    <row r="397" spans="1:6" hidden="1" x14ac:dyDescent="0.2">
      <c r="A397" s="97" t="s">
        <v>161</v>
      </c>
      <c r="B397" s="97" t="s">
        <v>13</v>
      </c>
      <c r="C397" s="97" t="s">
        <v>157</v>
      </c>
      <c r="D397" s="99">
        <v>4.7057935323944404</v>
      </c>
      <c r="E397" s="99">
        <v>5.4694184296007204</v>
      </c>
      <c r="F397" s="99">
        <v>4.8821956680866396</v>
      </c>
    </row>
    <row r="398" spans="1:6" hidden="1" x14ac:dyDescent="0.2">
      <c r="A398" s="97" t="s">
        <v>161</v>
      </c>
      <c r="B398" s="97" t="s">
        <v>13</v>
      </c>
      <c r="C398" s="97" t="s">
        <v>158</v>
      </c>
      <c r="D398" s="99">
        <v>1.73204667448507</v>
      </c>
      <c r="E398" s="99">
        <v>2.0631675572499502</v>
      </c>
      <c r="F398" s="99">
        <v>1.5587527219799999</v>
      </c>
    </row>
    <row r="399" spans="1:6" hidden="1" x14ac:dyDescent="0.2">
      <c r="A399" s="100" t="s">
        <v>161</v>
      </c>
      <c r="B399" s="100" t="s">
        <v>14</v>
      </c>
      <c r="C399" s="100" t="s">
        <v>153</v>
      </c>
      <c r="D399" s="101">
        <v>35051</v>
      </c>
      <c r="E399" s="101">
        <v>17602</v>
      </c>
      <c r="F399" s="101">
        <v>17449</v>
      </c>
    </row>
    <row r="400" spans="1:6" hidden="1" x14ac:dyDescent="0.2">
      <c r="A400" s="102" t="s">
        <v>161</v>
      </c>
      <c r="B400" s="102" t="s">
        <v>14</v>
      </c>
      <c r="C400" s="102" t="s">
        <v>154</v>
      </c>
      <c r="D400" s="103">
        <v>1418.79778082026</v>
      </c>
      <c r="E400" s="103">
        <v>810.18262485697198</v>
      </c>
      <c r="F400" s="103">
        <v>768.79550837454997</v>
      </c>
    </row>
    <row r="401" spans="1:6" hidden="1" x14ac:dyDescent="0.2">
      <c r="A401" s="102" t="s">
        <v>161</v>
      </c>
      <c r="B401" s="102" t="s">
        <v>14</v>
      </c>
      <c r="C401" s="102" t="s">
        <v>155</v>
      </c>
      <c r="D401" s="103">
        <v>32715.5162574305</v>
      </c>
      <c r="E401" s="103">
        <v>16268.357972612701</v>
      </c>
      <c r="F401" s="103">
        <v>16183.485325927701</v>
      </c>
    </row>
    <row r="402" spans="1:6" hidden="1" x14ac:dyDescent="0.2">
      <c r="A402" s="102" t="s">
        <v>161</v>
      </c>
      <c r="B402" s="102" t="s">
        <v>14</v>
      </c>
      <c r="C402" s="102" t="s">
        <v>156</v>
      </c>
      <c r="D402" s="103">
        <v>37386.4837425695</v>
      </c>
      <c r="E402" s="103">
        <v>18935.642027387301</v>
      </c>
      <c r="F402" s="103">
        <v>18714.514674072201</v>
      </c>
    </row>
    <row r="403" spans="1:6" hidden="1" x14ac:dyDescent="0.2">
      <c r="A403" s="102" t="s">
        <v>161</v>
      </c>
      <c r="B403" s="102" t="s">
        <v>14</v>
      </c>
      <c r="C403" s="102" t="s">
        <v>157</v>
      </c>
      <c r="D403" s="104">
        <v>4.0478097081973798</v>
      </c>
      <c r="E403" s="104">
        <v>4.60278732449137</v>
      </c>
      <c r="F403" s="104">
        <v>4.4059574094478204</v>
      </c>
    </row>
    <row r="404" spans="1:6" hidden="1" x14ac:dyDescent="0.2">
      <c r="A404" s="102" t="s">
        <v>161</v>
      </c>
      <c r="B404" s="102" t="s">
        <v>14</v>
      </c>
      <c r="C404" s="102" t="s">
        <v>158</v>
      </c>
      <c r="D404" s="104">
        <v>1.18785632362942</v>
      </c>
      <c r="E404" s="104">
        <v>1.2947669508014099</v>
      </c>
      <c r="F404" s="104">
        <v>1.2176891819548901</v>
      </c>
    </row>
    <row r="405" spans="1:6" hidden="1" x14ac:dyDescent="0.2">
      <c r="A405" s="95" t="s">
        <v>161</v>
      </c>
      <c r="B405" s="95" t="s">
        <v>15</v>
      </c>
      <c r="C405" s="95" t="s">
        <v>153</v>
      </c>
      <c r="D405" s="96">
        <v>27370</v>
      </c>
      <c r="E405" s="96">
        <v>13240</v>
      </c>
      <c r="F405" s="96">
        <v>14130</v>
      </c>
    </row>
    <row r="406" spans="1:6" hidden="1" x14ac:dyDescent="0.2">
      <c r="A406" s="97" t="s">
        <v>161</v>
      </c>
      <c r="B406" s="97" t="s">
        <v>15</v>
      </c>
      <c r="C406" s="97" t="s">
        <v>154</v>
      </c>
      <c r="D406" s="98">
        <v>1197.94445078996</v>
      </c>
      <c r="E406" s="98">
        <v>668.08873330742801</v>
      </c>
      <c r="F406" s="98">
        <v>687.74742645346396</v>
      </c>
    </row>
    <row r="407" spans="1:6" hidden="1" x14ac:dyDescent="0.2">
      <c r="A407" s="97" t="s">
        <v>161</v>
      </c>
      <c r="B407" s="97" t="s">
        <v>15</v>
      </c>
      <c r="C407" s="97" t="s">
        <v>155</v>
      </c>
      <c r="D407" s="98">
        <v>25398.063035379299</v>
      </c>
      <c r="E407" s="98">
        <v>12140.2587991565</v>
      </c>
      <c r="F407" s="98">
        <v>12997.898614453999</v>
      </c>
    </row>
    <row r="408" spans="1:6" hidden="1" x14ac:dyDescent="0.2">
      <c r="A408" s="97" t="s">
        <v>161</v>
      </c>
      <c r="B408" s="97" t="s">
        <v>15</v>
      </c>
      <c r="C408" s="97" t="s">
        <v>156</v>
      </c>
      <c r="D408" s="98">
        <v>29341.936964620701</v>
      </c>
      <c r="E408" s="98">
        <v>14339.7412008434</v>
      </c>
      <c r="F408" s="98">
        <v>15262.1013855459</v>
      </c>
    </row>
    <row r="409" spans="1:6" hidden="1" x14ac:dyDescent="0.2">
      <c r="A409" s="97" t="s">
        <v>161</v>
      </c>
      <c r="B409" s="97" t="s">
        <v>15</v>
      </c>
      <c r="C409" s="97" t="s">
        <v>157</v>
      </c>
      <c r="D409" s="99">
        <v>4.3768522133356402</v>
      </c>
      <c r="E409" s="99">
        <v>5.0459874116875199</v>
      </c>
      <c r="F409" s="99">
        <v>4.8672853959905504</v>
      </c>
    </row>
    <row r="410" spans="1:6" hidden="1" x14ac:dyDescent="0.2">
      <c r="A410" s="97" t="s">
        <v>161</v>
      </c>
      <c r="B410" s="97" t="s">
        <v>15</v>
      </c>
      <c r="C410" s="97" t="s">
        <v>158</v>
      </c>
      <c r="D410" s="99">
        <v>1.31752353403746</v>
      </c>
      <c r="E410" s="99">
        <v>1.3941641072590401</v>
      </c>
      <c r="F410" s="99">
        <v>1.4020605484715301</v>
      </c>
    </row>
    <row r="411" spans="1:6" hidden="1" x14ac:dyDescent="0.2">
      <c r="A411" s="100" t="s">
        <v>161</v>
      </c>
      <c r="B411" s="100" t="s">
        <v>16</v>
      </c>
      <c r="C411" s="100" t="s">
        <v>153</v>
      </c>
      <c r="D411" s="101">
        <v>19493</v>
      </c>
      <c r="E411" s="101">
        <v>10141</v>
      </c>
      <c r="F411" s="101">
        <v>9352</v>
      </c>
    </row>
    <row r="412" spans="1:6" hidden="1" x14ac:dyDescent="0.2">
      <c r="A412" s="102" t="s">
        <v>161</v>
      </c>
      <c r="B412" s="102" t="s">
        <v>16</v>
      </c>
      <c r="C412" s="102" t="s">
        <v>154</v>
      </c>
      <c r="D412" s="103">
        <v>928.91903661961999</v>
      </c>
      <c r="E412" s="103">
        <v>565.80978107609701</v>
      </c>
      <c r="F412" s="103">
        <v>511.28511319667598</v>
      </c>
    </row>
    <row r="413" spans="1:6" hidden="1" x14ac:dyDescent="0.2">
      <c r="A413" s="102" t="s">
        <v>161</v>
      </c>
      <c r="B413" s="102" t="s">
        <v>16</v>
      </c>
      <c r="C413" s="102" t="s">
        <v>155</v>
      </c>
      <c r="D413" s="103">
        <v>17963.905905326199</v>
      </c>
      <c r="E413" s="103">
        <v>9209.62023400822</v>
      </c>
      <c r="F413" s="103">
        <v>8510.3733173036908</v>
      </c>
    </row>
    <row r="414" spans="1:6" hidden="1" x14ac:dyDescent="0.2">
      <c r="A414" s="102" t="s">
        <v>161</v>
      </c>
      <c r="B414" s="102" t="s">
        <v>16</v>
      </c>
      <c r="C414" s="102" t="s">
        <v>156</v>
      </c>
      <c r="D414" s="103">
        <v>21022.094094673699</v>
      </c>
      <c r="E414" s="103">
        <v>11072.3797659917</v>
      </c>
      <c r="F414" s="103">
        <v>10193.6266826963</v>
      </c>
    </row>
    <row r="415" spans="1:6" hidden="1" x14ac:dyDescent="0.2">
      <c r="A415" s="102" t="s">
        <v>161</v>
      </c>
      <c r="B415" s="102" t="s">
        <v>16</v>
      </c>
      <c r="C415" s="102" t="s">
        <v>157</v>
      </c>
      <c r="D415" s="104">
        <v>4.7653980229806603</v>
      </c>
      <c r="E415" s="104">
        <v>5.5794278776856103</v>
      </c>
      <c r="F415" s="104">
        <v>5.4671205431637802</v>
      </c>
    </row>
    <row r="416" spans="1:6" hidden="1" x14ac:dyDescent="0.2">
      <c r="A416" s="102" t="s">
        <v>161</v>
      </c>
      <c r="B416" s="102" t="s">
        <v>16</v>
      </c>
      <c r="C416" s="102" t="s">
        <v>158</v>
      </c>
      <c r="D416" s="104">
        <v>1.35909455505365</v>
      </c>
      <c r="E416" s="104">
        <v>1.4879771124259999</v>
      </c>
      <c r="F416" s="104">
        <v>1.4404128002977801</v>
      </c>
    </row>
    <row r="417" spans="1:6" hidden="1" x14ac:dyDescent="0.2">
      <c r="A417" s="95" t="s">
        <v>161</v>
      </c>
      <c r="B417" s="95" t="s">
        <v>17</v>
      </c>
      <c r="C417" s="95" t="s">
        <v>153</v>
      </c>
      <c r="D417" s="96">
        <v>15092</v>
      </c>
      <c r="E417" s="96">
        <v>7293</v>
      </c>
      <c r="F417" s="96">
        <v>7799</v>
      </c>
    </row>
    <row r="418" spans="1:6" hidden="1" x14ac:dyDescent="0.2">
      <c r="A418" s="97" t="s">
        <v>161</v>
      </c>
      <c r="B418" s="97" t="s">
        <v>17</v>
      </c>
      <c r="C418" s="97" t="s">
        <v>154</v>
      </c>
      <c r="D418" s="98">
        <v>808.25857375029102</v>
      </c>
      <c r="E418" s="98">
        <v>449.548521018082</v>
      </c>
      <c r="F418" s="98">
        <v>520.63770196728296</v>
      </c>
    </row>
    <row r="419" spans="1:6" hidden="1" x14ac:dyDescent="0.2">
      <c r="A419" s="97" t="s">
        <v>161</v>
      </c>
      <c r="B419" s="97" t="s">
        <v>17</v>
      </c>
      <c r="C419" s="97" t="s">
        <v>155</v>
      </c>
      <c r="D419" s="98">
        <v>13761.5251541097</v>
      </c>
      <c r="E419" s="98">
        <v>6552.9979528253198</v>
      </c>
      <c r="F419" s="98">
        <v>6941.9780162114803</v>
      </c>
    </row>
    <row r="420" spans="1:6" hidden="1" x14ac:dyDescent="0.2">
      <c r="A420" s="97" t="s">
        <v>161</v>
      </c>
      <c r="B420" s="97" t="s">
        <v>17</v>
      </c>
      <c r="C420" s="97" t="s">
        <v>156</v>
      </c>
      <c r="D420" s="98">
        <v>16422.4748458902</v>
      </c>
      <c r="E420" s="98">
        <v>8033.0020471746802</v>
      </c>
      <c r="F420" s="98">
        <v>8656.0219837885106</v>
      </c>
    </row>
    <row r="421" spans="1:6" hidden="1" x14ac:dyDescent="0.2">
      <c r="A421" s="97" t="s">
        <v>161</v>
      </c>
      <c r="B421" s="97" t="s">
        <v>17</v>
      </c>
      <c r="C421" s="97" t="s">
        <v>157</v>
      </c>
      <c r="D421" s="99">
        <v>5.3555431602855199</v>
      </c>
      <c r="E421" s="99">
        <v>6.1641097081870599</v>
      </c>
      <c r="F421" s="99">
        <v>6.6756981916563998</v>
      </c>
    </row>
    <row r="422" spans="1:6" hidden="1" x14ac:dyDescent="0.2">
      <c r="A422" s="97" t="s">
        <v>161</v>
      </c>
      <c r="B422" s="97" t="s">
        <v>17</v>
      </c>
      <c r="C422" s="97" t="s">
        <v>158</v>
      </c>
      <c r="D422" s="99">
        <v>1.5672189205128599</v>
      </c>
      <c r="E422" s="99">
        <v>1.55620175585656</v>
      </c>
      <c r="F422" s="99">
        <v>1.8995715868682199</v>
      </c>
    </row>
    <row r="423" spans="1:6" hidden="1" x14ac:dyDescent="0.2">
      <c r="A423" s="100" t="s">
        <v>161</v>
      </c>
      <c r="B423" s="100" t="s">
        <v>18</v>
      </c>
      <c r="C423" s="100" t="s">
        <v>153</v>
      </c>
      <c r="D423" s="101">
        <v>10256</v>
      </c>
      <c r="E423" s="101">
        <v>5049</v>
      </c>
      <c r="F423" s="101">
        <v>5207</v>
      </c>
    </row>
    <row r="424" spans="1:6" hidden="1" x14ac:dyDescent="0.2">
      <c r="A424" s="102" t="s">
        <v>161</v>
      </c>
      <c r="B424" s="102" t="s">
        <v>18</v>
      </c>
      <c r="C424" s="102" t="s">
        <v>154</v>
      </c>
      <c r="D424" s="103">
        <v>569.22458122520902</v>
      </c>
      <c r="E424" s="103">
        <v>383.03389763377498</v>
      </c>
      <c r="F424" s="103">
        <v>339.05932805379899</v>
      </c>
    </row>
    <row r="425" spans="1:6" hidden="1" x14ac:dyDescent="0.2">
      <c r="A425" s="102" t="s">
        <v>161</v>
      </c>
      <c r="B425" s="102" t="s">
        <v>18</v>
      </c>
      <c r="C425" s="102" t="s">
        <v>155</v>
      </c>
      <c r="D425" s="103">
        <v>9318.9991297605393</v>
      </c>
      <c r="E425" s="103">
        <v>4418.4877079244297</v>
      </c>
      <c r="F425" s="103">
        <v>4648.87426908831</v>
      </c>
    </row>
    <row r="426" spans="1:6" hidden="1" x14ac:dyDescent="0.2">
      <c r="A426" s="102" t="s">
        <v>161</v>
      </c>
      <c r="B426" s="102" t="s">
        <v>18</v>
      </c>
      <c r="C426" s="102" t="s">
        <v>156</v>
      </c>
      <c r="D426" s="103">
        <v>11193.000870239401</v>
      </c>
      <c r="E426" s="103">
        <v>5679.5122920755603</v>
      </c>
      <c r="F426" s="103">
        <v>5765.12573091168</v>
      </c>
    </row>
    <row r="427" spans="1:6" hidden="1" x14ac:dyDescent="0.2">
      <c r="A427" s="102" t="s">
        <v>161</v>
      </c>
      <c r="B427" s="102" t="s">
        <v>18</v>
      </c>
      <c r="C427" s="102" t="s">
        <v>157</v>
      </c>
      <c r="D427" s="104">
        <v>5.5501616734127204</v>
      </c>
      <c r="E427" s="104">
        <v>7.5863319000549803</v>
      </c>
      <c r="F427" s="104">
        <v>6.5116060697867999</v>
      </c>
    </row>
    <row r="428" spans="1:6" hidden="1" x14ac:dyDescent="0.2">
      <c r="A428" s="102" t="s">
        <v>161</v>
      </c>
      <c r="B428" s="102" t="s">
        <v>18</v>
      </c>
      <c r="C428" s="102" t="s">
        <v>158</v>
      </c>
      <c r="D428" s="104">
        <v>1.3712953848134699</v>
      </c>
      <c r="E428" s="104">
        <v>1.7622819989260301</v>
      </c>
      <c r="F428" s="104">
        <v>1.4556598412683199</v>
      </c>
    </row>
    <row r="429" spans="1:6" hidden="1" x14ac:dyDescent="0.2">
      <c r="A429" s="95" t="s">
        <v>161</v>
      </c>
      <c r="B429" s="95" t="s">
        <v>19</v>
      </c>
      <c r="C429" s="95" t="s">
        <v>153</v>
      </c>
      <c r="D429" s="96">
        <v>13176</v>
      </c>
      <c r="E429" s="96">
        <v>5729</v>
      </c>
      <c r="F429" s="96">
        <v>7447</v>
      </c>
    </row>
    <row r="430" spans="1:6" hidden="1" x14ac:dyDescent="0.2">
      <c r="A430" s="97" t="s">
        <v>161</v>
      </c>
      <c r="B430" s="97" t="s">
        <v>19</v>
      </c>
      <c r="C430" s="97" t="s">
        <v>154</v>
      </c>
      <c r="D430" s="98">
        <v>781.646356366276</v>
      </c>
      <c r="E430" s="98">
        <v>327.95578885496099</v>
      </c>
      <c r="F430" s="98">
        <v>561.16892393289504</v>
      </c>
    </row>
    <row r="431" spans="1:6" hidden="1" x14ac:dyDescent="0.2">
      <c r="A431" s="97" t="s">
        <v>161</v>
      </c>
      <c r="B431" s="97" t="s">
        <v>19</v>
      </c>
      <c r="C431" s="97" t="s">
        <v>155</v>
      </c>
      <c r="D431" s="98">
        <v>11889.3315385673</v>
      </c>
      <c r="E431" s="98">
        <v>5189.1518105635196</v>
      </c>
      <c r="F431" s="98">
        <v>6523.2595512922298</v>
      </c>
    </row>
    <row r="432" spans="1:6" hidden="1" x14ac:dyDescent="0.2">
      <c r="A432" s="97" t="s">
        <v>161</v>
      </c>
      <c r="B432" s="97" t="s">
        <v>19</v>
      </c>
      <c r="C432" s="97" t="s">
        <v>156</v>
      </c>
      <c r="D432" s="98">
        <v>14462.6684614326</v>
      </c>
      <c r="E432" s="98">
        <v>6268.8481894364804</v>
      </c>
      <c r="F432" s="98">
        <v>8370.7404487077602</v>
      </c>
    </row>
    <row r="433" spans="1:6" hidden="1" x14ac:dyDescent="0.2">
      <c r="A433" s="97" t="s">
        <v>161</v>
      </c>
      <c r="B433" s="97" t="s">
        <v>19</v>
      </c>
      <c r="C433" s="97" t="s">
        <v>157</v>
      </c>
      <c r="D433" s="99">
        <v>5.9323493956153301</v>
      </c>
      <c r="E433" s="99">
        <v>5.7244857541448901</v>
      </c>
      <c r="F433" s="99">
        <v>7.5355032084449398</v>
      </c>
    </row>
    <row r="434" spans="1:6" hidden="1" x14ac:dyDescent="0.2">
      <c r="A434" s="97" t="s">
        <v>161</v>
      </c>
      <c r="B434" s="97" t="s">
        <v>19</v>
      </c>
      <c r="C434" s="97" t="s">
        <v>158</v>
      </c>
      <c r="D434" s="99">
        <v>1.5254124954146899</v>
      </c>
      <c r="E434" s="99">
        <v>1.20712905141014</v>
      </c>
      <c r="F434" s="99">
        <v>1.8907693647054</v>
      </c>
    </row>
    <row r="435" spans="1:6" hidden="1" x14ac:dyDescent="0.2">
      <c r="A435" s="100" t="s">
        <v>161</v>
      </c>
      <c r="B435" s="100" t="s">
        <v>20</v>
      </c>
      <c r="C435" s="100" t="s">
        <v>153</v>
      </c>
      <c r="D435" s="101">
        <v>483</v>
      </c>
      <c r="E435" s="101">
        <v>236</v>
      </c>
      <c r="F435" s="101">
        <v>247</v>
      </c>
    </row>
    <row r="436" spans="1:6" hidden="1" x14ac:dyDescent="0.2">
      <c r="A436" s="102" t="s">
        <v>161</v>
      </c>
      <c r="B436" s="102" t="s">
        <v>20</v>
      </c>
      <c r="C436" s="102" t="s">
        <v>154</v>
      </c>
      <c r="D436" s="103">
        <v>97.533311693759998</v>
      </c>
      <c r="E436" s="103">
        <v>78.700235676372401</v>
      </c>
      <c r="F436" s="103">
        <v>57.090564488418202</v>
      </c>
    </row>
    <row r="437" spans="1:6" hidden="1" x14ac:dyDescent="0.2">
      <c r="A437" s="102" t="s">
        <v>161</v>
      </c>
      <c r="B437" s="102" t="s">
        <v>20</v>
      </c>
      <c r="C437" s="102" t="s">
        <v>155</v>
      </c>
      <c r="D437" s="103">
        <v>322.45036643062201</v>
      </c>
      <c r="E437" s="103">
        <v>106.451502361181</v>
      </c>
      <c r="F437" s="103">
        <v>153.02319300236701</v>
      </c>
    </row>
    <row r="438" spans="1:6" hidden="1" x14ac:dyDescent="0.2">
      <c r="A438" s="102" t="s">
        <v>161</v>
      </c>
      <c r="B438" s="102" t="s">
        <v>20</v>
      </c>
      <c r="C438" s="102" t="s">
        <v>156</v>
      </c>
      <c r="D438" s="103">
        <v>643.54963356937697</v>
      </c>
      <c r="E438" s="103">
        <v>365.54849763881799</v>
      </c>
      <c r="F438" s="103">
        <v>340.97680699763202</v>
      </c>
    </row>
    <row r="439" spans="1:6" hidden="1" x14ac:dyDescent="0.2">
      <c r="A439" s="102" t="s">
        <v>161</v>
      </c>
      <c r="B439" s="102" t="s">
        <v>20</v>
      </c>
      <c r="C439" s="102" t="s">
        <v>157</v>
      </c>
      <c r="D439" s="104">
        <v>20.1932322347329</v>
      </c>
      <c r="E439" s="104">
        <v>33.347557489988297</v>
      </c>
      <c r="F439" s="104">
        <v>23.113588861707701</v>
      </c>
    </row>
    <row r="440" spans="1:6" hidden="1" x14ac:dyDescent="0.2">
      <c r="A440" s="102" t="s">
        <v>161</v>
      </c>
      <c r="B440" s="102" t="s">
        <v>20</v>
      </c>
      <c r="C440" s="102" t="s">
        <v>158</v>
      </c>
      <c r="D440" s="104">
        <v>1.8915407961794799</v>
      </c>
      <c r="E440" s="104">
        <v>2.8774529798374</v>
      </c>
      <c r="F440" s="104">
        <v>1.40399625764674</v>
      </c>
    </row>
    <row r="441" spans="1:6" hidden="1" x14ac:dyDescent="0.2">
      <c r="A441" s="95" t="s">
        <v>162</v>
      </c>
      <c r="B441" s="95" t="s">
        <v>152</v>
      </c>
      <c r="C441" s="95" t="s">
        <v>153</v>
      </c>
      <c r="D441" s="96">
        <v>899931</v>
      </c>
      <c r="E441" s="96">
        <v>441276</v>
      </c>
      <c r="F441" s="96">
        <v>458655</v>
      </c>
    </row>
    <row r="442" spans="1:6" hidden="1" x14ac:dyDescent="0.2">
      <c r="A442" s="97" t="s">
        <v>162</v>
      </c>
      <c r="B442" s="97" t="s">
        <v>152</v>
      </c>
      <c r="C442" s="97" t="s">
        <v>154</v>
      </c>
      <c r="D442" s="98">
        <v>22202.722216468799</v>
      </c>
      <c r="E442" s="98">
        <v>10651.8827467049</v>
      </c>
      <c r="F442" s="98">
        <v>11772.5937744768</v>
      </c>
    </row>
    <row r="443" spans="1:6" hidden="1" x14ac:dyDescent="0.2">
      <c r="A443" s="97" t="s">
        <v>162</v>
      </c>
      <c r="B443" s="97" t="s">
        <v>152</v>
      </c>
      <c r="C443" s="97" t="s">
        <v>155</v>
      </c>
      <c r="D443" s="98">
        <v>863393.54645197396</v>
      </c>
      <c r="E443" s="98">
        <v>423746.948054826</v>
      </c>
      <c r="F443" s="98">
        <v>439281.67298266402</v>
      </c>
    </row>
    <row r="444" spans="1:6" hidden="1" x14ac:dyDescent="0.2">
      <c r="A444" s="97" t="s">
        <v>162</v>
      </c>
      <c r="B444" s="97" t="s">
        <v>152</v>
      </c>
      <c r="C444" s="97" t="s">
        <v>156</v>
      </c>
      <c r="D444" s="98">
        <v>936468.45354802499</v>
      </c>
      <c r="E444" s="98">
        <v>458805.05194517301</v>
      </c>
      <c r="F444" s="98">
        <v>478028.32701733598</v>
      </c>
    </row>
    <row r="445" spans="1:6" hidden="1" x14ac:dyDescent="0.2">
      <c r="A445" s="97" t="s">
        <v>162</v>
      </c>
      <c r="B445" s="97" t="s">
        <v>152</v>
      </c>
      <c r="C445" s="97" t="s">
        <v>157</v>
      </c>
      <c r="D445" s="99">
        <v>2.4671582839649702</v>
      </c>
      <c r="E445" s="99">
        <v>2.4138821840990601</v>
      </c>
      <c r="F445" s="99">
        <v>2.56676451242804</v>
      </c>
    </row>
    <row r="446" spans="1:6" hidden="1" x14ac:dyDescent="0.2">
      <c r="A446" s="97" t="s">
        <v>162</v>
      </c>
      <c r="B446" s="97" t="s">
        <v>152</v>
      </c>
      <c r="C446" s="97" t="s">
        <v>158</v>
      </c>
      <c r="D446" s="99">
        <v>2.4999149919832999</v>
      </c>
      <c r="E446" s="99">
        <v>1.18331101209621</v>
      </c>
      <c r="F446" s="99">
        <v>1.3764883864832</v>
      </c>
    </row>
    <row r="447" spans="1:6" hidden="1" x14ac:dyDescent="0.2">
      <c r="A447" s="100" t="s">
        <v>162</v>
      </c>
      <c r="B447" s="100" t="s">
        <v>4</v>
      </c>
      <c r="C447" s="100" t="s">
        <v>153</v>
      </c>
      <c r="D447" s="101">
        <v>83155</v>
      </c>
      <c r="E447" s="101">
        <v>41689</v>
      </c>
      <c r="F447" s="101">
        <v>41466</v>
      </c>
    </row>
    <row r="448" spans="1:6" hidden="1" x14ac:dyDescent="0.2">
      <c r="A448" s="102" t="s">
        <v>162</v>
      </c>
      <c r="B448" s="102" t="s">
        <v>4</v>
      </c>
      <c r="C448" s="102" t="s">
        <v>154</v>
      </c>
      <c r="D448" s="103">
        <v>2339.9367073171202</v>
      </c>
      <c r="E448" s="103">
        <v>1282.0391722955901</v>
      </c>
      <c r="F448" s="103">
        <v>1274.7632020040601</v>
      </c>
    </row>
    <row r="449" spans="1:6" hidden="1" x14ac:dyDescent="0.2">
      <c r="A449" s="102" t="s">
        <v>162</v>
      </c>
      <c r="B449" s="102" t="s">
        <v>4</v>
      </c>
      <c r="C449" s="102" t="s">
        <v>155</v>
      </c>
      <c r="D449" s="103">
        <v>79304.331243467794</v>
      </c>
      <c r="E449" s="103">
        <v>39579.2385821071</v>
      </c>
      <c r="F449" s="103">
        <v>39368.2121330956</v>
      </c>
    </row>
    <row r="450" spans="1:6" hidden="1" x14ac:dyDescent="0.2">
      <c r="A450" s="102" t="s">
        <v>162</v>
      </c>
      <c r="B450" s="102" t="s">
        <v>4</v>
      </c>
      <c r="C450" s="102" t="s">
        <v>156</v>
      </c>
      <c r="D450" s="103">
        <v>87005.668756532104</v>
      </c>
      <c r="E450" s="103">
        <v>43798.7614178929</v>
      </c>
      <c r="F450" s="103">
        <v>43563.787866904298</v>
      </c>
    </row>
    <row r="451" spans="1:6" hidden="1" x14ac:dyDescent="0.2">
      <c r="A451" s="102" t="s">
        <v>162</v>
      </c>
      <c r="B451" s="102" t="s">
        <v>4</v>
      </c>
      <c r="C451" s="102" t="s">
        <v>157</v>
      </c>
      <c r="D451" s="104">
        <v>2.81394589299155</v>
      </c>
      <c r="E451" s="104">
        <v>3.0752456818239802</v>
      </c>
      <c r="F451" s="104">
        <v>3.07423721121899</v>
      </c>
    </row>
    <row r="452" spans="1:6" hidden="1" x14ac:dyDescent="0.2">
      <c r="A452" s="102" t="s">
        <v>162</v>
      </c>
      <c r="B452" s="102" t="s">
        <v>4</v>
      </c>
      <c r="C452" s="102" t="s">
        <v>158</v>
      </c>
      <c r="D452" s="104">
        <v>0.93402367563577005</v>
      </c>
      <c r="E452" s="104">
        <v>1.0153323109510899</v>
      </c>
      <c r="F452" s="104">
        <v>1.0239143704031499</v>
      </c>
    </row>
    <row r="453" spans="1:6" hidden="1" x14ac:dyDescent="0.2">
      <c r="A453" s="95" t="s">
        <v>162</v>
      </c>
      <c r="B453" s="95" t="s">
        <v>5</v>
      </c>
      <c r="C453" s="95" t="s">
        <v>153</v>
      </c>
      <c r="D453" s="96">
        <v>80830</v>
      </c>
      <c r="E453" s="96">
        <v>40514</v>
      </c>
      <c r="F453" s="96">
        <v>40316</v>
      </c>
    </row>
    <row r="454" spans="1:6" hidden="1" x14ac:dyDescent="0.2">
      <c r="A454" s="97" t="s">
        <v>162</v>
      </c>
      <c r="B454" s="97" t="s">
        <v>5</v>
      </c>
      <c r="C454" s="97" t="s">
        <v>154</v>
      </c>
      <c r="D454" s="98">
        <v>2324.2300734267601</v>
      </c>
      <c r="E454" s="98">
        <v>1336.7928915249099</v>
      </c>
      <c r="F454" s="98">
        <v>1331.84951055941</v>
      </c>
    </row>
    <row r="455" spans="1:6" hidden="1" x14ac:dyDescent="0.2">
      <c r="A455" s="97" t="s">
        <v>162</v>
      </c>
      <c r="B455" s="97" t="s">
        <v>5</v>
      </c>
      <c r="C455" s="97" t="s">
        <v>155</v>
      </c>
      <c r="D455" s="98">
        <v>77005.178542756999</v>
      </c>
      <c r="E455" s="98">
        <v>38314.134249250099</v>
      </c>
      <c r="F455" s="98">
        <v>38124.269222549199</v>
      </c>
    </row>
    <row r="456" spans="1:6" hidden="1" x14ac:dyDescent="0.2">
      <c r="A456" s="97" t="s">
        <v>162</v>
      </c>
      <c r="B456" s="97" t="s">
        <v>5</v>
      </c>
      <c r="C456" s="97" t="s">
        <v>156</v>
      </c>
      <c r="D456" s="98">
        <v>84654.821457242899</v>
      </c>
      <c r="E456" s="98">
        <v>42713.865750749799</v>
      </c>
      <c r="F456" s="98">
        <v>42507.730777450801</v>
      </c>
    </row>
    <row r="457" spans="1:6" hidden="1" x14ac:dyDescent="0.2">
      <c r="A457" s="97" t="s">
        <v>162</v>
      </c>
      <c r="B457" s="97" t="s">
        <v>5</v>
      </c>
      <c r="C457" s="97" t="s">
        <v>157</v>
      </c>
      <c r="D457" s="99">
        <v>2.8754547487650202</v>
      </c>
      <c r="E457" s="99">
        <v>3.2995825924986799</v>
      </c>
      <c r="F457" s="99">
        <v>3.3035259216177701</v>
      </c>
    </row>
    <row r="458" spans="1:6" hidden="1" x14ac:dyDescent="0.2">
      <c r="A458" s="97" t="s">
        <v>162</v>
      </c>
      <c r="B458" s="97" t="s">
        <v>5</v>
      </c>
      <c r="C458" s="97" t="s">
        <v>158</v>
      </c>
      <c r="D458" s="99">
        <v>1.0190628608001699</v>
      </c>
      <c r="E458" s="99">
        <v>1.1737241694957099</v>
      </c>
      <c r="F458" s="99">
        <v>1.2283939143387801</v>
      </c>
    </row>
    <row r="459" spans="1:6" hidden="1" x14ac:dyDescent="0.2">
      <c r="A459" s="100" t="s">
        <v>162</v>
      </c>
      <c r="B459" s="100" t="s">
        <v>6</v>
      </c>
      <c r="C459" s="100" t="s">
        <v>153</v>
      </c>
      <c r="D459" s="101">
        <v>81442</v>
      </c>
      <c r="E459" s="101">
        <v>40965</v>
      </c>
      <c r="F459" s="101">
        <v>40477</v>
      </c>
    </row>
    <row r="460" spans="1:6" hidden="1" x14ac:dyDescent="0.2">
      <c r="A460" s="102" t="s">
        <v>162</v>
      </c>
      <c r="B460" s="102" t="s">
        <v>6</v>
      </c>
      <c r="C460" s="102" t="s">
        <v>154</v>
      </c>
      <c r="D460" s="103">
        <v>2255.8430196086101</v>
      </c>
      <c r="E460" s="103">
        <v>1286.13687137134</v>
      </c>
      <c r="F460" s="103">
        <v>1261.4594950886799</v>
      </c>
    </row>
    <row r="461" spans="1:6" hidden="1" x14ac:dyDescent="0.2">
      <c r="A461" s="102" t="s">
        <v>162</v>
      </c>
      <c r="B461" s="102" t="s">
        <v>6</v>
      </c>
      <c r="C461" s="102" t="s">
        <v>155</v>
      </c>
      <c r="D461" s="103">
        <v>77729.718292514095</v>
      </c>
      <c r="E461" s="103">
        <v>38848.495287831101</v>
      </c>
      <c r="F461" s="103">
        <v>38401.105104988797</v>
      </c>
    </row>
    <row r="462" spans="1:6" hidden="1" x14ac:dyDescent="0.2">
      <c r="A462" s="102" t="s">
        <v>162</v>
      </c>
      <c r="B462" s="102" t="s">
        <v>6</v>
      </c>
      <c r="C462" s="102" t="s">
        <v>156</v>
      </c>
      <c r="D462" s="103">
        <v>85154.281707485803</v>
      </c>
      <c r="E462" s="103">
        <v>43081.504712168899</v>
      </c>
      <c r="F462" s="103">
        <v>42552.894895011101</v>
      </c>
    </row>
    <row r="463" spans="1:6" hidden="1" x14ac:dyDescent="0.2">
      <c r="A463" s="102" t="s">
        <v>162</v>
      </c>
      <c r="B463" s="102" t="s">
        <v>6</v>
      </c>
      <c r="C463" s="102" t="s">
        <v>157</v>
      </c>
      <c r="D463" s="104">
        <v>2.7698767461611999</v>
      </c>
      <c r="E463" s="104">
        <v>3.1395993442483601</v>
      </c>
      <c r="F463" s="104">
        <v>3.1164846581729901</v>
      </c>
    </row>
    <row r="464" spans="1:6" hidden="1" x14ac:dyDescent="0.2">
      <c r="A464" s="102" t="s">
        <v>162</v>
      </c>
      <c r="B464" s="102" t="s">
        <v>6</v>
      </c>
      <c r="C464" s="102" t="s">
        <v>158</v>
      </c>
      <c r="D464" s="104">
        <v>0.97479822262792004</v>
      </c>
      <c r="E464" s="104">
        <v>1.1017515952854899</v>
      </c>
      <c r="F464" s="104">
        <v>1.12304799783567</v>
      </c>
    </row>
    <row r="465" spans="1:6" hidden="1" x14ac:dyDescent="0.2">
      <c r="A465" s="95" t="s">
        <v>162</v>
      </c>
      <c r="B465" s="95" t="s">
        <v>7</v>
      </c>
      <c r="C465" s="95" t="s">
        <v>153</v>
      </c>
      <c r="D465" s="96">
        <v>80913</v>
      </c>
      <c r="E465" s="96">
        <v>40026</v>
      </c>
      <c r="F465" s="96">
        <v>40887</v>
      </c>
    </row>
    <row r="466" spans="1:6" hidden="1" x14ac:dyDescent="0.2">
      <c r="A466" s="97" t="s">
        <v>162</v>
      </c>
      <c r="B466" s="97" t="s">
        <v>7</v>
      </c>
      <c r="C466" s="97" t="s">
        <v>154</v>
      </c>
      <c r="D466" s="98">
        <v>2268.76391094574</v>
      </c>
      <c r="E466" s="98">
        <v>1215.1961577197601</v>
      </c>
      <c r="F466" s="98">
        <v>1299.1949700703599</v>
      </c>
    </row>
    <row r="467" spans="1:6" hidden="1" x14ac:dyDescent="0.2">
      <c r="A467" s="97" t="s">
        <v>162</v>
      </c>
      <c r="B467" s="97" t="s">
        <v>7</v>
      </c>
      <c r="C467" s="97" t="s">
        <v>155</v>
      </c>
      <c r="D467" s="98">
        <v>77179.455293210398</v>
      </c>
      <c r="E467" s="98">
        <v>38026.237415415097</v>
      </c>
      <c r="F467" s="98">
        <v>38749.006496051901</v>
      </c>
    </row>
    <row r="468" spans="1:6" hidden="1" x14ac:dyDescent="0.2">
      <c r="A468" s="97" t="s">
        <v>162</v>
      </c>
      <c r="B468" s="97" t="s">
        <v>7</v>
      </c>
      <c r="C468" s="97" t="s">
        <v>156</v>
      </c>
      <c r="D468" s="98">
        <v>84646.544706789602</v>
      </c>
      <c r="E468" s="98">
        <v>42025.762584584802</v>
      </c>
      <c r="F468" s="98">
        <v>43024.993503947997</v>
      </c>
    </row>
    <row r="469" spans="1:6" hidden="1" x14ac:dyDescent="0.2">
      <c r="A469" s="97" t="s">
        <v>162</v>
      </c>
      <c r="B469" s="97" t="s">
        <v>7</v>
      </c>
      <c r="C469" s="97" t="s">
        <v>157</v>
      </c>
      <c r="D469" s="99">
        <v>2.8039547550402801</v>
      </c>
      <c r="E469" s="99">
        <v>3.0360169832602901</v>
      </c>
      <c r="F469" s="99">
        <v>3.17752579076567</v>
      </c>
    </row>
    <row r="470" spans="1:6" hidden="1" x14ac:dyDescent="0.2">
      <c r="A470" s="97" t="s">
        <v>162</v>
      </c>
      <c r="B470" s="97" t="s">
        <v>7</v>
      </c>
      <c r="C470" s="97" t="s">
        <v>158</v>
      </c>
      <c r="D470" s="99">
        <v>0.98861067590308005</v>
      </c>
      <c r="E470" s="99">
        <v>1.03772592744184</v>
      </c>
      <c r="F470" s="99">
        <v>1.1552123057354</v>
      </c>
    </row>
    <row r="471" spans="1:6" hidden="1" x14ac:dyDescent="0.2">
      <c r="A471" s="100" t="s">
        <v>162</v>
      </c>
      <c r="B471" s="100" t="s">
        <v>8</v>
      </c>
      <c r="C471" s="100" t="s">
        <v>153</v>
      </c>
      <c r="D471" s="101">
        <v>84382</v>
      </c>
      <c r="E471" s="101">
        <v>41637</v>
      </c>
      <c r="F471" s="101">
        <v>42745</v>
      </c>
    </row>
    <row r="472" spans="1:6" hidden="1" x14ac:dyDescent="0.2">
      <c r="A472" s="102" t="s">
        <v>162</v>
      </c>
      <c r="B472" s="102" t="s">
        <v>8</v>
      </c>
      <c r="C472" s="102" t="s">
        <v>154</v>
      </c>
      <c r="D472" s="103">
        <v>3117.4905509139899</v>
      </c>
      <c r="E472" s="103">
        <v>1681.8348141438701</v>
      </c>
      <c r="F472" s="103">
        <v>1598.5338896557801</v>
      </c>
    </row>
    <row r="473" spans="1:6" hidden="1" x14ac:dyDescent="0.2">
      <c r="A473" s="102" t="s">
        <v>162</v>
      </c>
      <c r="B473" s="102" t="s">
        <v>8</v>
      </c>
      <c r="C473" s="102" t="s">
        <v>155</v>
      </c>
      <c r="D473" s="103">
        <v>79251.765739538896</v>
      </c>
      <c r="E473" s="103">
        <v>38869.3230999281</v>
      </c>
      <c r="F473" s="103">
        <v>40114.405554472003</v>
      </c>
    </row>
    <row r="474" spans="1:6" hidden="1" x14ac:dyDescent="0.2">
      <c r="A474" s="102" t="s">
        <v>162</v>
      </c>
      <c r="B474" s="102" t="s">
        <v>8</v>
      </c>
      <c r="C474" s="102" t="s">
        <v>156</v>
      </c>
      <c r="D474" s="103">
        <v>89512.234260461002</v>
      </c>
      <c r="E474" s="103">
        <v>44404.6769000719</v>
      </c>
      <c r="F474" s="103">
        <v>45375.594445527902</v>
      </c>
    </row>
    <row r="475" spans="1:6" hidden="1" x14ac:dyDescent="0.2">
      <c r="A475" s="102" t="s">
        <v>162</v>
      </c>
      <c r="B475" s="102" t="s">
        <v>8</v>
      </c>
      <c r="C475" s="102" t="s">
        <v>157</v>
      </c>
      <c r="D475" s="104">
        <v>3.69449710947121</v>
      </c>
      <c r="E475" s="104">
        <v>4.0392795209642198</v>
      </c>
      <c r="F475" s="104">
        <v>3.73969795217167</v>
      </c>
    </row>
    <row r="476" spans="1:6" hidden="1" x14ac:dyDescent="0.2">
      <c r="A476" s="102" t="s">
        <v>162</v>
      </c>
      <c r="B476" s="102" t="s">
        <v>8</v>
      </c>
      <c r="C476" s="102" t="s">
        <v>158</v>
      </c>
      <c r="D476" s="104">
        <v>1.6043086727622</v>
      </c>
      <c r="E476" s="104">
        <v>1.71405216816596</v>
      </c>
      <c r="F476" s="104">
        <v>1.5523973978001699</v>
      </c>
    </row>
    <row r="477" spans="1:6" hidden="1" x14ac:dyDescent="0.2">
      <c r="A477" s="95" t="s">
        <v>162</v>
      </c>
      <c r="B477" s="95" t="s">
        <v>9</v>
      </c>
      <c r="C477" s="95" t="s">
        <v>153</v>
      </c>
      <c r="D477" s="96">
        <v>75741</v>
      </c>
      <c r="E477" s="96">
        <v>36243</v>
      </c>
      <c r="F477" s="96">
        <v>39498</v>
      </c>
    </row>
    <row r="478" spans="1:6" hidden="1" x14ac:dyDescent="0.2">
      <c r="A478" s="97" t="s">
        <v>162</v>
      </c>
      <c r="B478" s="97" t="s">
        <v>9</v>
      </c>
      <c r="C478" s="97" t="s">
        <v>154</v>
      </c>
      <c r="D478" s="98">
        <v>2512.0481929499501</v>
      </c>
      <c r="E478" s="98">
        <v>1248.61516731753</v>
      </c>
      <c r="F478" s="98">
        <v>1487.6575253173801</v>
      </c>
    </row>
    <row r="479" spans="1:6" hidden="1" x14ac:dyDescent="0.2">
      <c r="A479" s="97" t="s">
        <v>162</v>
      </c>
      <c r="B479" s="97" t="s">
        <v>9</v>
      </c>
      <c r="C479" s="97" t="s">
        <v>155</v>
      </c>
      <c r="D479" s="98">
        <v>71607.099514039306</v>
      </c>
      <c r="E479" s="98">
        <v>34188.242109033497</v>
      </c>
      <c r="F479" s="98">
        <v>37049.866964928398</v>
      </c>
    </row>
    <row r="480" spans="1:6" hidden="1" x14ac:dyDescent="0.2">
      <c r="A480" s="97" t="s">
        <v>162</v>
      </c>
      <c r="B480" s="97" t="s">
        <v>9</v>
      </c>
      <c r="C480" s="97" t="s">
        <v>156</v>
      </c>
      <c r="D480" s="98">
        <v>79874.900485960607</v>
      </c>
      <c r="E480" s="98">
        <v>38297.757890966401</v>
      </c>
      <c r="F480" s="98">
        <v>41946.1330350715</v>
      </c>
    </row>
    <row r="481" spans="1:6" hidden="1" x14ac:dyDescent="0.2">
      <c r="A481" s="97" t="s">
        <v>162</v>
      </c>
      <c r="B481" s="97" t="s">
        <v>9</v>
      </c>
      <c r="C481" s="97" t="s">
        <v>157</v>
      </c>
      <c r="D481" s="99">
        <v>3.3166292931832801</v>
      </c>
      <c r="E481" s="99">
        <v>3.4451208987046602</v>
      </c>
      <c r="F481" s="99">
        <v>3.7664122875016002</v>
      </c>
    </row>
    <row r="482" spans="1:6" hidden="1" x14ac:dyDescent="0.2">
      <c r="A482" s="97" t="s">
        <v>162</v>
      </c>
      <c r="B482" s="97" t="s">
        <v>9</v>
      </c>
      <c r="C482" s="97" t="s">
        <v>158</v>
      </c>
      <c r="D482" s="99">
        <v>1.2972199676641101</v>
      </c>
      <c r="E482" s="99">
        <v>1.2392979388335199</v>
      </c>
      <c r="F482" s="99">
        <v>1.57332297331922</v>
      </c>
    </row>
    <row r="483" spans="1:6" hidden="1" x14ac:dyDescent="0.2">
      <c r="A483" s="100" t="s">
        <v>162</v>
      </c>
      <c r="B483" s="100" t="s">
        <v>10</v>
      </c>
      <c r="C483" s="100" t="s">
        <v>153</v>
      </c>
      <c r="D483" s="101">
        <v>72342</v>
      </c>
      <c r="E483" s="101">
        <v>34149</v>
      </c>
      <c r="F483" s="101">
        <v>38193</v>
      </c>
    </row>
    <row r="484" spans="1:6" hidden="1" x14ac:dyDescent="0.2">
      <c r="A484" s="102" t="s">
        <v>162</v>
      </c>
      <c r="B484" s="102" t="s">
        <v>10</v>
      </c>
      <c r="C484" s="102" t="s">
        <v>154</v>
      </c>
      <c r="D484" s="103">
        <v>2505.1021218528699</v>
      </c>
      <c r="E484" s="103">
        <v>1261.8165549514099</v>
      </c>
      <c r="F484" s="103">
        <v>1371.9309704215</v>
      </c>
    </row>
    <row r="485" spans="1:6" hidden="1" x14ac:dyDescent="0.2">
      <c r="A485" s="102" t="s">
        <v>162</v>
      </c>
      <c r="B485" s="102" t="s">
        <v>10</v>
      </c>
      <c r="C485" s="102" t="s">
        <v>155</v>
      </c>
      <c r="D485" s="103">
        <v>68219.530173197898</v>
      </c>
      <c r="E485" s="103">
        <v>32072.517516763299</v>
      </c>
      <c r="F485" s="103">
        <v>35935.309991803901</v>
      </c>
    </row>
    <row r="486" spans="1:6" hidden="1" x14ac:dyDescent="0.2">
      <c r="A486" s="102" t="s">
        <v>162</v>
      </c>
      <c r="B486" s="102" t="s">
        <v>10</v>
      </c>
      <c r="C486" s="102" t="s">
        <v>156</v>
      </c>
      <c r="D486" s="103">
        <v>76464.469826802</v>
      </c>
      <c r="E486" s="103">
        <v>36225.482483236599</v>
      </c>
      <c r="F486" s="103">
        <v>40450.690008195998</v>
      </c>
    </row>
    <row r="487" spans="1:6" hidden="1" x14ac:dyDescent="0.2">
      <c r="A487" s="102" t="s">
        <v>162</v>
      </c>
      <c r="B487" s="102" t="s">
        <v>10</v>
      </c>
      <c r="C487" s="102" t="s">
        <v>157</v>
      </c>
      <c r="D487" s="104">
        <v>3.4628599179631099</v>
      </c>
      <c r="E487" s="104">
        <v>3.6950322262772399</v>
      </c>
      <c r="F487" s="104">
        <v>3.5921005692705701</v>
      </c>
    </row>
    <row r="488" spans="1:6" hidden="1" x14ac:dyDescent="0.2">
      <c r="A488" s="102" t="s">
        <v>162</v>
      </c>
      <c r="B488" s="102" t="s">
        <v>10</v>
      </c>
      <c r="C488" s="102" t="s">
        <v>158</v>
      </c>
      <c r="D488" s="104">
        <v>1.32651919753434</v>
      </c>
      <c r="E488" s="104">
        <v>1.32946394689807</v>
      </c>
      <c r="F488" s="104">
        <v>1.38714498583895</v>
      </c>
    </row>
    <row r="489" spans="1:6" hidden="1" x14ac:dyDescent="0.2">
      <c r="A489" s="95" t="s">
        <v>162</v>
      </c>
      <c r="B489" s="95" t="s">
        <v>11</v>
      </c>
      <c r="C489" s="95" t="s">
        <v>153</v>
      </c>
      <c r="D489" s="96">
        <v>66278</v>
      </c>
      <c r="E489" s="96">
        <v>32042</v>
      </c>
      <c r="F489" s="96">
        <v>34236</v>
      </c>
    </row>
    <row r="490" spans="1:6" hidden="1" x14ac:dyDescent="0.2">
      <c r="A490" s="97" t="s">
        <v>162</v>
      </c>
      <c r="B490" s="97" t="s">
        <v>11</v>
      </c>
      <c r="C490" s="97" t="s">
        <v>154</v>
      </c>
      <c r="D490" s="98">
        <v>2245.7030800193902</v>
      </c>
      <c r="E490" s="98">
        <v>1154.26505704589</v>
      </c>
      <c r="F490" s="98">
        <v>1244.35020825522</v>
      </c>
    </row>
    <row r="491" spans="1:6" hidden="1" x14ac:dyDescent="0.2">
      <c r="A491" s="97" t="s">
        <v>162</v>
      </c>
      <c r="B491" s="97" t="s">
        <v>11</v>
      </c>
      <c r="C491" s="97" t="s">
        <v>155</v>
      </c>
      <c r="D491" s="98">
        <v>62582.404875722597</v>
      </c>
      <c r="E491" s="98">
        <v>30142.507429100599</v>
      </c>
      <c r="F491" s="98">
        <v>32188.2606512692</v>
      </c>
    </row>
    <row r="492" spans="1:6" hidden="1" x14ac:dyDescent="0.2">
      <c r="A492" s="97" t="s">
        <v>162</v>
      </c>
      <c r="B492" s="97" t="s">
        <v>11</v>
      </c>
      <c r="C492" s="97" t="s">
        <v>156</v>
      </c>
      <c r="D492" s="98">
        <v>69973.595124277301</v>
      </c>
      <c r="E492" s="98">
        <v>33941.492570899303</v>
      </c>
      <c r="F492" s="98">
        <v>36283.739348730698</v>
      </c>
    </row>
    <row r="493" spans="1:6" hidden="1" x14ac:dyDescent="0.2">
      <c r="A493" s="97" t="s">
        <v>162</v>
      </c>
      <c r="B493" s="97" t="s">
        <v>11</v>
      </c>
      <c r="C493" s="97" t="s">
        <v>157</v>
      </c>
      <c r="D493" s="99">
        <v>3.3883084583412102</v>
      </c>
      <c r="E493" s="99">
        <v>3.6023502186065102</v>
      </c>
      <c r="F493" s="99">
        <v>3.6346249802991801</v>
      </c>
    </row>
    <row r="494" spans="1:6" hidden="1" x14ac:dyDescent="0.2">
      <c r="A494" s="97" t="s">
        <v>162</v>
      </c>
      <c r="B494" s="97" t="s">
        <v>11</v>
      </c>
      <c r="C494" s="97" t="s">
        <v>158</v>
      </c>
      <c r="D494" s="99">
        <v>1.3160597851692799</v>
      </c>
      <c r="E494" s="99">
        <v>1.3531903807350201</v>
      </c>
      <c r="F494" s="99">
        <v>1.3952703080047</v>
      </c>
    </row>
    <row r="495" spans="1:6" hidden="1" x14ac:dyDescent="0.2">
      <c r="A495" s="100" t="s">
        <v>162</v>
      </c>
      <c r="B495" s="100" t="s">
        <v>12</v>
      </c>
      <c r="C495" s="100" t="s">
        <v>153</v>
      </c>
      <c r="D495" s="101">
        <v>60746</v>
      </c>
      <c r="E495" s="101">
        <v>30218</v>
      </c>
      <c r="F495" s="101">
        <v>30528</v>
      </c>
    </row>
    <row r="496" spans="1:6" hidden="1" x14ac:dyDescent="0.2">
      <c r="A496" s="102" t="s">
        <v>162</v>
      </c>
      <c r="B496" s="102" t="s">
        <v>12</v>
      </c>
      <c r="C496" s="102" t="s">
        <v>154</v>
      </c>
      <c r="D496" s="103">
        <v>1920.69259242256</v>
      </c>
      <c r="E496" s="103">
        <v>1042.9213401546299</v>
      </c>
      <c r="F496" s="103">
        <v>1049.18567161859</v>
      </c>
    </row>
    <row r="497" spans="1:6" hidden="1" x14ac:dyDescent="0.2">
      <c r="A497" s="102" t="s">
        <v>162</v>
      </c>
      <c r="B497" s="102" t="s">
        <v>12</v>
      </c>
      <c r="C497" s="102" t="s">
        <v>155</v>
      </c>
      <c r="D497" s="103">
        <v>57585.251705647897</v>
      </c>
      <c r="E497" s="103">
        <v>28501.737928681501</v>
      </c>
      <c r="F497" s="103">
        <v>28801.4291603403</v>
      </c>
    </row>
    <row r="498" spans="1:6" hidden="1" x14ac:dyDescent="0.2">
      <c r="A498" s="102" t="s">
        <v>162</v>
      </c>
      <c r="B498" s="102" t="s">
        <v>12</v>
      </c>
      <c r="C498" s="102" t="s">
        <v>156</v>
      </c>
      <c r="D498" s="103">
        <v>63906.748294352001</v>
      </c>
      <c r="E498" s="103">
        <v>31934.262071318401</v>
      </c>
      <c r="F498" s="103">
        <v>32254.570839659598</v>
      </c>
    </row>
    <row r="499" spans="1:6" hidden="1" x14ac:dyDescent="0.2">
      <c r="A499" s="102" t="s">
        <v>162</v>
      </c>
      <c r="B499" s="102" t="s">
        <v>12</v>
      </c>
      <c r="C499" s="102" t="s">
        <v>157</v>
      </c>
      <c r="D499" s="104">
        <v>3.1618420841249901</v>
      </c>
      <c r="E499" s="104">
        <v>3.4513248400113699</v>
      </c>
      <c r="F499" s="104">
        <v>3.4367979285200199</v>
      </c>
    </row>
    <row r="500" spans="1:6" hidden="1" x14ac:dyDescent="0.2">
      <c r="A500" s="102" t="s">
        <v>162</v>
      </c>
      <c r="B500" s="102" t="s">
        <v>12</v>
      </c>
      <c r="C500" s="102" t="s">
        <v>158</v>
      </c>
      <c r="D500" s="104">
        <v>1.16965738289345</v>
      </c>
      <c r="E500" s="104">
        <v>1.25920134456433</v>
      </c>
      <c r="F500" s="104">
        <v>1.27502939804589</v>
      </c>
    </row>
    <row r="501" spans="1:6" hidden="1" x14ac:dyDescent="0.2">
      <c r="A501" s="95" t="s">
        <v>162</v>
      </c>
      <c r="B501" s="95" t="s">
        <v>13</v>
      </c>
      <c r="C501" s="95" t="s">
        <v>153</v>
      </c>
      <c r="D501" s="96">
        <v>48850</v>
      </c>
      <c r="E501" s="96">
        <v>23349</v>
      </c>
      <c r="F501" s="96">
        <v>25501</v>
      </c>
    </row>
    <row r="502" spans="1:6" hidden="1" x14ac:dyDescent="0.2">
      <c r="A502" s="97" t="s">
        <v>162</v>
      </c>
      <c r="B502" s="97" t="s">
        <v>13</v>
      </c>
      <c r="C502" s="97" t="s">
        <v>154</v>
      </c>
      <c r="D502" s="98">
        <v>1672.76918418693</v>
      </c>
      <c r="E502" s="98">
        <v>890.08763695720097</v>
      </c>
      <c r="F502" s="98">
        <v>1007.82606378751</v>
      </c>
    </row>
    <row r="503" spans="1:6" hidden="1" x14ac:dyDescent="0.2">
      <c r="A503" s="97" t="s">
        <v>162</v>
      </c>
      <c r="B503" s="97" t="s">
        <v>13</v>
      </c>
      <c r="C503" s="97" t="s">
        <v>155</v>
      </c>
      <c r="D503" s="98">
        <v>46097.241767567401</v>
      </c>
      <c r="E503" s="98">
        <v>21884.245571604999</v>
      </c>
      <c r="F503" s="98">
        <v>23842.491749024699</v>
      </c>
    </row>
    <row r="504" spans="1:6" hidden="1" x14ac:dyDescent="0.2">
      <c r="A504" s="97" t="s">
        <v>162</v>
      </c>
      <c r="B504" s="97" t="s">
        <v>13</v>
      </c>
      <c r="C504" s="97" t="s">
        <v>156</v>
      </c>
      <c r="D504" s="98">
        <v>51602.758232432599</v>
      </c>
      <c r="E504" s="98">
        <v>24813.754428394899</v>
      </c>
      <c r="F504" s="98">
        <v>27159.508250975199</v>
      </c>
    </row>
    <row r="505" spans="1:6" hidden="1" x14ac:dyDescent="0.2">
      <c r="A505" s="97" t="s">
        <v>162</v>
      </c>
      <c r="B505" s="97" t="s">
        <v>13</v>
      </c>
      <c r="C505" s="97" t="s">
        <v>157</v>
      </c>
      <c r="D505" s="99">
        <v>3.42429720406742</v>
      </c>
      <c r="E505" s="99">
        <v>3.8121017472148702</v>
      </c>
      <c r="F505" s="99">
        <v>3.9521040892024502</v>
      </c>
    </row>
    <row r="506" spans="1:6" hidden="1" x14ac:dyDescent="0.2">
      <c r="A506" s="97" t="s">
        <v>162</v>
      </c>
      <c r="B506" s="97" t="s">
        <v>13</v>
      </c>
      <c r="C506" s="97" t="s">
        <v>158</v>
      </c>
      <c r="D506" s="99">
        <v>1.35733813259198</v>
      </c>
      <c r="E506" s="99">
        <v>1.4535137527139701</v>
      </c>
      <c r="F506" s="99">
        <v>1.6133908362814799</v>
      </c>
    </row>
    <row r="507" spans="1:6" hidden="1" x14ac:dyDescent="0.2">
      <c r="A507" s="100" t="s">
        <v>162</v>
      </c>
      <c r="B507" s="100" t="s">
        <v>14</v>
      </c>
      <c r="C507" s="100" t="s">
        <v>153</v>
      </c>
      <c r="D507" s="101">
        <v>44517</v>
      </c>
      <c r="E507" s="101">
        <v>21326</v>
      </c>
      <c r="F507" s="101">
        <v>23191</v>
      </c>
    </row>
    <row r="508" spans="1:6" hidden="1" x14ac:dyDescent="0.2">
      <c r="A508" s="102" t="s">
        <v>162</v>
      </c>
      <c r="B508" s="102" t="s">
        <v>14</v>
      </c>
      <c r="C508" s="102" t="s">
        <v>154</v>
      </c>
      <c r="D508" s="103">
        <v>1464.2460468888701</v>
      </c>
      <c r="E508" s="103">
        <v>741.77880010407296</v>
      </c>
      <c r="F508" s="103">
        <v>894.756256996057</v>
      </c>
    </row>
    <row r="509" spans="1:6" hidden="1" x14ac:dyDescent="0.2">
      <c r="A509" s="102" t="s">
        <v>162</v>
      </c>
      <c r="B509" s="102" t="s">
        <v>14</v>
      </c>
      <c r="C509" s="102" t="s">
        <v>155</v>
      </c>
      <c r="D509" s="103">
        <v>42107.393583296704</v>
      </c>
      <c r="E509" s="103">
        <v>20105.306961215301</v>
      </c>
      <c r="F509" s="103">
        <v>21718.562752978502</v>
      </c>
    </row>
    <row r="510" spans="1:6" hidden="1" x14ac:dyDescent="0.2">
      <c r="A510" s="102" t="s">
        <v>162</v>
      </c>
      <c r="B510" s="102" t="s">
        <v>14</v>
      </c>
      <c r="C510" s="102" t="s">
        <v>156</v>
      </c>
      <c r="D510" s="103">
        <v>46926.606416703202</v>
      </c>
      <c r="E510" s="103">
        <v>22546.693038784601</v>
      </c>
      <c r="F510" s="103">
        <v>24663.4372470214</v>
      </c>
    </row>
    <row r="511" spans="1:6" hidden="1" x14ac:dyDescent="0.2">
      <c r="A511" s="102" t="s">
        <v>162</v>
      </c>
      <c r="B511" s="102" t="s">
        <v>14</v>
      </c>
      <c r="C511" s="102" t="s">
        <v>157</v>
      </c>
      <c r="D511" s="104">
        <v>3.2891840125993999</v>
      </c>
      <c r="E511" s="104">
        <v>3.4782837855391202</v>
      </c>
      <c r="F511" s="104">
        <v>3.8582047216422599</v>
      </c>
    </row>
    <row r="512" spans="1:6" hidden="1" x14ac:dyDescent="0.2">
      <c r="A512" s="102" t="s">
        <v>162</v>
      </c>
      <c r="B512" s="102" t="s">
        <v>14</v>
      </c>
      <c r="C512" s="102" t="s">
        <v>158</v>
      </c>
      <c r="D512" s="104">
        <v>1.2825294826025999</v>
      </c>
      <c r="E512" s="104">
        <v>1.2730044526990301</v>
      </c>
      <c r="F512" s="104">
        <v>1.5416242364094801</v>
      </c>
    </row>
    <row r="513" spans="1:6" hidden="1" x14ac:dyDescent="0.2">
      <c r="A513" s="95" t="s">
        <v>162</v>
      </c>
      <c r="B513" s="95" t="s">
        <v>15</v>
      </c>
      <c r="C513" s="95" t="s">
        <v>153</v>
      </c>
      <c r="D513" s="96">
        <v>34347</v>
      </c>
      <c r="E513" s="96">
        <v>16597</v>
      </c>
      <c r="F513" s="96">
        <v>17750</v>
      </c>
    </row>
    <row r="514" spans="1:6" hidden="1" x14ac:dyDescent="0.2">
      <c r="A514" s="97" t="s">
        <v>162</v>
      </c>
      <c r="B514" s="97" t="s">
        <v>15</v>
      </c>
      <c r="C514" s="97" t="s">
        <v>154</v>
      </c>
      <c r="D514" s="98">
        <v>1300.4862903015101</v>
      </c>
      <c r="E514" s="98">
        <v>666.48037998705604</v>
      </c>
      <c r="F514" s="98">
        <v>788.82388705932703</v>
      </c>
    </row>
    <row r="515" spans="1:6" hidden="1" x14ac:dyDescent="0.2">
      <c r="A515" s="97" t="s">
        <v>162</v>
      </c>
      <c r="B515" s="97" t="s">
        <v>15</v>
      </c>
      <c r="C515" s="97" t="s">
        <v>155</v>
      </c>
      <c r="D515" s="98">
        <v>32206.881461450201</v>
      </c>
      <c r="E515" s="98">
        <v>15500.220258892999</v>
      </c>
      <c r="F515" s="98">
        <v>16451.888180647202</v>
      </c>
    </row>
    <row r="516" spans="1:6" hidden="1" x14ac:dyDescent="0.2">
      <c r="A516" s="97" t="s">
        <v>162</v>
      </c>
      <c r="B516" s="97" t="s">
        <v>15</v>
      </c>
      <c r="C516" s="97" t="s">
        <v>156</v>
      </c>
      <c r="D516" s="98">
        <v>36487.118538549701</v>
      </c>
      <c r="E516" s="98">
        <v>17693.7797411069</v>
      </c>
      <c r="F516" s="98">
        <v>19048.1118193527</v>
      </c>
    </row>
    <row r="517" spans="1:6" hidden="1" x14ac:dyDescent="0.2">
      <c r="A517" s="97" t="s">
        <v>162</v>
      </c>
      <c r="B517" s="97" t="s">
        <v>15</v>
      </c>
      <c r="C517" s="97" t="s">
        <v>157</v>
      </c>
      <c r="D517" s="99">
        <v>3.7863169717923402</v>
      </c>
      <c r="E517" s="99">
        <v>4.0156677712059796</v>
      </c>
      <c r="F517" s="99">
        <v>4.44407823695395</v>
      </c>
    </row>
    <row r="518" spans="1:6" hidden="1" x14ac:dyDescent="0.2">
      <c r="A518" s="97" t="s">
        <v>162</v>
      </c>
      <c r="B518" s="97" t="s">
        <v>15</v>
      </c>
      <c r="C518" s="97" t="s">
        <v>158</v>
      </c>
      <c r="D518" s="99">
        <v>1.59019984544325</v>
      </c>
      <c r="E518" s="99">
        <v>1.53476843423152</v>
      </c>
      <c r="F518" s="99">
        <v>1.90333146582282</v>
      </c>
    </row>
    <row r="519" spans="1:6" hidden="1" x14ac:dyDescent="0.2">
      <c r="A519" s="100" t="s">
        <v>162</v>
      </c>
      <c r="B519" s="100" t="s">
        <v>16</v>
      </c>
      <c r="C519" s="100" t="s">
        <v>153</v>
      </c>
      <c r="D519" s="101">
        <v>27767</v>
      </c>
      <c r="E519" s="101">
        <v>13205</v>
      </c>
      <c r="F519" s="101">
        <v>14562</v>
      </c>
    </row>
    <row r="520" spans="1:6" hidden="1" x14ac:dyDescent="0.2">
      <c r="A520" s="102" t="s">
        <v>162</v>
      </c>
      <c r="B520" s="102" t="s">
        <v>16</v>
      </c>
      <c r="C520" s="102" t="s">
        <v>154</v>
      </c>
      <c r="D520" s="103">
        <v>1138.3706214133799</v>
      </c>
      <c r="E520" s="103">
        <v>595.53941057378302</v>
      </c>
      <c r="F520" s="103">
        <v>692.58772910153004</v>
      </c>
    </row>
    <row r="521" spans="1:6" hidden="1" x14ac:dyDescent="0.2">
      <c r="A521" s="102" t="s">
        <v>162</v>
      </c>
      <c r="B521" s="102" t="s">
        <v>16</v>
      </c>
      <c r="C521" s="102" t="s">
        <v>155</v>
      </c>
      <c r="D521" s="103">
        <v>25893.663780467501</v>
      </c>
      <c r="E521" s="103">
        <v>12224.962807366101</v>
      </c>
      <c r="F521" s="103">
        <v>13422.257236330701</v>
      </c>
    </row>
    <row r="522" spans="1:6" hidden="1" x14ac:dyDescent="0.2">
      <c r="A522" s="102" t="s">
        <v>162</v>
      </c>
      <c r="B522" s="102" t="s">
        <v>16</v>
      </c>
      <c r="C522" s="102" t="s">
        <v>156</v>
      </c>
      <c r="D522" s="103">
        <v>29640.336219532401</v>
      </c>
      <c r="E522" s="103">
        <v>14185.037192633799</v>
      </c>
      <c r="F522" s="103">
        <v>15701.742763669199</v>
      </c>
    </row>
    <row r="523" spans="1:6" hidden="1" x14ac:dyDescent="0.2">
      <c r="A523" s="102" t="s">
        <v>162</v>
      </c>
      <c r="B523" s="102" t="s">
        <v>16</v>
      </c>
      <c r="C523" s="102" t="s">
        <v>157</v>
      </c>
      <c r="D523" s="104">
        <v>4.0997249303611598</v>
      </c>
      <c r="E523" s="104">
        <v>4.5099538854508401</v>
      </c>
      <c r="F523" s="104">
        <v>4.7561305390848103</v>
      </c>
    </row>
    <row r="524" spans="1:6" hidden="1" x14ac:dyDescent="0.2">
      <c r="A524" s="102" t="s">
        <v>162</v>
      </c>
      <c r="B524" s="102" t="s">
        <v>16</v>
      </c>
      <c r="C524" s="102" t="s">
        <v>158</v>
      </c>
      <c r="D524" s="104">
        <v>1.6885008812774001</v>
      </c>
      <c r="E524" s="104">
        <v>1.65904263064352</v>
      </c>
      <c r="F524" s="104">
        <v>1.9656326635161201</v>
      </c>
    </row>
    <row r="525" spans="1:6" hidden="1" x14ac:dyDescent="0.2">
      <c r="A525" s="95" t="s">
        <v>162</v>
      </c>
      <c r="B525" s="95" t="s">
        <v>17</v>
      </c>
      <c r="C525" s="95" t="s">
        <v>153</v>
      </c>
      <c r="D525" s="96">
        <v>20528</v>
      </c>
      <c r="E525" s="96">
        <v>10462</v>
      </c>
      <c r="F525" s="96">
        <v>10066</v>
      </c>
    </row>
    <row r="526" spans="1:6" hidden="1" x14ac:dyDescent="0.2">
      <c r="A526" s="97" t="s">
        <v>162</v>
      </c>
      <c r="B526" s="97" t="s">
        <v>17</v>
      </c>
      <c r="C526" s="97" t="s">
        <v>154</v>
      </c>
      <c r="D526" s="98">
        <v>989.66396496435095</v>
      </c>
      <c r="E526" s="98">
        <v>525.12937084804696</v>
      </c>
      <c r="F526" s="98">
        <v>591.46405834735197</v>
      </c>
    </row>
    <row r="527" spans="1:6" hidden="1" x14ac:dyDescent="0.2">
      <c r="A527" s="97" t="s">
        <v>162</v>
      </c>
      <c r="B527" s="97" t="s">
        <v>17</v>
      </c>
      <c r="C527" s="97" t="s">
        <v>155</v>
      </c>
      <c r="D527" s="98">
        <v>18899.379833720599</v>
      </c>
      <c r="E527" s="98">
        <v>9597.8316423094893</v>
      </c>
      <c r="F527" s="98">
        <v>9092.6693270087599</v>
      </c>
    </row>
    <row r="528" spans="1:6" hidden="1" x14ac:dyDescent="0.2">
      <c r="A528" s="97" t="s">
        <v>162</v>
      </c>
      <c r="B528" s="97" t="s">
        <v>17</v>
      </c>
      <c r="C528" s="97" t="s">
        <v>156</v>
      </c>
      <c r="D528" s="98">
        <v>22156.620166279299</v>
      </c>
      <c r="E528" s="98">
        <v>11326.1683576905</v>
      </c>
      <c r="F528" s="98">
        <v>11039.3306729912</v>
      </c>
    </row>
    <row r="529" spans="1:6" hidden="1" x14ac:dyDescent="0.2">
      <c r="A529" s="97" t="s">
        <v>162</v>
      </c>
      <c r="B529" s="97" t="s">
        <v>17</v>
      </c>
      <c r="C529" s="97" t="s">
        <v>157</v>
      </c>
      <c r="D529" s="99">
        <v>4.8210442564514304</v>
      </c>
      <c r="E529" s="99">
        <v>5.0193975420383001</v>
      </c>
      <c r="F529" s="99">
        <v>5.8758599080801899</v>
      </c>
    </row>
    <row r="530" spans="1:6" hidden="1" x14ac:dyDescent="0.2">
      <c r="A530" s="97" t="s">
        <v>162</v>
      </c>
      <c r="B530" s="97" t="s">
        <v>17</v>
      </c>
      <c r="C530" s="97" t="s">
        <v>158</v>
      </c>
      <c r="D530" s="99">
        <v>2.0058444212967999</v>
      </c>
      <c r="E530" s="99">
        <v>1.8843242541194101</v>
      </c>
      <c r="F530" s="99">
        <v>2.33890311892615</v>
      </c>
    </row>
    <row r="531" spans="1:6" hidden="1" x14ac:dyDescent="0.2">
      <c r="A531" s="100" t="s">
        <v>162</v>
      </c>
      <c r="B531" s="100" t="s">
        <v>18</v>
      </c>
      <c r="C531" s="100" t="s">
        <v>153</v>
      </c>
      <c r="D531" s="101">
        <v>14323</v>
      </c>
      <c r="E531" s="101">
        <v>7127</v>
      </c>
      <c r="F531" s="101">
        <v>7196</v>
      </c>
    </row>
    <row r="532" spans="1:6" hidden="1" x14ac:dyDescent="0.2">
      <c r="A532" s="102" t="s">
        <v>162</v>
      </c>
      <c r="B532" s="102" t="s">
        <v>18</v>
      </c>
      <c r="C532" s="102" t="s">
        <v>154</v>
      </c>
      <c r="D532" s="103">
        <v>713.70392490881602</v>
      </c>
      <c r="E532" s="103">
        <v>390.665444948551</v>
      </c>
      <c r="F532" s="103">
        <v>449.31746195227203</v>
      </c>
    </row>
    <row r="533" spans="1:6" hidden="1" x14ac:dyDescent="0.2">
      <c r="A533" s="102" t="s">
        <v>162</v>
      </c>
      <c r="B533" s="102" t="s">
        <v>18</v>
      </c>
      <c r="C533" s="102" t="s">
        <v>155</v>
      </c>
      <c r="D533" s="103">
        <v>13148.5078026397</v>
      </c>
      <c r="E533" s="103">
        <v>6484.1094387228404</v>
      </c>
      <c r="F533" s="103">
        <v>6456.5899522437503</v>
      </c>
    </row>
    <row r="534" spans="1:6" hidden="1" x14ac:dyDescent="0.2">
      <c r="A534" s="102" t="s">
        <v>162</v>
      </c>
      <c r="B534" s="102" t="s">
        <v>18</v>
      </c>
      <c r="C534" s="102" t="s">
        <v>156</v>
      </c>
      <c r="D534" s="103">
        <v>15497.492197360199</v>
      </c>
      <c r="E534" s="103">
        <v>7769.8905612771496</v>
      </c>
      <c r="F534" s="103">
        <v>7935.4100477562397</v>
      </c>
    </row>
    <row r="535" spans="1:6" hidden="1" x14ac:dyDescent="0.2">
      <c r="A535" s="102" t="s">
        <v>162</v>
      </c>
      <c r="B535" s="102" t="s">
        <v>18</v>
      </c>
      <c r="C535" s="102" t="s">
        <v>157</v>
      </c>
      <c r="D535" s="104">
        <v>4.9829220478169098</v>
      </c>
      <c r="E535" s="104">
        <v>5.4814851262600097</v>
      </c>
      <c r="F535" s="104">
        <v>6.24398918777477</v>
      </c>
    </row>
    <row r="536" spans="1:6" hidden="1" x14ac:dyDescent="0.2">
      <c r="A536" s="102" t="s">
        <v>162</v>
      </c>
      <c r="B536" s="102" t="s">
        <v>18</v>
      </c>
      <c r="C536" s="102" t="s">
        <v>158</v>
      </c>
      <c r="D536" s="104">
        <v>1.94125218399096</v>
      </c>
      <c r="E536" s="104">
        <v>1.9284252494567899</v>
      </c>
      <c r="F536" s="104">
        <v>2.24335921238377</v>
      </c>
    </row>
    <row r="537" spans="1:6" hidden="1" x14ac:dyDescent="0.2">
      <c r="A537" s="95" t="s">
        <v>162</v>
      </c>
      <c r="B537" s="95" t="s">
        <v>19</v>
      </c>
      <c r="C537" s="95" t="s">
        <v>153</v>
      </c>
      <c r="D537" s="96">
        <v>23320</v>
      </c>
      <c r="E537" s="96">
        <v>11518</v>
      </c>
      <c r="F537" s="96">
        <v>11802</v>
      </c>
    </row>
    <row r="538" spans="1:6" hidden="1" x14ac:dyDescent="0.2">
      <c r="A538" s="97" t="s">
        <v>162</v>
      </c>
      <c r="B538" s="97" t="s">
        <v>19</v>
      </c>
      <c r="C538" s="97" t="s">
        <v>154</v>
      </c>
      <c r="D538" s="98">
        <v>1174.0325924881899</v>
      </c>
      <c r="E538" s="98">
        <v>557.12480722935697</v>
      </c>
      <c r="F538" s="98">
        <v>737.86690194169796</v>
      </c>
    </row>
    <row r="539" spans="1:6" hidden="1" x14ac:dyDescent="0.2">
      <c r="A539" s="97" t="s">
        <v>162</v>
      </c>
      <c r="B539" s="97" t="s">
        <v>19</v>
      </c>
      <c r="C539" s="97" t="s">
        <v>155</v>
      </c>
      <c r="D539" s="98">
        <v>21387.977390624299</v>
      </c>
      <c r="E539" s="98">
        <v>10601.179009936999</v>
      </c>
      <c r="F539" s="98">
        <v>10587.744496036399</v>
      </c>
    </row>
    <row r="540" spans="1:6" hidden="1" x14ac:dyDescent="0.2">
      <c r="A540" s="97" t="s">
        <v>162</v>
      </c>
      <c r="B540" s="97" t="s">
        <v>19</v>
      </c>
      <c r="C540" s="97" t="s">
        <v>156</v>
      </c>
      <c r="D540" s="98">
        <v>25252.022609375599</v>
      </c>
      <c r="E540" s="98">
        <v>12434.820990062901</v>
      </c>
      <c r="F540" s="98">
        <v>13016.255503963501</v>
      </c>
    </row>
    <row r="541" spans="1:6" hidden="1" x14ac:dyDescent="0.2">
      <c r="A541" s="97" t="s">
        <v>162</v>
      </c>
      <c r="B541" s="97" t="s">
        <v>19</v>
      </c>
      <c r="C541" s="97" t="s">
        <v>157</v>
      </c>
      <c r="D541" s="99">
        <v>5.0344450792804203</v>
      </c>
      <c r="E541" s="99">
        <v>4.8369925961916698</v>
      </c>
      <c r="F541" s="99">
        <v>6.2520496690535303</v>
      </c>
    </row>
    <row r="542" spans="1:6" hidden="1" x14ac:dyDescent="0.2">
      <c r="A542" s="97" t="s">
        <v>162</v>
      </c>
      <c r="B542" s="97" t="s">
        <v>19</v>
      </c>
      <c r="C542" s="97" t="s">
        <v>158</v>
      </c>
      <c r="D542" s="99">
        <v>1.96095250843235</v>
      </c>
      <c r="E542" s="99">
        <v>1.65606585908709</v>
      </c>
      <c r="F542" s="99">
        <v>2.39553898453127</v>
      </c>
    </row>
    <row r="543" spans="1:6" hidden="1" x14ac:dyDescent="0.2">
      <c r="A543" s="100" t="s">
        <v>162</v>
      </c>
      <c r="B543" s="100" t="s">
        <v>20</v>
      </c>
      <c r="C543" s="100" t="s">
        <v>153</v>
      </c>
      <c r="D543" s="101">
        <v>450</v>
      </c>
      <c r="E543" s="101">
        <v>209</v>
      </c>
      <c r="F543" s="101">
        <v>241</v>
      </c>
    </row>
    <row r="544" spans="1:6" hidden="1" x14ac:dyDescent="0.2">
      <c r="A544" s="102" t="s">
        <v>162</v>
      </c>
      <c r="B544" s="102" t="s">
        <v>20</v>
      </c>
      <c r="C544" s="102" t="s">
        <v>154</v>
      </c>
      <c r="D544" s="103">
        <v>87.440969375747898</v>
      </c>
      <c r="E544" s="103">
        <v>59.2232276911095</v>
      </c>
      <c r="F544" s="103">
        <v>64.745423414354207</v>
      </c>
    </row>
    <row r="545" spans="1:6" hidden="1" x14ac:dyDescent="0.2">
      <c r="A545" s="102" t="s">
        <v>162</v>
      </c>
      <c r="B545" s="102" t="s">
        <v>20</v>
      </c>
      <c r="C545" s="102" t="s">
        <v>155</v>
      </c>
      <c r="D545" s="103">
        <v>306.10456566488398</v>
      </c>
      <c r="E545" s="103">
        <v>111.540512391628</v>
      </c>
      <c r="F545" s="103">
        <v>134.45302448118201</v>
      </c>
    </row>
    <row r="546" spans="1:6" hidden="1" x14ac:dyDescent="0.2">
      <c r="A546" s="102" t="s">
        <v>162</v>
      </c>
      <c r="B546" s="102" t="s">
        <v>20</v>
      </c>
      <c r="C546" s="102" t="s">
        <v>156</v>
      </c>
      <c r="D546" s="103">
        <v>593.89543433511597</v>
      </c>
      <c r="E546" s="103">
        <v>306.45948760837098</v>
      </c>
      <c r="F546" s="103">
        <v>347.54697551881702</v>
      </c>
    </row>
    <row r="547" spans="1:6" hidden="1" x14ac:dyDescent="0.2">
      <c r="A547" s="102" t="s">
        <v>162</v>
      </c>
      <c r="B547" s="102" t="s">
        <v>20</v>
      </c>
      <c r="C547" s="102" t="s">
        <v>157</v>
      </c>
      <c r="D547" s="104">
        <v>19.431326527943899</v>
      </c>
      <c r="E547" s="104">
        <v>28.336472579478201</v>
      </c>
      <c r="F547" s="104">
        <v>26.865320918819101</v>
      </c>
    </row>
    <row r="548" spans="1:6" hidden="1" x14ac:dyDescent="0.2">
      <c r="A548" s="102" t="s">
        <v>162</v>
      </c>
      <c r="B548" s="102" t="s">
        <v>20</v>
      </c>
      <c r="C548" s="102" t="s">
        <v>158</v>
      </c>
      <c r="D548" s="104">
        <v>2.5029325423302198</v>
      </c>
      <c r="E548" s="104">
        <v>2.43743970682219</v>
      </c>
      <c r="F548" s="104">
        <v>3.0347695944729001</v>
      </c>
    </row>
    <row r="549" spans="1:6" hidden="1" x14ac:dyDescent="0.2">
      <c r="A549" s="95" t="s">
        <v>163</v>
      </c>
      <c r="B549" s="95" t="s">
        <v>152</v>
      </c>
      <c r="C549" s="95" t="s">
        <v>153</v>
      </c>
      <c r="D549" s="96">
        <v>2954915</v>
      </c>
      <c r="E549" s="96">
        <v>1462612</v>
      </c>
      <c r="F549" s="96">
        <v>1492303</v>
      </c>
    </row>
    <row r="550" spans="1:6" hidden="1" x14ac:dyDescent="0.2">
      <c r="A550" s="97" t="s">
        <v>163</v>
      </c>
      <c r="B550" s="97" t="s">
        <v>152</v>
      </c>
      <c r="C550" s="97" t="s">
        <v>154</v>
      </c>
      <c r="D550" s="98">
        <v>48185.946134738697</v>
      </c>
      <c r="E550" s="98">
        <v>24106.752066821198</v>
      </c>
      <c r="F550" s="98">
        <v>24417.608250796002</v>
      </c>
    </row>
    <row r="551" spans="1:6" hidden="1" x14ac:dyDescent="0.2">
      <c r="A551" s="97" t="s">
        <v>163</v>
      </c>
      <c r="B551" s="97" t="s">
        <v>152</v>
      </c>
      <c r="C551" s="97" t="s">
        <v>155</v>
      </c>
      <c r="D551" s="98">
        <v>2875643.4665247002</v>
      </c>
      <c r="E551" s="98">
        <v>1422953.56519201</v>
      </c>
      <c r="F551" s="98">
        <v>1452133.1703067699</v>
      </c>
    </row>
    <row r="552" spans="1:6" hidden="1" x14ac:dyDescent="0.2">
      <c r="A552" s="97" t="s">
        <v>163</v>
      </c>
      <c r="B552" s="97" t="s">
        <v>152</v>
      </c>
      <c r="C552" s="97" t="s">
        <v>156</v>
      </c>
      <c r="D552" s="98">
        <v>3034186.5334752901</v>
      </c>
      <c r="E552" s="98">
        <v>1502270.43480798</v>
      </c>
      <c r="F552" s="98">
        <v>1532472.8296932201</v>
      </c>
    </row>
    <row r="553" spans="1:6" hidden="1" x14ac:dyDescent="0.2">
      <c r="A553" s="97" t="s">
        <v>163</v>
      </c>
      <c r="B553" s="97" t="s">
        <v>152</v>
      </c>
      <c r="C553" s="97" t="s">
        <v>157</v>
      </c>
      <c r="D553" s="99">
        <v>1.63070498253718</v>
      </c>
      <c r="E553" s="99">
        <v>1.6481987066167401</v>
      </c>
      <c r="F553" s="99">
        <v>1.63623662559118</v>
      </c>
    </row>
    <row r="554" spans="1:6" hidden="1" x14ac:dyDescent="0.2">
      <c r="A554" s="97" t="s">
        <v>163</v>
      </c>
      <c r="B554" s="97" t="s">
        <v>152</v>
      </c>
      <c r="C554" s="97" t="s">
        <v>158</v>
      </c>
      <c r="D554" s="99">
        <v>3.62387030028877</v>
      </c>
      <c r="E554" s="99">
        <v>1.7193784446122</v>
      </c>
      <c r="F554" s="99">
        <v>1.6929890909641201</v>
      </c>
    </row>
    <row r="555" spans="1:6" hidden="1" x14ac:dyDescent="0.2">
      <c r="A555" s="100" t="s">
        <v>163</v>
      </c>
      <c r="B555" s="100" t="s">
        <v>4</v>
      </c>
      <c r="C555" s="100" t="s">
        <v>153</v>
      </c>
      <c r="D555" s="101">
        <v>274796</v>
      </c>
      <c r="E555" s="101">
        <v>139896</v>
      </c>
      <c r="F555" s="101">
        <v>134900</v>
      </c>
    </row>
    <row r="556" spans="1:6" hidden="1" x14ac:dyDescent="0.2">
      <c r="A556" s="102" t="s">
        <v>163</v>
      </c>
      <c r="B556" s="102" t="s">
        <v>4</v>
      </c>
      <c r="C556" s="102" t="s">
        <v>154</v>
      </c>
      <c r="D556" s="103">
        <v>6014.7456530408899</v>
      </c>
      <c r="E556" s="103">
        <v>3314.38005429245</v>
      </c>
      <c r="F556" s="103">
        <v>3120.76271148258</v>
      </c>
    </row>
    <row r="557" spans="1:6" hidden="1" x14ac:dyDescent="0.2">
      <c r="A557" s="102" t="s">
        <v>163</v>
      </c>
      <c r="B557" s="102" t="s">
        <v>4</v>
      </c>
      <c r="C557" s="102" t="s">
        <v>155</v>
      </c>
      <c r="D557" s="103">
        <v>264901.03788703901</v>
      </c>
      <c r="E557" s="103">
        <v>134443.456042701</v>
      </c>
      <c r="F557" s="103">
        <v>129765.979282424</v>
      </c>
    </row>
    <row r="558" spans="1:6" hidden="1" x14ac:dyDescent="0.2">
      <c r="A558" s="102" t="s">
        <v>163</v>
      </c>
      <c r="B558" s="102" t="s">
        <v>4</v>
      </c>
      <c r="C558" s="102" t="s">
        <v>156</v>
      </c>
      <c r="D558" s="103">
        <v>284690.96211296</v>
      </c>
      <c r="E558" s="103">
        <v>145348.54395729801</v>
      </c>
      <c r="F558" s="103">
        <v>140034.02071757501</v>
      </c>
    </row>
    <row r="559" spans="1:6" hidden="1" x14ac:dyDescent="0.2">
      <c r="A559" s="102" t="s">
        <v>163</v>
      </c>
      <c r="B559" s="102" t="s">
        <v>4</v>
      </c>
      <c r="C559" s="102" t="s">
        <v>157</v>
      </c>
      <c r="D559" s="104">
        <v>2.18880393202262</v>
      </c>
      <c r="E559" s="104">
        <v>2.3691742825330602</v>
      </c>
      <c r="F559" s="104">
        <v>2.3133897045830798</v>
      </c>
    </row>
    <row r="560" spans="1:6" hidden="1" x14ac:dyDescent="0.2">
      <c r="A560" s="102" t="s">
        <v>163</v>
      </c>
      <c r="B560" s="102" t="s">
        <v>4</v>
      </c>
      <c r="C560" s="102" t="s">
        <v>158</v>
      </c>
      <c r="D560" s="104">
        <v>1.5999877292865201</v>
      </c>
      <c r="E560" s="104">
        <v>1.6721655893307099</v>
      </c>
      <c r="F560" s="104">
        <v>1.5795562746467999</v>
      </c>
    </row>
    <row r="561" spans="1:6" hidden="1" x14ac:dyDescent="0.2">
      <c r="A561" s="95" t="s">
        <v>163</v>
      </c>
      <c r="B561" s="95" t="s">
        <v>5</v>
      </c>
      <c r="C561" s="95" t="s">
        <v>153</v>
      </c>
      <c r="D561" s="96">
        <v>270275</v>
      </c>
      <c r="E561" s="96">
        <v>137457</v>
      </c>
      <c r="F561" s="96">
        <v>132818</v>
      </c>
    </row>
    <row r="562" spans="1:6" hidden="1" x14ac:dyDescent="0.2">
      <c r="A562" s="97" t="s">
        <v>163</v>
      </c>
      <c r="B562" s="97" t="s">
        <v>5</v>
      </c>
      <c r="C562" s="97" t="s">
        <v>154</v>
      </c>
      <c r="D562" s="98">
        <v>5640.5620561560499</v>
      </c>
      <c r="E562" s="98">
        <v>2917.7691829608402</v>
      </c>
      <c r="F562" s="98">
        <v>3140.91674877278</v>
      </c>
    </row>
    <row r="563" spans="1:6" hidden="1" x14ac:dyDescent="0.2">
      <c r="A563" s="97" t="s">
        <v>163</v>
      </c>
      <c r="B563" s="97" t="s">
        <v>5</v>
      </c>
      <c r="C563" s="97" t="s">
        <v>155</v>
      </c>
      <c r="D563" s="98">
        <v>260995.61379465801</v>
      </c>
      <c r="E563" s="98">
        <v>132656.927447444</v>
      </c>
      <c r="F563" s="98">
        <v>127650.82352706599</v>
      </c>
    </row>
    <row r="564" spans="1:6" hidden="1" x14ac:dyDescent="0.2">
      <c r="A564" s="97" t="s">
        <v>163</v>
      </c>
      <c r="B564" s="97" t="s">
        <v>5</v>
      </c>
      <c r="C564" s="97" t="s">
        <v>156</v>
      </c>
      <c r="D564" s="98">
        <v>279554.38620534103</v>
      </c>
      <c r="E564" s="98">
        <v>142257.07255255501</v>
      </c>
      <c r="F564" s="98">
        <v>137985.176472933</v>
      </c>
    </row>
    <row r="565" spans="1:6" hidden="1" x14ac:dyDescent="0.2">
      <c r="A565" s="97" t="s">
        <v>163</v>
      </c>
      <c r="B565" s="97" t="s">
        <v>5</v>
      </c>
      <c r="C565" s="97" t="s">
        <v>157</v>
      </c>
      <c r="D565" s="99">
        <v>2.0869714387775602</v>
      </c>
      <c r="E565" s="99">
        <v>2.1226777704742799</v>
      </c>
      <c r="F565" s="99">
        <v>2.3648276203321701</v>
      </c>
    </row>
    <row r="566" spans="1:6" hidden="1" x14ac:dyDescent="0.2">
      <c r="A566" s="97" t="s">
        <v>163</v>
      </c>
      <c r="B566" s="97" t="s">
        <v>5</v>
      </c>
      <c r="C566" s="97" t="s">
        <v>158</v>
      </c>
      <c r="D566" s="99">
        <v>1.4544653569999</v>
      </c>
      <c r="E566" s="99">
        <v>1.37187848218596</v>
      </c>
      <c r="F566" s="99">
        <v>1.6136715167421101</v>
      </c>
    </row>
    <row r="567" spans="1:6" hidden="1" x14ac:dyDescent="0.2">
      <c r="A567" s="100" t="s">
        <v>163</v>
      </c>
      <c r="B567" s="100" t="s">
        <v>6</v>
      </c>
      <c r="C567" s="100" t="s">
        <v>153</v>
      </c>
      <c r="D567" s="101">
        <v>282065</v>
      </c>
      <c r="E567" s="101">
        <v>142640</v>
      </c>
      <c r="F567" s="101">
        <v>139425</v>
      </c>
    </row>
    <row r="568" spans="1:6" hidden="1" x14ac:dyDescent="0.2">
      <c r="A568" s="102" t="s">
        <v>163</v>
      </c>
      <c r="B568" s="102" t="s">
        <v>6</v>
      </c>
      <c r="C568" s="102" t="s">
        <v>154</v>
      </c>
      <c r="D568" s="103">
        <v>5717.9635914014498</v>
      </c>
      <c r="E568" s="103">
        <v>3174.98098340161</v>
      </c>
      <c r="F568" s="103">
        <v>2954.3627918709799</v>
      </c>
    </row>
    <row r="569" spans="1:6" hidden="1" x14ac:dyDescent="0.2">
      <c r="A569" s="102" t="s">
        <v>163</v>
      </c>
      <c r="B569" s="102" t="s">
        <v>6</v>
      </c>
      <c r="C569" s="102" t="s">
        <v>155</v>
      </c>
      <c r="D569" s="103">
        <v>272658.27919018402</v>
      </c>
      <c r="E569" s="103">
        <v>137416.78386545801</v>
      </c>
      <c r="F569" s="103">
        <v>134564.72666845401</v>
      </c>
    </row>
    <row r="570" spans="1:6" hidden="1" x14ac:dyDescent="0.2">
      <c r="A570" s="102" t="s">
        <v>163</v>
      </c>
      <c r="B570" s="102" t="s">
        <v>6</v>
      </c>
      <c r="C570" s="102" t="s">
        <v>156</v>
      </c>
      <c r="D570" s="103">
        <v>291471.72080981499</v>
      </c>
      <c r="E570" s="103">
        <v>147863.216134541</v>
      </c>
      <c r="F570" s="103">
        <v>144285.273331545</v>
      </c>
    </row>
    <row r="571" spans="1:6" hidden="1" x14ac:dyDescent="0.2">
      <c r="A571" s="102" t="s">
        <v>163</v>
      </c>
      <c r="B571" s="102" t="s">
        <v>6</v>
      </c>
      <c r="C571" s="102" t="s">
        <v>157</v>
      </c>
      <c r="D571" s="104">
        <v>2.0271794059530399</v>
      </c>
      <c r="E571" s="104">
        <v>2.2258700107975402</v>
      </c>
      <c r="F571" s="104">
        <v>2.1189620167624001</v>
      </c>
    </row>
    <row r="572" spans="1:6" hidden="1" x14ac:dyDescent="0.2">
      <c r="A572" s="102" t="s">
        <v>163</v>
      </c>
      <c r="B572" s="102" t="s">
        <v>6</v>
      </c>
      <c r="C572" s="102" t="s">
        <v>158</v>
      </c>
      <c r="D572" s="104">
        <v>1.3759192342242399</v>
      </c>
      <c r="E572" s="104">
        <v>1.4394523754873201</v>
      </c>
      <c r="F572" s="104">
        <v>1.37741926018375</v>
      </c>
    </row>
    <row r="573" spans="1:6" hidden="1" x14ac:dyDescent="0.2">
      <c r="A573" s="95" t="s">
        <v>163</v>
      </c>
      <c r="B573" s="95" t="s">
        <v>7</v>
      </c>
      <c r="C573" s="95" t="s">
        <v>153</v>
      </c>
      <c r="D573" s="96">
        <v>269749</v>
      </c>
      <c r="E573" s="96">
        <v>138541</v>
      </c>
      <c r="F573" s="96">
        <v>131208</v>
      </c>
    </row>
    <row r="574" spans="1:6" hidden="1" x14ac:dyDescent="0.2">
      <c r="A574" s="97" t="s">
        <v>163</v>
      </c>
      <c r="B574" s="97" t="s">
        <v>7</v>
      </c>
      <c r="C574" s="97" t="s">
        <v>154</v>
      </c>
      <c r="D574" s="98">
        <v>5032.71995521395</v>
      </c>
      <c r="E574" s="98">
        <v>2845.2057466801198</v>
      </c>
      <c r="F574" s="98">
        <v>2629.0656654813301</v>
      </c>
    </row>
    <row r="575" spans="1:6" hidden="1" x14ac:dyDescent="0.2">
      <c r="A575" s="97" t="s">
        <v>163</v>
      </c>
      <c r="B575" s="97" t="s">
        <v>7</v>
      </c>
      <c r="C575" s="97" t="s">
        <v>155</v>
      </c>
      <c r="D575" s="98">
        <v>261469.58534897299</v>
      </c>
      <c r="E575" s="98">
        <v>133860.30281162501</v>
      </c>
      <c r="F575" s="98">
        <v>126882.878597855</v>
      </c>
    </row>
    <row r="576" spans="1:6" hidden="1" x14ac:dyDescent="0.2">
      <c r="A576" s="97" t="s">
        <v>163</v>
      </c>
      <c r="B576" s="97" t="s">
        <v>7</v>
      </c>
      <c r="C576" s="97" t="s">
        <v>156</v>
      </c>
      <c r="D576" s="98">
        <v>278028.41465102602</v>
      </c>
      <c r="E576" s="98">
        <v>143221.697188374</v>
      </c>
      <c r="F576" s="98">
        <v>135533.121402144</v>
      </c>
    </row>
    <row r="577" spans="1:6" hidden="1" x14ac:dyDescent="0.2">
      <c r="A577" s="97" t="s">
        <v>163</v>
      </c>
      <c r="B577" s="97" t="s">
        <v>7</v>
      </c>
      <c r="C577" s="97" t="s">
        <v>157</v>
      </c>
      <c r="D577" s="99">
        <v>1.86570476821562</v>
      </c>
      <c r="E577" s="99">
        <v>2.0536922258971102</v>
      </c>
      <c r="F577" s="99">
        <v>2.0037388463213599</v>
      </c>
    </row>
    <row r="578" spans="1:6" hidden="1" x14ac:dyDescent="0.2">
      <c r="A578" s="97" t="s">
        <v>163</v>
      </c>
      <c r="B578" s="97" t="s">
        <v>7</v>
      </c>
      <c r="C578" s="97" t="s">
        <v>158</v>
      </c>
      <c r="D578" s="99">
        <v>1.24905511375626</v>
      </c>
      <c r="E578" s="99">
        <v>1.3505551262467901</v>
      </c>
      <c r="F578" s="99">
        <v>1.2628432368610101</v>
      </c>
    </row>
    <row r="579" spans="1:6" hidden="1" x14ac:dyDescent="0.2">
      <c r="A579" s="100" t="s">
        <v>163</v>
      </c>
      <c r="B579" s="100" t="s">
        <v>8</v>
      </c>
      <c r="C579" s="100" t="s">
        <v>153</v>
      </c>
      <c r="D579" s="101">
        <v>257775</v>
      </c>
      <c r="E579" s="101">
        <v>128211</v>
      </c>
      <c r="F579" s="101">
        <v>129564</v>
      </c>
    </row>
    <row r="580" spans="1:6" hidden="1" x14ac:dyDescent="0.2">
      <c r="A580" s="102" t="s">
        <v>163</v>
      </c>
      <c r="B580" s="102" t="s">
        <v>8</v>
      </c>
      <c r="C580" s="102" t="s">
        <v>154</v>
      </c>
      <c r="D580" s="103">
        <v>4898.4260237649196</v>
      </c>
      <c r="E580" s="103">
        <v>2635.5541546654399</v>
      </c>
      <c r="F580" s="103">
        <v>2640.8003506619698</v>
      </c>
    </row>
    <row r="581" spans="1:6" hidden="1" x14ac:dyDescent="0.2">
      <c r="A581" s="102" t="s">
        <v>163</v>
      </c>
      <c r="B581" s="102" t="s">
        <v>8</v>
      </c>
      <c r="C581" s="102" t="s">
        <v>155</v>
      </c>
      <c r="D581" s="103">
        <v>249716.51461852901</v>
      </c>
      <c r="E581" s="103">
        <v>123875.20427206501</v>
      </c>
      <c r="F581" s="103">
        <v>125219.573664285</v>
      </c>
    </row>
    <row r="582" spans="1:6" hidden="1" x14ac:dyDescent="0.2">
      <c r="A582" s="102" t="s">
        <v>163</v>
      </c>
      <c r="B582" s="102" t="s">
        <v>8</v>
      </c>
      <c r="C582" s="102" t="s">
        <v>156</v>
      </c>
      <c r="D582" s="103">
        <v>265833.48538147</v>
      </c>
      <c r="E582" s="103">
        <v>132546.79572793501</v>
      </c>
      <c r="F582" s="103">
        <v>133908.426335714</v>
      </c>
    </row>
    <row r="583" spans="1:6" hidden="1" x14ac:dyDescent="0.2">
      <c r="A583" s="102" t="s">
        <v>163</v>
      </c>
      <c r="B583" s="102" t="s">
        <v>8</v>
      </c>
      <c r="C583" s="102" t="s">
        <v>157</v>
      </c>
      <c r="D583" s="104">
        <v>1.9002719518048401</v>
      </c>
      <c r="E583" s="104">
        <v>2.05563809241441</v>
      </c>
      <c r="F583" s="104">
        <v>2.0382207639946102</v>
      </c>
    </row>
    <row r="584" spans="1:6" hidden="1" x14ac:dyDescent="0.2">
      <c r="A584" s="102" t="s">
        <v>163</v>
      </c>
      <c r="B584" s="102" t="s">
        <v>8</v>
      </c>
      <c r="C584" s="102" t="s">
        <v>158</v>
      </c>
      <c r="D584" s="104">
        <v>1.2976880829899</v>
      </c>
      <c r="E584" s="104">
        <v>1.35903099905142</v>
      </c>
      <c r="F584" s="104">
        <v>1.33240998569141</v>
      </c>
    </row>
    <row r="585" spans="1:6" hidden="1" x14ac:dyDescent="0.2">
      <c r="A585" s="95" t="s">
        <v>163</v>
      </c>
      <c r="B585" s="95" t="s">
        <v>9</v>
      </c>
      <c r="C585" s="95" t="s">
        <v>153</v>
      </c>
      <c r="D585" s="96">
        <v>214822</v>
      </c>
      <c r="E585" s="96">
        <v>106419</v>
      </c>
      <c r="F585" s="96">
        <v>108403</v>
      </c>
    </row>
    <row r="586" spans="1:6" hidden="1" x14ac:dyDescent="0.2">
      <c r="A586" s="97" t="s">
        <v>163</v>
      </c>
      <c r="B586" s="97" t="s">
        <v>9</v>
      </c>
      <c r="C586" s="97" t="s">
        <v>154</v>
      </c>
      <c r="D586" s="98">
        <v>4551.9767376638802</v>
      </c>
      <c r="E586" s="98">
        <v>2395.3558784783399</v>
      </c>
      <c r="F586" s="98">
        <v>2457.2510163813799</v>
      </c>
    </row>
    <row r="587" spans="1:6" hidden="1" x14ac:dyDescent="0.2">
      <c r="A587" s="97" t="s">
        <v>163</v>
      </c>
      <c r="B587" s="97" t="s">
        <v>9</v>
      </c>
      <c r="C587" s="97" t="s">
        <v>155</v>
      </c>
      <c r="D587" s="98">
        <v>207333.464331747</v>
      </c>
      <c r="E587" s="98">
        <v>102478.358611013</v>
      </c>
      <c r="F587" s="98">
        <v>104360.53384902699</v>
      </c>
    </row>
    <row r="588" spans="1:6" hidden="1" x14ac:dyDescent="0.2">
      <c r="A588" s="97" t="s">
        <v>163</v>
      </c>
      <c r="B588" s="97" t="s">
        <v>9</v>
      </c>
      <c r="C588" s="97" t="s">
        <v>156</v>
      </c>
      <c r="D588" s="98">
        <v>222310.53566825201</v>
      </c>
      <c r="E588" s="98">
        <v>110359.641388986</v>
      </c>
      <c r="F588" s="98">
        <v>112445.466150972</v>
      </c>
    </row>
    <row r="589" spans="1:6" hidden="1" x14ac:dyDescent="0.2">
      <c r="A589" s="97" t="s">
        <v>163</v>
      </c>
      <c r="B589" s="97" t="s">
        <v>9</v>
      </c>
      <c r="C589" s="97" t="s">
        <v>157</v>
      </c>
      <c r="D589" s="99">
        <v>2.1189527784230102</v>
      </c>
      <c r="E589" s="99">
        <v>2.2508723803816499</v>
      </c>
      <c r="F589" s="99">
        <v>2.2667739973814198</v>
      </c>
    </row>
    <row r="590" spans="1:6" hidden="1" x14ac:dyDescent="0.2">
      <c r="A590" s="97" t="s">
        <v>163</v>
      </c>
      <c r="B590" s="97" t="s">
        <v>9</v>
      </c>
      <c r="C590" s="97" t="s">
        <v>158</v>
      </c>
      <c r="D590" s="99">
        <v>1.54334425685557</v>
      </c>
      <c r="E590" s="99">
        <v>1.56570940214245</v>
      </c>
      <c r="F590" s="99">
        <v>1.5660174937201199</v>
      </c>
    </row>
    <row r="591" spans="1:6" hidden="1" x14ac:dyDescent="0.2">
      <c r="A591" s="100" t="s">
        <v>163</v>
      </c>
      <c r="B591" s="100" t="s">
        <v>10</v>
      </c>
      <c r="C591" s="100" t="s">
        <v>153</v>
      </c>
      <c r="D591" s="101">
        <v>215484</v>
      </c>
      <c r="E591" s="101">
        <v>105687</v>
      </c>
      <c r="F591" s="101">
        <v>109797</v>
      </c>
    </row>
    <row r="592" spans="1:6" hidden="1" x14ac:dyDescent="0.2">
      <c r="A592" s="102" t="s">
        <v>163</v>
      </c>
      <c r="B592" s="102" t="s">
        <v>10</v>
      </c>
      <c r="C592" s="102" t="s">
        <v>154</v>
      </c>
      <c r="D592" s="103">
        <v>5301.6022207477099</v>
      </c>
      <c r="E592" s="103">
        <v>2721.9708868818002</v>
      </c>
      <c r="F592" s="103">
        <v>2856.2444239608999</v>
      </c>
    </row>
    <row r="593" spans="1:6" hidden="1" x14ac:dyDescent="0.2">
      <c r="A593" s="102" t="s">
        <v>163</v>
      </c>
      <c r="B593" s="102" t="s">
        <v>10</v>
      </c>
      <c r="C593" s="102" t="s">
        <v>155</v>
      </c>
      <c r="D593" s="103">
        <v>206762.24248299401</v>
      </c>
      <c r="E593" s="103">
        <v>101209.038611115</v>
      </c>
      <c r="F593" s="103">
        <v>105098.14289269</v>
      </c>
    </row>
    <row r="594" spans="1:6" hidden="1" x14ac:dyDescent="0.2">
      <c r="A594" s="102" t="s">
        <v>163</v>
      </c>
      <c r="B594" s="102" t="s">
        <v>10</v>
      </c>
      <c r="C594" s="102" t="s">
        <v>156</v>
      </c>
      <c r="D594" s="103">
        <v>224205.757517005</v>
      </c>
      <c r="E594" s="103">
        <v>110164.961388884</v>
      </c>
      <c r="F594" s="103">
        <v>114495.857107309</v>
      </c>
    </row>
    <row r="595" spans="1:6" hidden="1" x14ac:dyDescent="0.2">
      <c r="A595" s="102" t="s">
        <v>163</v>
      </c>
      <c r="B595" s="102" t="s">
        <v>10</v>
      </c>
      <c r="C595" s="102" t="s">
        <v>157</v>
      </c>
      <c r="D595" s="104">
        <v>2.4603229106326698</v>
      </c>
      <c r="E595" s="104">
        <v>2.5755020833989</v>
      </c>
      <c r="F595" s="104">
        <v>2.6013865806542</v>
      </c>
    </row>
    <row r="596" spans="1:6" hidden="1" x14ac:dyDescent="0.2">
      <c r="A596" s="102" t="s">
        <v>163</v>
      </c>
      <c r="B596" s="102" t="s">
        <v>10</v>
      </c>
      <c r="C596" s="102" t="s">
        <v>158</v>
      </c>
      <c r="D596" s="104">
        <v>1.81542990139072</v>
      </c>
      <c r="E596" s="104">
        <v>1.8223917714434399</v>
      </c>
      <c r="F596" s="104">
        <v>1.82299244893285</v>
      </c>
    </row>
    <row r="597" spans="1:6" hidden="1" x14ac:dyDescent="0.2">
      <c r="A597" s="95" t="s">
        <v>163</v>
      </c>
      <c r="B597" s="95" t="s">
        <v>11</v>
      </c>
      <c r="C597" s="95" t="s">
        <v>153</v>
      </c>
      <c r="D597" s="96">
        <v>219132</v>
      </c>
      <c r="E597" s="96">
        <v>107127</v>
      </c>
      <c r="F597" s="96">
        <v>112005</v>
      </c>
    </row>
    <row r="598" spans="1:6" hidden="1" x14ac:dyDescent="0.2">
      <c r="A598" s="97" t="s">
        <v>163</v>
      </c>
      <c r="B598" s="97" t="s">
        <v>11</v>
      </c>
      <c r="C598" s="97" t="s">
        <v>154</v>
      </c>
      <c r="D598" s="98">
        <v>4661.2373258915504</v>
      </c>
      <c r="E598" s="98">
        <v>2473.4613649967</v>
      </c>
      <c r="F598" s="98">
        <v>2453.2230787020599</v>
      </c>
    </row>
    <row r="599" spans="1:6" hidden="1" x14ac:dyDescent="0.2">
      <c r="A599" s="97" t="s">
        <v>163</v>
      </c>
      <c r="B599" s="97" t="s">
        <v>11</v>
      </c>
      <c r="C599" s="97" t="s">
        <v>155</v>
      </c>
      <c r="D599" s="98">
        <v>211463.717848136</v>
      </c>
      <c r="E599" s="98">
        <v>103057.86592412399</v>
      </c>
      <c r="F599" s="98">
        <v>107969.16027897601</v>
      </c>
    </row>
    <row r="600" spans="1:6" hidden="1" x14ac:dyDescent="0.2">
      <c r="A600" s="97" t="s">
        <v>163</v>
      </c>
      <c r="B600" s="97" t="s">
        <v>11</v>
      </c>
      <c r="C600" s="97" t="s">
        <v>156</v>
      </c>
      <c r="D600" s="98">
        <v>226800.28215186301</v>
      </c>
      <c r="E600" s="98">
        <v>111196.134075875</v>
      </c>
      <c r="F600" s="98">
        <v>116040.839721023</v>
      </c>
    </row>
    <row r="601" spans="1:6" hidden="1" x14ac:dyDescent="0.2">
      <c r="A601" s="97" t="s">
        <v>163</v>
      </c>
      <c r="B601" s="97" t="s">
        <v>11</v>
      </c>
      <c r="C601" s="97" t="s">
        <v>157</v>
      </c>
      <c r="D601" s="99">
        <v>2.1271367604418998</v>
      </c>
      <c r="E601" s="99">
        <v>2.3089056587010801</v>
      </c>
      <c r="F601" s="99">
        <v>2.19027996848539</v>
      </c>
    </row>
    <row r="602" spans="1:6" hidden="1" x14ac:dyDescent="0.2">
      <c r="A602" s="97" t="s">
        <v>163</v>
      </c>
      <c r="B602" s="97" t="s">
        <v>11</v>
      </c>
      <c r="C602" s="97" t="s">
        <v>158</v>
      </c>
      <c r="D602" s="99">
        <v>1.44529528626465</v>
      </c>
      <c r="E602" s="99">
        <v>1.51143406467135</v>
      </c>
      <c r="F602" s="99">
        <v>1.4141410384944</v>
      </c>
    </row>
    <row r="603" spans="1:6" hidden="1" x14ac:dyDescent="0.2">
      <c r="A603" s="100" t="s">
        <v>163</v>
      </c>
      <c r="B603" s="100" t="s">
        <v>12</v>
      </c>
      <c r="C603" s="100" t="s">
        <v>153</v>
      </c>
      <c r="D603" s="101">
        <v>213557</v>
      </c>
      <c r="E603" s="101">
        <v>101645</v>
      </c>
      <c r="F603" s="101">
        <v>111912</v>
      </c>
    </row>
    <row r="604" spans="1:6" hidden="1" x14ac:dyDescent="0.2">
      <c r="A604" s="102" t="s">
        <v>163</v>
      </c>
      <c r="B604" s="102" t="s">
        <v>12</v>
      </c>
      <c r="C604" s="102" t="s">
        <v>154</v>
      </c>
      <c r="D604" s="103">
        <v>4285.7041281996198</v>
      </c>
      <c r="E604" s="103">
        <v>2168.45685907696</v>
      </c>
      <c r="F604" s="103">
        <v>2418.8785116326399</v>
      </c>
    </row>
    <row r="605" spans="1:6" hidden="1" x14ac:dyDescent="0.2">
      <c r="A605" s="102" t="s">
        <v>163</v>
      </c>
      <c r="B605" s="102" t="s">
        <v>12</v>
      </c>
      <c r="C605" s="102" t="s">
        <v>155</v>
      </c>
      <c r="D605" s="103">
        <v>206506.51400738701</v>
      </c>
      <c r="E605" s="103">
        <v>98077.634112581596</v>
      </c>
      <c r="F605" s="103">
        <v>107932.66112033201</v>
      </c>
    </row>
    <row r="606" spans="1:6" hidden="1" x14ac:dyDescent="0.2">
      <c r="A606" s="102" t="s">
        <v>163</v>
      </c>
      <c r="B606" s="102" t="s">
        <v>12</v>
      </c>
      <c r="C606" s="102" t="s">
        <v>156</v>
      </c>
      <c r="D606" s="103">
        <v>220607.485992612</v>
      </c>
      <c r="E606" s="103">
        <v>105212.365887418</v>
      </c>
      <c r="F606" s="103">
        <v>115891.33887966799</v>
      </c>
    </row>
    <row r="607" spans="1:6" hidden="1" x14ac:dyDescent="0.2">
      <c r="A607" s="102" t="s">
        <v>163</v>
      </c>
      <c r="B607" s="102" t="s">
        <v>12</v>
      </c>
      <c r="C607" s="102" t="s">
        <v>157</v>
      </c>
      <c r="D607" s="104">
        <v>2.00681978497526</v>
      </c>
      <c r="E607" s="104">
        <v>2.1333630371163999</v>
      </c>
      <c r="F607" s="104">
        <v>2.1614112084786599</v>
      </c>
    </row>
    <row r="608" spans="1:6" hidden="1" x14ac:dyDescent="0.2">
      <c r="A608" s="102" t="s">
        <v>163</v>
      </c>
      <c r="B608" s="102" t="s">
        <v>12</v>
      </c>
      <c r="C608" s="102" t="s">
        <v>158</v>
      </c>
      <c r="D608" s="104">
        <v>1.3298976459329599</v>
      </c>
      <c r="E608" s="104">
        <v>1.3562307633311299</v>
      </c>
      <c r="F608" s="104">
        <v>1.37912948866008</v>
      </c>
    </row>
    <row r="609" spans="1:6" hidden="1" x14ac:dyDescent="0.2">
      <c r="A609" s="95" t="s">
        <v>163</v>
      </c>
      <c r="B609" s="95" t="s">
        <v>13</v>
      </c>
      <c r="C609" s="95" t="s">
        <v>153</v>
      </c>
      <c r="D609" s="96">
        <v>173262</v>
      </c>
      <c r="E609" s="96">
        <v>85128</v>
      </c>
      <c r="F609" s="96">
        <v>88134</v>
      </c>
    </row>
    <row r="610" spans="1:6" hidden="1" x14ac:dyDescent="0.2">
      <c r="A610" s="97" t="s">
        <v>163</v>
      </c>
      <c r="B610" s="97" t="s">
        <v>13</v>
      </c>
      <c r="C610" s="97" t="s">
        <v>154</v>
      </c>
      <c r="D610" s="98">
        <v>3461.6957213020301</v>
      </c>
      <c r="E610" s="98">
        <v>1816.83611657305</v>
      </c>
      <c r="F610" s="98">
        <v>1924.9583748334801</v>
      </c>
    </row>
    <row r="611" spans="1:6" hidden="1" x14ac:dyDescent="0.2">
      <c r="A611" s="97" t="s">
        <v>163</v>
      </c>
      <c r="B611" s="97" t="s">
        <v>13</v>
      </c>
      <c r="C611" s="97" t="s">
        <v>155</v>
      </c>
      <c r="D611" s="98">
        <v>167567.10449073301</v>
      </c>
      <c r="E611" s="98">
        <v>82139.091478180795</v>
      </c>
      <c r="F611" s="98">
        <v>84967.217680888294</v>
      </c>
    </row>
    <row r="612" spans="1:6" hidden="1" x14ac:dyDescent="0.2">
      <c r="A612" s="97" t="s">
        <v>163</v>
      </c>
      <c r="B612" s="97" t="s">
        <v>13</v>
      </c>
      <c r="C612" s="97" t="s">
        <v>156</v>
      </c>
      <c r="D612" s="98">
        <v>178956.895509266</v>
      </c>
      <c r="E612" s="98">
        <v>88116.908521819205</v>
      </c>
      <c r="F612" s="98">
        <v>91300.782319111604</v>
      </c>
    </row>
    <row r="613" spans="1:6" hidden="1" x14ac:dyDescent="0.2">
      <c r="A613" s="97" t="s">
        <v>163</v>
      </c>
      <c r="B613" s="97" t="s">
        <v>13</v>
      </c>
      <c r="C613" s="97" t="s">
        <v>157</v>
      </c>
      <c r="D613" s="99">
        <v>1.9979543819776</v>
      </c>
      <c r="E613" s="99">
        <v>2.1342403399269898</v>
      </c>
      <c r="F613" s="99">
        <v>2.1841268691237001</v>
      </c>
    </row>
    <row r="614" spans="1:6" hidden="1" x14ac:dyDescent="0.2">
      <c r="A614" s="97" t="s">
        <v>163</v>
      </c>
      <c r="B614" s="97" t="s">
        <v>13</v>
      </c>
      <c r="C614" s="97" t="s">
        <v>158</v>
      </c>
      <c r="D614" s="99">
        <v>1.3347032900640901</v>
      </c>
      <c r="E614" s="99">
        <v>1.3543353174711601</v>
      </c>
      <c r="F614" s="99">
        <v>1.4039417484418899</v>
      </c>
    </row>
    <row r="615" spans="1:6" hidden="1" x14ac:dyDescent="0.2">
      <c r="A615" s="100" t="s">
        <v>163</v>
      </c>
      <c r="B615" s="100" t="s">
        <v>14</v>
      </c>
      <c r="C615" s="100" t="s">
        <v>153</v>
      </c>
      <c r="D615" s="101">
        <v>154288</v>
      </c>
      <c r="E615" s="101">
        <v>73659</v>
      </c>
      <c r="F615" s="101">
        <v>80629</v>
      </c>
    </row>
    <row r="616" spans="1:6" hidden="1" x14ac:dyDescent="0.2">
      <c r="A616" s="102" t="s">
        <v>163</v>
      </c>
      <c r="B616" s="102" t="s">
        <v>14</v>
      </c>
      <c r="C616" s="102" t="s">
        <v>154</v>
      </c>
      <c r="D616" s="103">
        <v>3098.1045376566199</v>
      </c>
      <c r="E616" s="103">
        <v>1628.7635768749501</v>
      </c>
      <c r="F616" s="103">
        <v>1762.0610746357499</v>
      </c>
    </row>
    <row r="617" spans="1:6" hidden="1" x14ac:dyDescent="0.2">
      <c r="A617" s="102" t="s">
        <v>163</v>
      </c>
      <c r="B617" s="102" t="s">
        <v>14</v>
      </c>
      <c r="C617" s="102" t="s">
        <v>155</v>
      </c>
      <c r="D617" s="103">
        <v>149191.254636111</v>
      </c>
      <c r="E617" s="103">
        <v>70979.492866394095</v>
      </c>
      <c r="F617" s="103">
        <v>77730.2028471347</v>
      </c>
    </row>
    <row r="618" spans="1:6" hidden="1" x14ac:dyDescent="0.2">
      <c r="A618" s="102" t="s">
        <v>163</v>
      </c>
      <c r="B618" s="102" t="s">
        <v>14</v>
      </c>
      <c r="C618" s="102" t="s">
        <v>156</v>
      </c>
      <c r="D618" s="103">
        <v>159384.74536388801</v>
      </c>
      <c r="E618" s="103">
        <v>76338.507133605803</v>
      </c>
      <c r="F618" s="103">
        <v>83527.797152865198</v>
      </c>
    </row>
    <row r="619" spans="1:6" hidden="1" x14ac:dyDescent="0.2">
      <c r="A619" s="102" t="s">
        <v>163</v>
      </c>
      <c r="B619" s="102" t="s">
        <v>14</v>
      </c>
      <c r="C619" s="102" t="s">
        <v>157</v>
      </c>
      <c r="D619" s="104">
        <v>2.0080009706889901</v>
      </c>
      <c r="E619" s="104">
        <v>2.2112214079405801</v>
      </c>
      <c r="F619" s="104">
        <v>2.1853936854429001</v>
      </c>
    </row>
    <row r="620" spans="1:6" hidden="1" x14ac:dyDescent="0.2">
      <c r="A620" s="102" t="s">
        <v>163</v>
      </c>
      <c r="B620" s="102" t="s">
        <v>14</v>
      </c>
      <c r="C620" s="102" t="s">
        <v>158</v>
      </c>
      <c r="D620" s="104">
        <v>1.3755585308413401</v>
      </c>
      <c r="E620" s="104">
        <v>1.42810980623884</v>
      </c>
      <c r="F620" s="104">
        <v>1.4424892142167201</v>
      </c>
    </row>
    <row r="621" spans="1:6" hidden="1" x14ac:dyDescent="0.2">
      <c r="A621" s="95" t="s">
        <v>163</v>
      </c>
      <c r="B621" s="95" t="s">
        <v>15</v>
      </c>
      <c r="C621" s="95" t="s">
        <v>153</v>
      </c>
      <c r="D621" s="96">
        <v>121532</v>
      </c>
      <c r="E621" s="96">
        <v>58439</v>
      </c>
      <c r="F621" s="96">
        <v>63093</v>
      </c>
    </row>
    <row r="622" spans="1:6" hidden="1" x14ac:dyDescent="0.2">
      <c r="A622" s="97" t="s">
        <v>163</v>
      </c>
      <c r="B622" s="97" t="s">
        <v>15</v>
      </c>
      <c r="C622" s="97" t="s">
        <v>154</v>
      </c>
      <c r="D622" s="98">
        <v>2634.7034930567902</v>
      </c>
      <c r="E622" s="98">
        <v>1398.83602169547</v>
      </c>
      <c r="F622" s="98">
        <v>1531.4842136945799</v>
      </c>
    </row>
    <row r="623" spans="1:6" hidden="1" x14ac:dyDescent="0.2">
      <c r="A623" s="97" t="s">
        <v>163</v>
      </c>
      <c r="B623" s="97" t="s">
        <v>15</v>
      </c>
      <c r="C623" s="97" t="s">
        <v>155</v>
      </c>
      <c r="D623" s="98">
        <v>117197.603710191</v>
      </c>
      <c r="E623" s="98">
        <v>56137.750664556603</v>
      </c>
      <c r="F623" s="98">
        <v>60573.528829436997</v>
      </c>
    </row>
    <row r="624" spans="1:6" hidden="1" x14ac:dyDescent="0.2">
      <c r="A624" s="97" t="s">
        <v>163</v>
      </c>
      <c r="B624" s="97" t="s">
        <v>15</v>
      </c>
      <c r="C624" s="97" t="s">
        <v>156</v>
      </c>
      <c r="D624" s="98">
        <v>125866.39628980801</v>
      </c>
      <c r="E624" s="98">
        <v>60740.249335443303</v>
      </c>
      <c r="F624" s="98">
        <v>65612.471170562902</v>
      </c>
    </row>
    <row r="625" spans="1:6" hidden="1" x14ac:dyDescent="0.2">
      <c r="A625" s="97" t="s">
        <v>163</v>
      </c>
      <c r="B625" s="97" t="s">
        <v>15</v>
      </c>
      <c r="C625" s="97" t="s">
        <v>157</v>
      </c>
      <c r="D625" s="99">
        <v>2.1679092692104001</v>
      </c>
      <c r="E625" s="99">
        <v>2.39366864883976</v>
      </c>
      <c r="F625" s="99">
        <v>2.4273441010802701</v>
      </c>
    </row>
    <row r="626" spans="1:6" hidden="1" x14ac:dyDescent="0.2">
      <c r="A626" s="97" t="s">
        <v>163</v>
      </c>
      <c r="B626" s="97" t="s">
        <v>15</v>
      </c>
      <c r="C626" s="97" t="s">
        <v>158</v>
      </c>
      <c r="D626" s="99">
        <v>1.5076882232159601</v>
      </c>
      <c r="E626" s="99">
        <v>1.56522975892653</v>
      </c>
      <c r="F626" s="99">
        <v>1.59697932939816</v>
      </c>
    </row>
    <row r="627" spans="1:6" hidden="1" x14ac:dyDescent="0.2">
      <c r="A627" s="100" t="s">
        <v>163</v>
      </c>
      <c r="B627" s="100" t="s">
        <v>16</v>
      </c>
      <c r="C627" s="100" t="s">
        <v>153</v>
      </c>
      <c r="D627" s="101">
        <v>93951</v>
      </c>
      <c r="E627" s="101">
        <v>46391</v>
      </c>
      <c r="F627" s="101">
        <v>47560</v>
      </c>
    </row>
    <row r="628" spans="1:6" hidden="1" x14ac:dyDescent="0.2">
      <c r="A628" s="102" t="s">
        <v>163</v>
      </c>
      <c r="B628" s="102" t="s">
        <v>16</v>
      </c>
      <c r="C628" s="102" t="s">
        <v>154</v>
      </c>
      <c r="D628" s="103">
        <v>2284.4734978689598</v>
      </c>
      <c r="E628" s="103">
        <v>1209.5437461817201</v>
      </c>
      <c r="F628" s="103">
        <v>1337.05094898528</v>
      </c>
    </row>
    <row r="629" spans="1:6" hidden="1" x14ac:dyDescent="0.2">
      <c r="A629" s="102" t="s">
        <v>163</v>
      </c>
      <c r="B629" s="102" t="s">
        <v>16</v>
      </c>
      <c r="C629" s="102" t="s">
        <v>155</v>
      </c>
      <c r="D629" s="103">
        <v>90192.773133324794</v>
      </c>
      <c r="E629" s="103">
        <v>44401.1586612584</v>
      </c>
      <c r="F629" s="103">
        <v>45360.394356390003</v>
      </c>
    </row>
    <row r="630" spans="1:6" hidden="1" x14ac:dyDescent="0.2">
      <c r="A630" s="102" t="s">
        <v>163</v>
      </c>
      <c r="B630" s="102" t="s">
        <v>16</v>
      </c>
      <c r="C630" s="102" t="s">
        <v>156</v>
      </c>
      <c r="D630" s="103">
        <v>97709.226866675104</v>
      </c>
      <c r="E630" s="103">
        <v>48380.841338741498</v>
      </c>
      <c r="F630" s="103">
        <v>49759.605643609997</v>
      </c>
    </row>
    <row r="631" spans="1:6" hidden="1" x14ac:dyDescent="0.2">
      <c r="A631" s="102" t="s">
        <v>163</v>
      </c>
      <c r="B631" s="102" t="s">
        <v>16</v>
      </c>
      <c r="C631" s="102" t="s">
        <v>157</v>
      </c>
      <c r="D631" s="104">
        <v>2.4315584697011801</v>
      </c>
      <c r="E631" s="104">
        <v>2.6072810376618798</v>
      </c>
      <c r="F631" s="104">
        <v>2.8112929961843598</v>
      </c>
    </row>
    <row r="632" spans="1:6" hidden="1" x14ac:dyDescent="0.2">
      <c r="A632" s="102" t="s">
        <v>163</v>
      </c>
      <c r="B632" s="102" t="s">
        <v>16</v>
      </c>
      <c r="C632" s="102" t="s">
        <v>158</v>
      </c>
      <c r="D632" s="104">
        <v>1.6726697552259</v>
      </c>
      <c r="E632" s="104">
        <v>1.6957587326452499</v>
      </c>
      <c r="F632" s="104">
        <v>1.77066047188207</v>
      </c>
    </row>
    <row r="633" spans="1:6" hidden="1" x14ac:dyDescent="0.2">
      <c r="A633" s="95" t="s">
        <v>163</v>
      </c>
      <c r="B633" s="95" t="s">
        <v>17</v>
      </c>
      <c r="C633" s="95" t="s">
        <v>153</v>
      </c>
      <c r="D633" s="96">
        <v>72337</v>
      </c>
      <c r="E633" s="96">
        <v>34267</v>
      </c>
      <c r="F633" s="96">
        <v>38070</v>
      </c>
    </row>
    <row r="634" spans="1:6" hidden="1" x14ac:dyDescent="0.2">
      <c r="A634" s="97" t="s">
        <v>163</v>
      </c>
      <c r="B634" s="97" t="s">
        <v>17</v>
      </c>
      <c r="C634" s="97" t="s">
        <v>154</v>
      </c>
      <c r="D634" s="98">
        <v>1838.9150508555699</v>
      </c>
      <c r="E634" s="98">
        <v>1021.24237656947</v>
      </c>
      <c r="F634" s="98">
        <v>1087.22703061227</v>
      </c>
    </row>
    <row r="635" spans="1:6" hidden="1" x14ac:dyDescent="0.2">
      <c r="A635" s="97" t="s">
        <v>163</v>
      </c>
      <c r="B635" s="97" t="s">
        <v>17</v>
      </c>
      <c r="C635" s="97" t="s">
        <v>155</v>
      </c>
      <c r="D635" s="98">
        <v>69311.769041485604</v>
      </c>
      <c r="E635" s="98">
        <v>32586.936501521701</v>
      </c>
      <c r="F635" s="98">
        <v>36281.384005796397</v>
      </c>
    </row>
    <row r="636" spans="1:6" hidden="1" x14ac:dyDescent="0.2">
      <c r="A636" s="97" t="s">
        <v>163</v>
      </c>
      <c r="B636" s="97" t="s">
        <v>17</v>
      </c>
      <c r="C636" s="97" t="s">
        <v>156</v>
      </c>
      <c r="D636" s="98">
        <v>75362.230958514294</v>
      </c>
      <c r="E636" s="98">
        <v>35947.063498478201</v>
      </c>
      <c r="F636" s="98">
        <v>39858.615994203501</v>
      </c>
    </row>
    <row r="637" spans="1:6" hidden="1" x14ac:dyDescent="0.2">
      <c r="A637" s="97" t="s">
        <v>163</v>
      </c>
      <c r="B637" s="97" t="s">
        <v>17</v>
      </c>
      <c r="C637" s="97" t="s">
        <v>157</v>
      </c>
      <c r="D637" s="99">
        <v>2.5421500074036301</v>
      </c>
      <c r="E637" s="99">
        <v>2.98025031829303</v>
      </c>
      <c r="F637" s="99">
        <v>2.8558629645712501</v>
      </c>
    </row>
    <row r="638" spans="1:6" hidden="1" x14ac:dyDescent="0.2">
      <c r="A638" s="97" t="s">
        <v>163</v>
      </c>
      <c r="B638" s="97" t="s">
        <v>17</v>
      </c>
      <c r="C638" s="97" t="s">
        <v>158</v>
      </c>
      <c r="D638" s="99">
        <v>1.6620152121898699</v>
      </c>
      <c r="E638" s="99">
        <v>1.85254238749828</v>
      </c>
      <c r="F638" s="99">
        <v>1.7049191699914501</v>
      </c>
    </row>
    <row r="639" spans="1:6" hidden="1" x14ac:dyDescent="0.2">
      <c r="A639" s="100" t="s">
        <v>163</v>
      </c>
      <c r="B639" s="100" t="s">
        <v>18</v>
      </c>
      <c r="C639" s="100" t="s">
        <v>153</v>
      </c>
      <c r="D639" s="101">
        <v>49348</v>
      </c>
      <c r="E639" s="101">
        <v>23598</v>
      </c>
      <c r="F639" s="101">
        <v>25750</v>
      </c>
    </row>
    <row r="640" spans="1:6" hidden="1" x14ac:dyDescent="0.2">
      <c r="A640" s="102" t="s">
        <v>163</v>
      </c>
      <c r="B640" s="102" t="s">
        <v>18</v>
      </c>
      <c r="C640" s="102" t="s">
        <v>154</v>
      </c>
      <c r="D640" s="103">
        <v>1453.1984251628601</v>
      </c>
      <c r="E640" s="103">
        <v>758.10335994773197</v>
      </c>
      <c r="F640" s="103">
        <v>905.56058971255095</v>
      </c>
    </row>
    <row r="641" spans="1:6" hidden="1" x14ac:dyDescent="0.2">
      <c r="A641" s="102" t="s">
        <v>163</v>
      </c>
      <c r="B641" s="102" t="s">
        <v>18</v>
      </c>
      <c r="C641" s="102" t="s">
        <v>155</v>
      </c>
      <c r="D641" s="103">
        <v>46957.318134287001</v>
      </c>
      <c r="E641" s="103">
        <v>22350.831049372999</v>
      </c>
      <c r="F641" s="103">
        <v>24260.246610067999</v>
      </c>
    </row>
    <row r="642" spans="1:6" hidden="1" x14ac:dyDescent="0.2">
      <c r="A642" s="102" t="s">
        <v>163</v>
      </c>
      <c r="B642" s="102" t="s">
        <v>18</v>
      </c>
      <c r="C642" s="102" t="s">
        <v>156</v>
      </c>
      <c r="D642" s="103">
        <v>51738.681865712897</v>
      </c>
      <c r="E642" s="103">
        <v>24845.168950626899</v>
      </c>
      <c r="F642" s="103">
        <v>27239.753389931899</v>
      </c>
    </row>
    <row r="643" spans="1:6" hidden="1" x14ac:dyDescent="0.2">
      <c r="A643" s="102" t="s">
        <v>163</v>
      </c>
      <c r="B643" s="102" t="s">
        <v>18</v>
      </c>
      <c r="C643" s="102" t="s">
        <v>157</v>
      </c>
      <c r="D643" s="104">
        <v>2.9447970032480901</v>
      </c>
      <c r="E643" s="104">
        <v>3.2125746247467202</v>
      </c>
      <c r="F643" s="104">
        <v>3.5167401542235002</v>
      </c>
    </row>
    <row r="644" spans="1:6" hidden="1" x14ac:dyDescent="0.2">
      <c r="A644" s="102" t="s">
        <v>163</v>
      </c>
      <c r="B644" s="102" t="s">
        <v>18</v>
      </c>
      <c r="C644" s="102" t="s">
        <v>158</v>
      </c>
      <c r="D644" s="104">
        <v>1.85786474455785</v>
      </c>
      <c r="E644" s="104">
        <v>1.75603183378226</v>
      </c>
      <c r="F644" s="104">
        <v>2.0475514178015999</v>
      </c>
    </row>
    <row r="645" spans="1:6" hidden="1" x14ac:dyDescent="0.2">
      <c r="A645" s="95" t="s">
        <v>163</v>
      </c>
      <c r="B645" s="95" t="s">
        <v>19</v>
      </c>
      <c r="C645" s="95" t="s">
        <v>153</v>
      </c>
      <c r="D645" s="96">
        <v>70968</v>
      </c>
      <c r="E645" s="96">
        <v>32816</v>
      </c>
      <c r="F645" s="96">
        <v>38152</v>
      </c>
    </row>
    <row r="646" spans="1:6" hidden="1" x14ac:dyDescent="0.2">
      <c r="A646" s="97" t="s">
        <v>163</v>
      </c>
      <c r="B646" s="97" t="s">
        <v>19</v>
      </c>
      <c r="C646" s="97" t="s">
        <v>154</v>
      </c>
      <c r="D646" s="98">
        <v>1898.67764542695</v>
      </c>
      <c r="E646" s="98">
        <v>996.71410601751995</v>
      </c>
      <c r="F646" s="98">
        <v>1164.7266108531401</v>
      </c>
    </row>
    <row r="647" spans="1:6" hidden="1" x14ac:dyDescent="0.2">
      <c r="A647" s="97" t="s">
        <v>163</v>
      </c>
      <c r="B647" s="97" t="s">
        <v>19</v>
      </c>
      <c r="C647" s="97" t="s">
        <v>155</v>
      </c>
      <c r="D647" s="98">
        <v>67844.452563421903</v>
      </c>
      <c r="E647" s="98">
        <v>31176.288383680701</v>
      </c>
      <c r="F647" s="98">
        <v>36235.888105805003</v>
      </c>
    </row>
    <row r="648" spans="1:6" hidden="1" x14ac:dyDescent="0.2">
      <c r="A648" s="97" t="s">
        <v>163</v>
      </c>
      <c r="B648" s="97" t="s">
        <v>19</v>
      </c>
      <c r="C648" s="97" t="s">
        <v>156</v>
      </c>
      <c r="D648" s="98">
        <v>74091.547436577996</v>
      </c>
      <c r="E648" s="98">
        <v>34455.711616319197</v>
      </c>
      <c r="F648" s="98">
        <v>40068.111894194903</v>
      </c>
    </row>
    <row r="649" spans="1:6" hidden="1" x14ac:dyDescent="0.2">
      <c r="A649" s="97" t="s">
        <v>163</v>
      </c>
      <c r="B649" s="97" t="s">
        <v>19</v>
      </c>
      <c r="C649" s="97" t="s">
        <v>157</v>
      </c>
      <c r="D649" s="99">
        <v>2.6753996807391398</v>
      </c>
      <c r="E649" s="99">
        <v>3.03728091789834</v>
      </c>
      <c r="F649" s="99">
        <v>3.0528585941841602</v>
      </c>
    </row>
    <row r="650" spans="1:6" hidden="1" x14ac:dyDescent="0.2">
      <c r="A650" s="97" t="s">
        <v>163</v>
      </c>
      <c r="B650" s="97" t="s">
        <v>19</v>
      </c>
      <c r="C650" s="97" t="s">
        <v>158</v>
      </c>
      <c r="D650" s="99">
        <v>1.6967404885828701</v>
      </c>
      <c r="E650" s="99">
        <v>1.72897323533751</v>
      </c>
      <c r="F650" s="99">
        <v>1.83611641695053</v>
      </c>
    </row>
    <row r="651" spans="1:6" hidden="1" x14ac:dyDescent="0.2">
      <c r="A651" s="100" t="s">
        <v>163</v>
      </c>
      <c r="B651" s="100" t="s">
        <v>20</v>
      </c>
      <c r="C651" s="100" t="s">
        <v>153</v>
      </c>
      <c r="D651" s="101">
        <v>1574</v>
      </c>
      <c r="E651" s="101">
        <v>691</v>
      </c>
      <c r="F651" s="101">
        <v>883</v>
      </c>
    </row>
    <row r="652" spans="1:6" hidden="1" x14ac:dyDescent="0.2">
      <c r="A652" s="102" t="s">
        <v>163</v>
      </c>
      <c r="B652" s="102" t="s">
        <v>20</v>
      </c>
      <c r="C652" s="102" t="s">
        <v>154</v>
      </c>
      <c r="D652" s="103">
        <v>251.574886834875</v>
      </c>
      <c r="E652" s="103">
        <v>116.229063961409</v>
      </c>
      <c r="F652" s="103">
        <v>206.27998305787901</v>
      </c>
    </row>
    <row r="653" spans="1:6" hidden="1" x14ac:dyDescent="0.2">
      <c r="A653" s="102" t="s">
        <v>163</v>
      </c>
      <c r="B653" s="102" t="s">
        <v>20</v>
      </c>
      <c r="C653" s="102" t="s">
        <v>155</v>
      </c>
      <c r="D653" s="103">
        <v>1160.12980208981</v>
      </c>
      <c r="E653" s="103">
        <v>499.78955642262702</v>
      </c>
      <c r="F653" s="103">
        <v>543.64523177502394</v>
      </c>
    </row>
    <row r="654" spans="1:6" hidden="1" x14ac:dyDescent="0.2">
      <c r="A654" s="102" t="s">
        <v>163</v>
      </c>
      <c r="B654" s="102" t="s">
        <v>20</v>
      </c>
      <c r="C654" s="102" t="s">
        <v>156</v>
      </c>
      <c r="D654" s="103">
        <v>1987.87019791018</v>
      </c>
      <c r="E654" s="103">
        <v>882.21044357737196</v>
      </c>
      <c r="F654" s="103">
        <v>1222.35476822497</v>
      </c>
    </row>
    <row r="655" spans="1:6" hidden="1" x14ac:dyDescent="0.2">
      <c r="A655" s="102" t="s">
        <v>163</v>
      </c>
      <c r="B655" s="102" t="s">
        <v>20</v>
      </c>
      <c r="C655" s="102" t="s">
        <v>157</v>
      </c>
      <c r="D655" s="104">
        <v>15.983156723943701</v>
      </c>
      <c r="E655" s="104">
        <v>16.820414466195199</v>
      </c>
      <c r="F655" s="104">
        <v>23.361266484470999</v>
      </c>
    </row>
    <row r="656" spans="1:6" hidden="1" x14ac:dyDescent="0.2">
      <c r="A656" s="102" t="s">
        <v>163</v>
      </c>
      <c r="B656" s="102" t="s">
        <v>20</v>
      </c>
      <c r="C656" s="102" t="s">
        <v>158</v>
      </c>
      <c r="D656" s="104">
        <v>3.50920318578462</v>
      </c>
      <c r="E656" s="104">
        <v>2.0445977921690601</v>
      </c>
      <c r="F656" s="104">
        <v>4.4751525275915602</v>
      </c>
    </row>
    <row r="657" spans="1:6" hidden="1" x14ac:dyDescent="0.2">
      <c r="A657" s="95" t="s">
        <v>164</v>
      </c>
      <c r="B657" s="95" t="s">
        <v>152</v>
      </c>
      <c r="C657" s="95" t="s">
        <v>153</v>
      </c>
      <c r="D657" s="96">
        <v>711235</v>
      </c>
      <c r="E657" s="96">
        <v>350791</v>
      </c>
      <c r="F657" s="96">
        <v>360444</v>
      </c>
    </row>
    <row r="658" spans="1:6" hidden="1" x14ac:dyDescent="0.2">
      <c r="A658" s="97" t="s">
        <v>164</v>
      </c>
      <c r="B658" s="97" t="s">
        <v>152</v>
      </c>
      <c r="C658" s="97" t="s">
        <v>154</v>
      </c>
      <c r="D658" s="98">
        <v>13975.9330005175</v>
      </c>
      <c r="E658" s="98">
        <v>6920.1709638931397</v>
      </c>
      <c r="F658" s="98">
        <v>7249.4325696367796</v>
      </c>
    </row>
    <row r="659" spans="1:6" hidden="1" x14ac:dyDescent="0.2">
      <c r="A659" s="97" t="s">
        <v>164</v>
      </c>
      <c r="B659" s="97" t="s">
        <v>152</v>
      </c>
      <c r="C659" s="97" t="s">
        <v>155</v>
      </c>
      <c r="D659" s="98">
        <v>688232.65354826197</v>
      </c>
      <c r="E659" s="98">
        <v>339401.408334754</v>
      </c>
      <c r="F659" s="98">
        <v>348512.491775173</v>
      </c>
    </row>
    <row r="660" spans="1:6" hidden="1" x14ac:dyDescent="0.2">
      <c r="A660" s="97" t="s">
        <v>164</v>
      </c>
      <c r="B660" s="97" t="s">
        <v>152</v>
      </c>
      <c r="C660" s="97" t="s">
        <v>156</v>
      </c>
      <c r="D660" s="98">
        <v>734237.34645173699</v>
      </c>
      <c r="E660" s="98">
        <v>362180.59166524501</v>
      </c>
      <c r="F660" s="98">
        <v>372375.50822482602</v>
      </c>
    </row>
    <row r="661" spans="1:6" hidden="1" x14ac:dyDescent="0.2">
      <c r="A661" s="97" t="s">
        <v>164</v>
      </c>
      <c r="B661" s="97" t="s">
        <v>152</v>
      </c>
      <c r="C661" s="97" t="s">
        <v>157</v>
      </c>
      <c r="D661" s="99">
        <v>1.96502323430617</v>
      </c>
      <c r="E661" s="99">
        <v>1.9727333266512299</v>
      </c>
      <c r="F661" s="99">
        <v>2.0112507267805202</v>
      </c>
    </row>
    <row r="662" spans="1:6" hidden="1" x14ac:dyDescent="0.2">
      <c r="A662" s="97" t="s">
        <v>164</v>
      </c>
      <c r="B662" s="97" t="s">
        <v>152</v>
      </c>
      <c r="C662" s="97" t="s">
        <v>158</v>
      </c>
      <c r="D662" s="99">
        <v>1.78505473968009</v>
      </c>
      <c r="E662" s="99">
        <v>0.73047921338510002</v>
      </c>
      <c r="F662" s="99">
        <v>0.76707448211536</v>
      </c>
    </row>
    <row r="663" spans="1:6" hidden="1" x14ac:dyDescent="0.2">
      <c r="A663" s="100" t="s">
        <v>164</v>
      </c>
      <c r="B663" s="100" t="s">
        <v>4</v>
      </c>
      <c r="C663" s="100" t="s">
        <v>153</v>
      </c>
      <c r="D663" s="101">
        <v>61349</v>
      </c>
      <c r="E663" s="101">
        <v>31845</v>
      </c>
      <c r="F663" s="101">
        <v>29504</v>
      </c>
    </row>
    <row r="664" spans="1:6" hidden="1" x14ac:dyDescent="0.2">
      <c r="A664" s="102" t="s">
        <v>164</v>
      </c>
      <c r="B664" s="102" t="s">
        <v>4</v>
      </c>
      <c r="C664" s="102" t="s">
        <v>154</v>
      </c>
      <c r="D664" s="103">
        <v>1568.2153309283999</v>
      </c>
      <c r="E664" s="103">
        <v>900.19119807413199</v>
      </c>
      <c r="F664" s="103">
        <v>879.45143933733505</v>
      </c>
    </row>
    <row r="665" spans="1:6" hidden="1" x14ac:dyDescent="0.2">
      <c r="A665" s="102" t="s">
        <v>164</v>
      </c>
      <c r="B665" s="102" t="s">
        <v>4</v>
      </c>
      <c r="C665" s="102" t="s">
        <v>155</v>
      </c>
      <c r="D665" s="103">
        <v>58767.946387936601</v>
      </c>
      <c r="E665" s="103">
        <v>30363.416637362301</v>
      </c>
      <c r="F665" s="103">
        <v>28056.551254047401</v>
      </c>
    </row>
    <row r="666" spans="1:6" hidden="1" x14ac:dyDescent="0.2">
      <c r="A666" s="102" t="s">
        <v>164</v>
      </c>
      <c r="B666" s="102" t="s">
        <v>4</v>
      </c>
      <c r="C666" s="102" t="s">
        <v>156</v>
      </c>
      <c r="D666" s="103">
        <v>63930.053612063297</v>
      </c>
      <c r="E666" s="103">
        <v>33326.583362637699</v>
      </c>
      <c r="F666" s="103">
        <v>30951.448745952599</v>
      </c>
    </row>
    <row r="667" spans="1:6" hidden="1" x14ac:dyDescent="0.2">
      <c r="A667" s="102" t="s">
        <v>164</v>
      </c>
      <c r="B667" s="102" t="s">
        <v>4</v>
      </c>
      <c r="C667" s="102" t="s">
        <v>157</v>
      </c>
      <c r="D667" s="104">
        <v>2.5562198746978799</v>
      </c>
      <c r="E667" s="104">
        <v>2.8267897568664799</v>
      </c>
      <c r="F667" s="104">
        <v>2.9807871452593999</v>
      </c>
    </row>
    <row r="668" spans="1:6" hidden="1" x14ac:dyDescent="0.2">
      <c r="A668" s="102" t="s">
        <v>164</v>
      </c>
      <c r="B668" s="102" t="s">
        <v>4</v>
      </c>
      <c r="C668" s="102" t="s">
        <v>158</v>
      </c>
      <c r="D668" s="104">
        <v>0.66464953048905995</v>
      </c>
      <c r="E668" s="104">
        <v>0.73539496864723997</v>
      </c>
      <c r="F668" s="104">
        <v>0.78132348511901994</v>
      </c>
    </row>
    <row r="669" spans="1:6" hidden="1" x14ac:dyDescent="0.2">
      <c r="A669" s="95" t="s">
        <v>164</v>
      </c>
      <c r="B669" s="95" t="s">
        <v>5</v>
      </c>
      <c r="C669" s="95" t="s">
        <v>153</v>
      </c>
      <c r="D669" s="96">
        <v>63214</v>
      </c>
      <c r="E669" s="96">
        <v>32676</v>
      </c>
      <c r="F669" s="96">
        <v>30538</v>
      </c>
    </row>
    <row r="670" spans="1:6" hidden="1" x14ac:dyDescent="0.2">
      <c r="A670" s="97" t="s">
        <v>164</v>
      </c>
      <c r="B670" s="97" t="s">
        <v>5</v>
      </c>
      <c r="C670" s="97" t="s">
        <v>154</v>
      </c>
      <c r="D670" s="98">
        <v>1547.2505627358901</v>
      </c>
      <c r="E670" s="98">
        <v>883.00517926493001</v>
      </c>
      <c r="F670" s="98">
        <v>856.88211869902204</v>
      </c>
    </row>
    <row r="671" spans="1:6" hidden="1" x14ac:dyDescent="0.2">
      <c r="A671" s="97" t="s">
        <v>164</v>
      </c>
      <c r="B671" s="97" t="s">
        <v>5</v>
      </c>
      <c r="C671" s="97" t="s">
        <v>155</v>
      </c>
      <c r="D671" s="98">
        <v>60667.451337354003</v>
      </c>
      <c r="E671" s="98">
        <v>31222.702316662599</v>
      </c>
      <c r="F671" s="98">
        <v>29127.697062665899</v>
      </c>
    </row>
    <row r="672" spans="1:6" hidden="1" x14ac:dyDescent="0.2">
      <c r="A672" s="97" t="s">
        <v>164</v>
      </c>
      <c r="B672" s="97" t="s">
        <v>5</v>
      </c>
      <c r="C672" s="97" t="s">
        <v>156</v>
      </c>
      <c r="D672" s="98">
        <v>65760.548662645902</v>
      </c>
      <c r="E672" s="98">
        <v>34129.297683337303</v>
      </c>
      <c r="F672" s="98">
        <v>31948.302937334</v>
      </c>
    </row>
    <row r="673" spans="1:6" hidden="1" x14ac:dyDescent="0.2">
      <c r="A673" s="97" t="s">
        <v>164</v>
      </c>
      <c r="B673" s="97" t="s">
        <v>5</v>
      </c>
      <c r="C673" s="97" t="s">
        <v>157</v>
      </c>
      <c r="D673" s="99">
        <v>2.4476390716231999</v>
      </c>
      <c r="E673" s="99">
        <v>2.7023049922417899</v>
      </c>
      <c r="F673" s="99">
        <v>2.8059536272808301</v>
      </c>
    </row>
    <row r="674" spans="1:6" hidden="1" x14ac:dyDescent="0.2">
      <c r="A674" s="97" t="s">
        <v>164</v>
      </c>
      <c r="B674" s="97" t="s">
        <v>5</v>
      </c>
      <c r="C674" s="97" t="s">
        <v>158</v>
      </c>
      <c r="D674" s="99">
        <v>0.61736609248715002</v>
      </c>
      <c r="E674" s="99">
        <v>0.66089943323025002</v>
      </c>
      <c r="F674" s="99">
        <v>0.73559891529042998</v>
      </c>
    </row>
    <row r="675" spans="1:6" hidden="1" x14ac:dyDescent="0.2">
      <c r="A675" s="100" t="s">
        <v>164</v>
      </c>
      <c r="B675" s="100" t="s">
        <v>6</v>
      </c>
      <c r="C675" s="100" t="s">
        <v>153</v>
      </c>
      <c r="D675" s="101">
        <v>62980</v>
      </c>
      <c r="E675" s="101">
        <v>31844</v>
      </c>
      <c r="F675" s="101">
        <v>31136</v>
      </c>
    </row>
    <row r="676" spans="1:6" hidden="1" x14ac:dyDescent="0.2">
      <c r="A676" s="102" t="s">
        <v>164</v>
      </c>
      <c r="B676" s="102" t="s">
        <v>6</v>
      </c>
      <c r="C676" s="102" t="s">
        <v>154</v>
      </c>
      <c r="D676" s="103">
        <v>1566.5429539664899</v>
      </c>
      <c r="E676" s="103">
        <v>905.86164361992405</v>
      </c>
      <c r="F676" s="103">
        <v>870.04102466879397</v>
      </c>
    </row>
    <row r="677" spans="1:6" hidden="1" x14ac:dyDescent="0.2">
      <c r="A677" s="102" t="s">
        <v>164</v>
      </c>
      <c r="B677" s="102" t="s">
        <v>6</v>
      </c>
      <c r="C677" s="102" t="s">
        <v>155</v>
      </c>
      <c r="D677" s="103">
        <v>60401.698876394701</v>
      </c>
      <c r="E677" s="103">
        <v>30353.083911384299</v>
      </c>
      <c r="F677" s="103">
        <v>29704.0394234921</v>
      </c>
    </row>
    <row r="678" spans="1:6" hidden="1" x14ac:dyDescent="0.2">
      <c r="A678" s="102" t="s">
        <v>164</v>
      </c>
      <c r="B678" s="102" t="s">
        <v>6</v>
      </c>
      <c r="C678" s="102" t="s">
        <v>156</v>
      </c>
      <c r="D678" s="103">
        <v>65558.301123605197</v>
      </c>
      <c r="E678" s="103">
        <v>33334.916088615602</v>
      </c>
      <c r="F678" s="103">
        <v>32567.960576507801</v>
      </c>
    </row>
    <row r="679" spans="1:6" hidden="1" x14ac:dyDescent="0.2">
      <c r="A679" s="102" t="s">
        <v>164</v>
      </c>
      <c r="B679" s="102" t="s">
        <v>6</v>
      </c>
      <c r="C679" s="102" t="s">
        <v>157</v>
      </c>
      <c r="D679" s="104">
        <v>2.4873657573300898</v>
      </c>
      <c r="E679" s="104">
        <v>2.8446854780175901</v>
      </c>
      <c r="F679" s="104">
        <v>2.7943249764542402</v>
      </c>
    </row>
    <row r="680" spans="1:6" hidden="1" x14ac:dyDescent="0.2">
      <c r="A680" s="102" t="s">
        <v>164</v>
      </c>
      <c r="B680" s="102" t="s">
        <v>6</v>
      </c>
      <c r="C680" s="102" t="s">
        <v>158</v>
      </c>
      <c r="D680" s="104">
        <v>0.65132498530592997</v>
      </c>
      <c r="E680" s="104">
        <v>0.75381664509820001</v>
      </c>
      <c r="F680" s="104">
        <v>0.72686195247450003</v>
      </c>
    </row>
    <row r="681" spans="1:6" hidden="1" x14ac:dyDescent="0.2">
      <c r="A681" s="95" t="s">
        <v>164</v>
      </c>
      <c r="B681" s="95" t="s">
        <v>7</v>
      </c>
      <c r="C681" s="95" t="s">
        <v>153</v>
      </c>
      <c r="D681" s="96">
        <v>62392</v>
      </c>
      <c r="E681" s="96">
        <v>31630</v>
      </c>
      <c r="F681" s="96">
        <v>30762</v>
      </c>
    </row>
    <row r="682" spans="1:6" hidden="1" x14ac:dyDescent="0.2">
      <c r="A682" s="97" t="s">
        <v>164</v>
      </c>
      <c r="B682" s="97" t="s">
        <v>7</v>
      </c>
      <c r="C682" s="97" t="s">
        <v>154</v>
      </c>
      <c r="D682" s="98">
        <v>1520.22413590372</v>
      </c>
      <c r="E682" s="98">
        <v>878.972365652137</v>
      </c>
      <c r="F682" s="98">
        <v>863.68082860924505</v>
      </c>
    </row>
    <row r="683" spans="1:6" hidden="1" x14ac:dyDescent="0.2">
      <c r="A683" s="97" t="s">
        <v>164</v>
      </c>
      <c r="B683" s="97" t="s">
        <v>7</v>
      </c>
      <c r="C683" s="97" t="s">
        <v>155</v>
      </c>
      <c r="D683" s="98">
        <v>59889.932892418903</v>
      </c>
      <c r="E683" s="98">
        <v>30183.339739430201</v>
      </c>
      <c r="F683" s="98">
        <v>29340.5073781723</v>
      </c>
    </row>
    <row r="684" spans="1:6" hidden="1" x14ac:dyDescent="0.2">
      <c r="A684" s="97" t="s">
        <v>164</v>
      </c>
      <c r="B684" s="97" t="s">
        <v>7</v>
      </c>
      <c r="C684" s="97" t="s">
        <v>156</v>
      </c>
      <c r="D684" s="98">
        <v>64894.067107581002</v>
      </c>
      <c r="E684" s="98">
        <v>33076.660260569697</v>
      </c>
      <c r="F684" s="98">
        <v>32183.492621827601</v>
      </c>
    </row>
    <row r="685" spans="1:6" hidden="1" x14ac:dyDescent="0.2">
      <c r="A685" s="97" t="s">
        <v>164</v>
      </c>
      <c r="B685" s="97" t="s">
        <v>7</v>
      </c>
      <c r="C685" s="97" t="s">
        <v>157</v>
      </c>
      <c r="D685" s="99">
        <v>2.4365690086929801</v>
      </c>
      <c r="E685" s="99">
        <v>2.7789199040535402</v>
      </c>
      <c r="F685" s="99">
        <v>2.80762248426384</v>
      </c>
    </row>
    <row r="686" spans="1:6" hidden="1" x14ac:dyDescent="0.2">
      <c r="A686" s="97" t="s">
        <v>164</v>
      </c>
      <c r="B686" s="97" t="s">
        <v>7</v>
      </c>
      <c r="C686" s="97" t="s">
        <v>158</v>
      </c>
      <c r="D686" s="99">
        <v>0.62760567998620997</v>
      </c>
      <c r="E686" s="99">
        <v>0.72990813151460998</v>
      </c>
      <c r="F686" s="99">
        <v>0.72741208147215997</v>
      </c>
    </row>
    <row r="687" spans="1:6" hidden="1" x14ac:dyDescent="0.2">
      <c r="A687" s="100" t="s">
        <v>164</v>
      </c>
      <c r="B687" s="100" t="s">
        <v>8</v>
      </c>
      <c r="C687" s="100" t="s">
        <v>153</v>
      </c>
      <c r="D687" s="101">
        <v>64519</v>
      </c>
      <c r="E687" s="101">
        <v>31315</v>
      </c>
      <c r="F687" s="101">
        <v>33204</v>
      </c>
    </row>
    <row r="688" spans="1:6" hidden="1" x14ac:dyDescent="0.2">
      <c r="A688" s="102" t="s">
        <v>164</v>
      </c>
      <c r="B688" s="102" t="s">
        <v>8</v>
      </c>
      <c r="C688" s="102" t="s">
        <v>154</v>
      </c>
      <c r="D688" s="103">
        <v>1618.38943843833</v>
      </c>
      <c r="E688" s="103">
        <v>858.52059136949595</v>
      </c>
      <c r="F688" s="103">
        <v>930.64725490862304</v>
      </c>
    </row>
    <row r="689" spans="1:6" hidden="1" x14ac:dyDescent="0.2">
      <c r="A689" s="102" t="s">
        <v>164</v>
      </c>
      <c r="B689" s="102" t="s">
        <v>8</v>
      </c>
      <c r="C689" s="102" t="s">
        <v>155</v>
      </c>
      <c r="D689" s="103">
        <v>61855.367128018297</v>
      </c>
      <c r="E689" s="103">
        <v>29902.000375724401</v>
      </c>
      <c r="F689" s="103">
        <v>31672.290411740301</v>
      </c>
    </row>
    <row r="690" spans="1:6" hidden="1" x14ac:dyDescent="0.2">
      <c r="A690" s="102" t="s">
        <v>164</v>
      </c>
      <c r="B690" s="102" t="s">
        <v>8</v>
      </c>
      <c r="C690" s="102" t="s">
        <v>156</v>
      </c>
      <c r="D690" s="103">
        <v>67182.632871981594</v>
      </c>
      <c r="E690" s="103">
        <v>32727.999624275501</v>
      </c>
      <c r="F690" s="103">
        <v>34735.709588259597</v>
      </c>
    </row>
    <row r="691" spans="1:6" hidden="1" x14ac:dyDescent="0.2">
      <c r="A691" s="102" t="s">
        <v>164</v>
      </c>
      <c r="B691" s="102" t="s">
        <v>8</v>
      </c>
      <c r="C691" s="102" t="s">
        <v>157</v>
      </c>
      <c r="D691" s="104">
        <v>2.5083920061351299</v>
      </c>
      <c r="E691" s="104">
        <v>2.7415634404263001</v>
      </c>
      <c r="F691" s="104">
        <v>2.8028166934966299</v>
      </c>
    </row>
    <row r="692" spans="1:6" hidden="1" x14ac:dyDescent="0.2">
      <c r="A692" s="102" t="s">
        <v>164</v>
      </c>
      <c r="B692" s="102" t="s">
        <v>8</v>
      </c>
      <c r="C692" s="102" t="s">
        <v>158</v>
      </c>
      <c r="D692" s="104">
        <v>0.67835368523112005</v>
      </c>
      <c r="E692" s="104">
        <v>0.72528313987602</v>
      </c>
      <c r="F692" s="104">
        <v>0.76154365255343004</v>
      </c>
    </row>
    <row r="693" spans="1:6" hidden="1" x14ac:dyDescent="0.2">
      <c r="A693" s="95" t="s">
        <v>164</v>
      </c>
      <c r="B693" s="95" t="s">
        <v>9</v>
      </c>
      <c r="C693" s="95" t="s">
        <v>153</v>
      </c>
      <c r="D693" s="96">
        <v>59075</v>
      </c>
      <c r="E693" s="96">
        <v>28518</v>
      </c>
      <c r="F693" s="96">
        <v>30557</v>
      </c>
    </row>
    <row r="694" spans="1:6" hidden="1" x14ac:dyDescent="0.2">
      <c r="A694" s="97" t="s">
        <v>164</v>
      </c>
      <c r="B694" s="97" t="s">
        <v>9</v>
      </c>
      <c r="C694" s="97" t="s">
        <v>154</v>
      </c>
      <c r="D694" s="98">
        <v>1536.06687150215</v>
      </c>
      <c r="E694" s="98">
        <v>819.43261625529306</v>
      </c>
      <c r="F694" s="98">
        <v>868.33392866190002</v>
      </c>
    </row>
    <row r="695" spans="1:6" hidden="1" x14ac:dyDescent="0.2">
      <c r="A695" s="97" t="s">
        <v>164</v>
      </c>
      <c r="B695" s="97" t="s">
        <v>9</v>
      </c>
      <c r="C695" s="97" t="s">
        <v>155</v>
      </c>
      <c r="D695" s="98">
        <v>56546.858061281397</v>
      </c>
      <c r="E695" s="98">
        <v>27169.333479327601</v>
      </c>
      <c r="F695" s="98">
        <v>29127.849054432299</v>
      </c>
    </row>
    <row r="696" spans="1:6" hidden="1" x14ac:dyDescent="0.2">
      <c r="A696" s="97" t="s">
        <v>164</v>
      </c>
      <c r="B696" s="97" t="s">
        <v>9</v>
      </c>
      <c r="C696" s="97" t="s">
        <v>156</v>
      </c>
      <c r="D696" s="98">
        <v>61603.141938718501</v>
      </c>
      <c r="E696" s="98">
        <v>29866.666520672301</v>
      </c>
      <c r="F696" s="98">
        <v>31986.150945567599</v>
      </c>
    </row>
    <row r="697" spans="1:6" hidden="1" x14ac:dyDescent="0.2">
      <c r="A697" s="97" t="s">
        <v>164</v>
      </c>
      <c r="B697" s="97" t="s">
        <v>9</v>
      </c>
      <c r="C697" s="97" t="s">
        <v>157</v>
      </c>
      <c r="D697" s="99">
        <v>2.6001978358055902</v>
      </c>
      <c r="E697" s="99">
        <v>2.8733873913152799</v>
      </c>
      <c r="F697" s="99">
        <v>2.8416857959285902</v>
      </c>
    </row>
    <row r="698" spans="1:6" hidden="1" x14ac:dyDescent="0.2">
      <c r="A698" s="97" t="s">
        <v>164</v>
      </c>
      <c r="B698" s="97" t="s">
        <v>9</v>
      </c>
      <c r="C698" s="97" t="s">
        <v>158</v>
      </c>
      <c r="D698" s="99">
        <v>0.71385554674272</v>
      </c>
      <c r="E698" s="99">
        <v>0.77029414485016001</v>
      </c>
      <c r="F698" s="99">
        <v>0.78005708367196003</v>
      </c>
    </row>
    <row r="699" spans="1:6" hidden="1" x14ac:dyDescent="0.2">
      <c r="A699" s="100" t="s">
        <v>164</v>
      </c>
      <c r="B699" s="100" t="s">
        <v>10</v>
      </c>
      <c r="C699" s="100" t="s">
        <v>153</v>
      </c>
      <c r="D699" s="101">
        <v>56048</v>
      </c>
      <c r="E699" s="101">
        <v>27353</v>
      </c>
      <c r="F699" s="101">
        <v>28695</v>
      </c>
    </row>
    <row r="700" spans="1:6" hidden="1" x14ac:dyDescent="0.2">
      <c r="A700" s="102" t="s">
        <v>164</v>
      </c>
      <c r="B700" s="102" t="s">
        <v>10</v>
      </c>
      <c r="C700" s="102" t="s">
        <v>154</v>
      </c>
      <c r="D700" s="103">
        <v>1501.3662230064199</v>
      </c>
      <c r="E700" s="103">
        <v>827.24053384601996</v>
      </c>
      <c r="F700" s="103">
        <v>823.914336439311</v>
      </c>
    </row>
    <row r="701" spans="1:6" hidden="1" x14ac:dyDescent="0.2">
      <c r="A701" s="102" t="s">
        <v>164</v>
      </c>
      <c r="B701" s="102" t="s">
        <v>10</v>
      </c>
      <c r="C701" s="102" t="s">
        <v>155</v>
      </c>
      <c r="D701" s="103">
        <v>53576.970265437601</v>
      </c>
      <c r="E701" s="103">
        <v>25991.482786248202</v>
      </c>
      <c r="F701" s="103">
        <v>27338.957221844899</v>
      </c>
    </row>
    <row r="702" spans="1:6" hidden="1" x14ac:dyDescent="0.2">
      <c r="A702" s="102" t="s">
        <v>164</v>
      </c>
      <c r="B702" s="102" t="s">
        <v>10</v>
      </c>
      <c r="C702" s="102" t="s">
        <v>156</v>
      </c>
      <c r="D702" s="103">
        <v>58519.029734562297</v>
      </c>
      <c r="E702" s="103">
        <v>28714.517213751798</v>
      </c>
      <c r="F702" s="103">
        <v>30051.042778154999</v>
      </c>
    </row>
    <row r="703" spans="1:6" hidden="1" x14ac:dyDescent="0.2">
      <c r="A703" s="102" t="s">
        <v>164</v>
      </c>
      <c r="B703" s="102" t="s">
        <v>10</v>
      </c>
      <c r="C703" s="102" t="s">
        <v>157</v>
      </c>
      <c r="D703" s="104">
        <v>2.6787150710220198</v>
      </c>
      <c r="E703" s="104">
        <v>3.0243137273645302</v>
      </c>
      <c r="F703" s="104">
        <v>2.8712818833919198</v>
      </c>
    </row>
    <row r="704" spans="1:6" hidden="1" x14ac:dyDescent="0.2">
      <c r="A704" s="102" t="s">
        <v>164</v>
      </c>
      <c r="B704" s="102" t="s">
        <v>10</v>
      </c>
      <c r="C704" s="102" t="s">
        <v>158</v>
      </c>
      <c r="D704" s="104">
        <v>0.74685018997509001</v>
      </c>
      <c r="E704" s="104">
        <v>0.83892723287825</v>
      </c>
      <c r="F704" s="104">
        <v>0.78686630568889004</v>
      </c>
    </row>
    <row r="705" spans="1:6" hidden="1" x14ac:dyDescent="0.2">
      <c r="A705" s="95" t="s">
        <v>164</v>
      </c>
      <c r="B705" s="95" t="s">
        <v>11</v>
      </c>
      <c r="C705" s="95" t="s">
        <v>153</v>
      </c>
      <c r="D705" s="96">
        <v>52371</v>
      </c>
      <c r="E705" s="96">
        <v>25224</v>
      </c>
      <c r="F705" s="96">
        <v>27147</v>
      </c>
    </row>
    <row r="706" spans="1:6" hidden="1" x14ac:dyDescent="0.2">
      <c r="A706" s="97" t="s">
        <v>164</v>
      </c>
      <c r="B706" s="97" t="s">
        <v>11</v>
      </c>
      <c r="C706" s="97" t="s">
        <v>154</v>
      </c>
      <c r="D706" s="98">
        <v>1263.6207409205001</v>
      </c>
      <c r="E706" s="98">
        <v>688.86045339121995</v>
      </c>
      <c r="F706" s="98">
        <v>724.22232083016104</v>
      </c>
    </row>
    <row r="707" spans="1:6" hidden="1" x14ac:dyDescent="0.2">
      <c r="A707" s="97" t="s">
        <v>164</v>
      </c>
      <c r="B707" s="97" t="s">
        <v>11</v>
      </c>
      <c r="C707" s="97" t="s">
        <v>155</v>
      </c>
      <c r="D707" s="98">
        <v>50291.264638848901</v>
      </c>
      <c r="E707" s="98">
        <v>24090.236207255701</v>
      </c>
      <c r="F707" s="98">
        <v>25955.0357331993</v>
      </c>
    </row>
    <row r="708" spans="1:6" hidden="1" x14ac:dyDescent="0.2">
      <c r="A708" s="97" t="s">
        <v>164</v>
      </c>
      <c r="B708" s="97" t="s">
        <v>11</v>
      </c>
      <c r="C708" s="97" t="s">
        <v>156</v>
      </c>
      <c r="D708" s="98">
        <v>54450.735361151099</v>
      </c>
      <c r="E708" s="98">
        <v>26357.763792744201</v>
      </c>
      <c r="F708" s="98">
        <v>28338.964266800602</v>
      </c>
    </row>
    <row r="709" spans="1:6" hidden="1" x14ac:dyDescent="0.2">
      <c r="A709" s="97" t="s">
        <v>164</v>
      </c>
      <c r="B709" s="97" t="s">
        <v>11</v>
      </c>
      <c r="C709" s="97" t="s">
        <v>157</v>
      </c>
      <c r="D709" s="99">
        <v>2.4128253058381701</v>
      </c>
      <c r="E709" s="99">
        <v>2.7309723017412701</v>
      </c>
      <c r="F709" s="99">
        <v>2.6677803102742801</v>
      </c>
    </row>
    <row r="710" spans="1:6" hidden="1" x14ac:dyDescent="0.2">
      <c r="A710" s="97" t="s">
        <v>164</v>
      </c>
      <c r="B710" s="97" t="s">
        <v>11</v>
      </c>
      <c r="C710" s="97" t="s">
        <v>158</v>
      </c>
      <c r="D710" s="99">
        <v>0.60501943258855995</v>
      </c>
      <c r="E710" s="99">
        <v>0.69409742258832996</v>
      </c>
      <c r="F710" s="99">
        <v>0.66690787225812997</v>
      </c>
    </row>
    <row r="711" spans="1:6" hidden="1" x14ac:dyDescent="0.2">
      <c r="A711" s="100" t="s">
        <v>164</v>
      </c>
      <c r="B711" s="100" t="s">
        <v>12</v>
      </c>
      <c r="C711" s="100" t="s">
        <v>153</v>
      </c>
      <c r="D711" s="101">
        <v>50104</v>
      </c>
      <c r="E711" s="101">
        <v>24330</v>
      </c>
      <c r="F711" s="101">
        <v>25774</v>
      </c>
    </row>
    <row r="712" spans="1:6" hidden="1" x14ac:dyDescent="0.2">
      <c r="A712" s="102" t="s">
        <v>164</v>
      </c>
      <c r="B712" s="102" t="s">
        <v>12</v>
      </c>
      <c r="C712" s="102" t="s">
        <v>154</v>
      </c>
      <c r="D712" s="103">
        <v>1318.7163555023301</v>
      </c>
      <c r="E712" s="103">
        <v>687.65724875146896</v>
      </c>
      <c r="F712" s="103">
        <v>759.91688072330396</v>
      </c>
    </row>
    <row r="713" spans="1:6" hidden="1" x14ac:dyDescent="0.2">
      <c r="A713" s="102" t="s">
        <v>164</v>
      </c>
      <c r="B713" s="102" t="s">
        <v>12</v>
      </c>
      <c r="C713" s="102" t="s">
        <v>155</v>
      </c>
      <c r="D713" s="103">
        <v>47933.585296400997</v>
      </c>
      <c r="E713" s="103">
        <v>23198.2165065298</v>
      </c>
      <c r="F713" s="103">
        <v>24523.2876959073</v>
      </c>
    </row>
    <row r="714" spans="1:6" hidden="1" x14ac:dyDescent="0.2">
      <c r="A714" s="102" t="s">
        <v>164</v>
      </c>
      <c r="B714" s="102" t="s">
        <v>12</v>
      </c>
      <c r="C714" s="102" t="s">
        <v>156</v>
      </c>
      <c r="D714" s="103">
        <v>52274.414703598901</v>
      </c>
      <c r="E714" s="103">
        <v>25461.783493470099</v>
      </c>
      <c r="F714" s="103">
        <v>27024.712304092602</v>
      </c>
    </row>
    <row r="715" spans="1:6" hidden="1" x14ac:dyDescent="0.2">
      <c r="A715" s="102" t="s">
        <v>164</v>
      </c>
      <c r="B715" s="102" t="s">
        <v>12</v>
      </c>
      <c r="C715" s="102" t="s">
        <v>157</v>
      </c>
      <c r="D715" s="104">
        <v>2.6319582378698998</v>
      </c>
      <c r="E715" s="104">
        <v>2.8263758682756599</v>
      </c>
      <c r="F715" s="104">
        <v>2.9483855075785801</v>
      </c>
    </row>
    <row r="716" spans="1:6" hidden="1" x14ac:dyDescent="0.2">
      <c r="A716" s="102" t="s">
        <v>164</v>
      </c>
      <c r="B716" s="102" t="s">
        <v>12</v>
      </c>
      <c r="C716" s="102" t="s">
        <v>158</v>
      </c>
      <c r="D716" s="104">
        <v>0.72295701219813002</v>
      </c>
      <c r="E716" s="104">
        <v>0.74903285832193001</v>
      </c>
      <c r="F716" s="104">
        <v>0.81101998845311996</v>
      </c>
    </row>
    <row r="717" spans="1:6" hidden="1" x14ac:dyDescent="0.2">
      <c r="A717" s="95" t="s">
        <v>164</v>
      </c>
      <c r="B717" s="95" t="s">
        <v>13</v>
      </c>
      <c r="C717" s="95" t="s">
        <v>153</v>
      </c>
      <c r="D717" s="96">
        <v>39782</v>
      </c>
      <c r="E717" s="96">
        <v>19189</v>
      </c>
      <c r="F717" s="96">
        <v>20593</v>
      </c>
    </row>
    <row r="718" spans="1:6" hidden="1" x14ac:dyDescent="0.2">
      <c r="A718" s="97" t="s">
        <v>164</v>
      </c>
      <c r="B718" s="97" t="s">
        <v>13</v>
      </c>
      <c r="C718" s="97" t="s">
        <v>154</v>
      </c>
      <c r="D718" s="98">
        <v>1076.8194432216001</v>
      </c>
      <c r="E718" s="98">
        <v>585.55314285830195</v>
      </c>
      <c r="F718" s="98">
        <v>641.13514853295203</v>
      </c>
    </row>
    <row r="719" spans="1:6" hidden="1" x14ac:dyDescent="0.2">
      <c r="A719" s="97" t="s">
        <v>164</v>
      </c>
      <c r="B719" s="97" t="s">
        <v>13</v>
      </c>
      <c r="C719" s="97" t="s">
        <v>155</v>
      </c>
      <c r="D719" s="98">
        <v>38009.712318166203</v>
      </c>
      <c r="E719" s="98">
        <v>18225.264966536899</v>
      </c>
      <c r="F719" s="98">
        <v>19537.785095321</v>
      </c>
    </row>
    <row r="720" spans="1:6" hidden="1" x14ac:dyDescent="0.2">
      <c r="A720" s="97" t="s">
        <v>164</v>
      </c>
      <c r="B720" s="97" t="s">
        <v>13</v>
      </c>
      <c r="C720" s="97" t="s">
        <v>156</v>
      </c>
      <c r="D720" s="98">
        <v>41554.287681833703</v>
      </c>
      <c r="E720" s="98">
        <v>20152.735033462999</v>
      </c>
      <c r="F720" s="98">
        <v>21648.214904679</v>
      </c>
    </row>
    <row r="721" spans="1:6" hidden="1" x14ac:dyDescent="0.2">
      <c r="A721" s="97" t="s">
        <v>164</v>
      </c>
      <c r="B721" s="97" t="s">
        <v>13</v>
      </c>
      <c r="C721" s="97" t="s">
        <v>157</v>
      </c>
      <c r="D721" s="99">
        <v>2.7068006717148498</v>
      </c>
      <c r="E721" s="99">
        <v>3.0515042100073102</v>
      </c>
      <c r="F721" s="99">
        <v>3.1133644856648002</v>
      </c>
    </row>
    <row r="722" spans="1:6" hidden="1" x14ac:dyDescent="0.2">
      <c r="A722" s="97" t="s">
        <v>164</v>
      </c>
      <c r="B722" s="97" t="s">
        <v>13</v>
      </c>
      <c r="C722" s="97" t="s">
        <v>158</v>
      </c>
      <c r="D722" s="99">
        <v>0.73485939341936002</v>
      </c>
      <c r="E722" s="99">
        <v>0.81315452529251997</v>
      </c>
      <c r="F722" s="99">
        <v>0.83635295609466997</v>
      </c>
    </row>
    <row r="723" spans="1:6" hidden="1" x14ac:dyDescent="0.2">
      <c r="A723" s="100" t="s">
        <v>164</v>
      </c>
      <c r="B723" s="100" t="s">
        <v>14</v>
      </c>
      <c r="C723" s="100" t="s">
        <v>153</v>
      </c>
      <c r="D723" s="101">
        <v>37957</v>
      </c>
      <c r="E723" s="101">
        <v>18275</v>
      </c>
      <c r="F723" s="101">
        <v>19682</v>
      </c>
    </row>
    <row r="724" spans="1:6" hidden="1" x14ac:dyDescent="0.2">
      <c r="A724" s="102" t="s">
        <v>164</v>
      </c>
      <c r="B724" s="102" t="s">
        <v>14</v>
      </c>
      <c r="C724" s="102" t="s">
        <v>154</v>
      </c>
      <c r="D724" s="103">
        <v>1026.3410704591099</v>
      </c>
      <c r="E724" s="103">
        <v>563.17448186598199</v>
      </c>
      <c r="F724" s="103">
        <v>610.92598185059603</v>
      </c>
    </row>
    <row r="725" spans="1:6" hidden="1" x14ac:dyDescent="0.2">
      <c r="A725" s="102" t="s">
        <v>164</v>
      </c>
      <c r="B725" s="102" t="s">
        <v>14</v>
      </c>
      <c r="C725" s="102" t="s">
        <v>155</v>
      </c>
      <c r="D725" s="103">
        <v>36267.792354293997</v>
      </c>
      <c r="E725" s="103">
        <v>17348.0969771979</v>
      </c>
      <c r="F725" s="103">
        <v>18676.504975776901</v>
      </c>
    </row>
    <row r="726" spans="1:6" hidden="1" x14ac:dyDescent="0.2">
      <c r="A726" s="102" t="s">
        <v>164</v>
      </c>
      <c r="B726" s="102" t="s">
        <v>14</v>
      </c>
      <c r="C726" s="102" t="s">
        <v>156</v>
      </c>
      <c r="D726" s="103">
        <v>39646.207645705901</v>
      </c>
      <c r="E726" s="103">
        <v>19201.903022801998</v>
      </c>
      <c r="F726" s="103">
        <v>20687.495024223001</v>
      </c>
    </row>
    <row r="727" spans="1:6" hidden="1" x14ac:dyDescent="0.2">
      <c r="A727" s="102" t="s">
        <v>164</v>
      </c>
      <c r="B727" s="102" t="s">
        <v>14</v>
      </c>
      <c r="C727" s="102" t="s">
        <v>157</v>
      </c>
      <c r="D727" s="104">
        <v>2.70395729498936</v>
      </c>
      <c r="E727" s="104">
        <v>3.0816661114417601</v>
      </c>
      <c r="F727" s="104">
        <v>3.1039832428137202</v>
      </c>
    </row>
    <row r="728" spans="1:6" hidden="1" x14ac:dyDescent="0.2">
      <c r="A728" s="102" t="s">
        <v>164</v>
      </c>
      <c r="B728" s="102" t="s">
        <v>14</v>
      </c>
      <c r="C728" s="102" t="s">
        <v>158</v>
      </c>
      <c r="D728" s="104">
        <v>0.73723194883692</v>
      </c>
      <c r="E728" s="104">
        <v>0.81829108350659996</v>
      </c>
      <c r="F728" s="104">
        <v>0.84938271091223005</v>
      </c>
    </row>
    <row r="729" spans="1:6" hidden="1" x14ac:dyDescent="0.2">
      <c r="A729" s="95" t="s">
        <v>164</v>
      </c>
      <c r="B729" s="95" t="s">
        <v>15</v>
      </c>
      <c r="C729" s="95" t="s">
        <v>153</v>
      </c>
      <c r="D729" s="96">
        <v>28866</v>
      </c>
      <c r="E729" s="96">
        <v>14098</v>
      </c>
      <c r="F729" s="96">
        <v>14768</v>
      </c>
    </row>
    <row r="730" spans="1:6" hidden="1" x14ac:dyDescent="0.2">
      <c r="A730" s="97" t="s">
        <v>164</v>
      </c>
      <c r="B730" s="97" t="s">
        <v>15</v>
      </c>
      <c r="C730" s="97" t="s">
        <v>154</v>
      </c>
      <c r="D730" s="98">
        <v>883.83231484436396</v>
      </c>
      <c r="E730" s="98">
        <v>500.38060487206599</v>
      </c>
      <c r="F730" s="98">
        <v>535.01304710954105</v>
      </c>
    </row>
    <row r="731" spans="1:6" hidden="1" x14ac:dyDescent="0.2">
      <c r="A731" s="97" t="s">
        <v>164</v>
      </c>
      <c r="B731" s="97" t="s">
        <v>15</v>
      </c>
      <c r="C731" s="97" t="s">
        <v>155</v>
      </c>
      <c r="D731" s="98">
        <v>27411.3409721885</v>
      </c>
      <c r="E731" s="98">
        <v>13274.4465363012</v>
      </c>
      <c r="F731" s="98">
        <v>13887.446589694</v>
      </c>
    </row>
    <row r="732" spans="1:6" hidden="1" x14ac:dyDescent="0.2">
      <c r="A732" s="97" t="s">
        <v>164</v>
      </c>
      <c r="B732" s="97" t="s">
        <v>15</v>
      </c>
      <c r="C732" s="97" t="s">
        <v>156</v>
      </c>
      <c r="D732" s="98">
        <v>30320.659027811402</v>
      </c>
      <c r="E732" s="98">
        <v>14921.553463698699</v>
      </c>
      <c r="F732" s="98">
        <v>15648.5534103059</v>
      </c>
    </row>
    <row r="733" spans="1:6" hidden="1" x14ac:dyDescent="0.2">
      <c r="A733" s="97" t="s">
        <v>164</v>
      </c>
      <c r="B733" s="97" t="s">
        <v>15</v>
      </c>
      <c r="C733" s="97" t="s">
        <v>157</v>
      </c>
      <c r="D733" s="99">
        <v>3.06184547510692</v>
      </c>
      <c r="E733" s="99">
        <v>3.54930206321511</v>
      </c>
      <c r="F733" s="99">
        <v>3.6227860719768499</v>
      </c>
    </row>
    <row r="734" spans="1:6" hidden="1" x14ac:dyDescent="0.2">
      <c r="A734" s="97" t="s">
        <v>164</v>
      </c>
      <c r="B734" s="97" t="s">
        <v>15</v>
      </c>
      <c r="C734" s="97" t="s">
        <v>158</v>
      </c>
      <c r="D734" s="99">
        <v>0.86174647296996998</v>
      </c>
      <c r="E734" s="99">
        <v>0.98299072115842001</v>
      </c>
      <c r="F734" s="99">
        <v>0.99025796982581005</v>
      </c>
    </row>
    <row r="735" spans="1:6" hidden="1" x14ac:dyDescent="0.2">
      <c r="A735" s="100" t="s">
        <v>164</v>
      </c>
      <c r="B735" s="100" t="s">
        <v>16</v>
      </c>
      <c r="C735" s="100" t="s">
        <v>153</v>
      </c>
      <c r="D735" s="101">
        <v>23467</v>
      </c>
      <c r="E735" s="101">
        <v>11487</v>
      </c>
      <c r="F735" s="101">
        <v>11980</v>
      </c>
    </row>
    <row r="736" spans="1:6" hidden="1" x14ac:dyDescent="0.2">
      <c r="A736" s="102" t="s">
        <v>164</v>
      </c>
      <c r="B736" s="102" t="s">
        <v>16</v>
      </c>
      <c r="C736" s="102" t="s">
        <v>154</v>
      </c>
      <c r="D736" s="103">
        <v>758.08238950619398</v>
      </c>
      <c r="E736" s="103">
        <v>433.671189560708</v>
      </c>
      <c r="F736" s="103">
        <v>465.21999877536803</v>
      </c>
    </row>
    <row r="737" spans="1:6" hidden="1" x14ac:dyDescent="0.2">
      <c r="A737" s="102" t="s">
        <v>164</v>
      </c>
      <c r="B737" s="102" t="s">
        <v>16</v>
      </c>
      <c r="C737" s="102" t="s">
        <v>155</v>
      </c>
      <c r="D737" s="103">
        <v>22219.307000774999</v>
      </c>
      <c r="E737" s="103">
        <v>10773.2405001481</v>
      </c>
      <c r="F737" s="103">
        <v>11214.3157635549</v>
      </c>
    </row>
    <row r="738" spans="1:6" hidden="1" x14ac:dyDescent="0.2">
      <c r="A738" s="102" t="s">
        <v>164</v>
      </c>
      <c r="B738" s="102" t="s">
        <v>16</v>
      </c>
      <c r="C738" s="102" t="s">
        <v>156</v>
      </c>
      <c r="D738" s="103">
        <v>24714.692999224899</v>
      </c>
      <c r="E738" s="103">
        <v>12200.7594998518</v>
      </c>
      <c r="F738" s="103">
        <v>12745.684236445</v>
      </c>
    </row>
    <row r="739" spans="1:6" hidden="1" x14ac:dyDescent="0.2">
      <c r="A739" s="102" t="s">
        <v>164</v>
      </c>
      <c r="B739" s="102" t="s">
        <v>16</v>
      </c>
      <c r="C739" s="102" t="s">
        <v>157</v>
      </c>
      <c r="D739" s="104">
        <v>3.2304188413780799</v>
      </c>
      <c r="E739" s="104">
        <v>3.77532157709331</v>
      </c>
      <c r="F739" s="104">
        <v>3.88330549895967</v>
      </c>
    </row>
    <row r="740" spans="1:6" hidden="1" x14ac:dyDescent="0.2">
      <c r="A740" s="102" t="s">
        <v>164</v>
      </c>
      <c r="B740" s="102" t="s">
        <v>16</v>
      </c>
      <c r="C740" s="102" t="s">
        <v>158</v>
      </c>
      <c r="D740" s="104">
        <v>0.89433324008936999</v>
      </c>
      <c r="E740" s="104">
        <v>1.03949141094443</v>
      </c>
      <c r="F740" s="104">
        <v>1.0308973403558499</v>
      </c>
    </row>
    <row r="741" spans="1:6" hidden="1" x14ac:dyDescent="0.2">
      <c r="A741" s="95" t="s">
        <v>164</v>
      </c>
      <c r="B741" s="95" t="s">
        <v>17</v>
      </c>
      <c r="C741" s="95" t="s">
        <v>153</v>
      </c>
      <c r="D741" s="96">
        <v>17467</v>
      </c>
      <c r="E741" s="96">
        <v>8288</v>
      </c>
      <c r="F741" s="96">
        <v>9179</v>
      </c>
    </row>
    <row r="742" spans="1:6" hidden="1" x14ac:dyDescent="0.2">
      <c r="A742" s="97" t="s">
        <v>164</v>
      </c>
      <c r="B742" s="97" t="s">
        <v>17</v>
      </c>
      <c r="C742" s="97" t="s">
        <v>154</v>
      </c>
      <c r="D742" s="98">
        <v>664.59800740379296</v>
      </c>
      <c r="E742" s="98">
        <v>385.93807602837899</v>
      </c>
      <c r="F742" s="98">
        <v>391.94824344337701</v>
      </c>
    </row>
    <row r="743" spans="1:6" hidden="1" x14ac:dyDescent="0.2">
      <c r="A743" s="97" t="s">
        <v>164</v>
      </c>
      <c r="B743" s="97" t="s">
        <v>17</v>
      </c>
      <c r="C743" s="97" t="s">
        <v>155</v>
      </c>
      <c r="D743" s="98">
        <v>16373.1686531503</v>
      </c>
      <c r="E743" s="98">
        <v>7652.80224015147</v>
      </c>
      <c r="F743" s="98">
        <v>8533.9103815465696</v>
      </c>
    </row>
    <row r="744" spans="1:6" hidden="1" x14ac:dyDescent="0.2">
      <c r="A744" s="97" t="s">
        <v>164</v>
      </c>
      <c r="B744" s="97" t="s">
        <v>17</v>
      </c>
      <c r="C744" s="97" t="s">
        <v>156</v>
      </c>
      <c r="D744" s="98">
        <v>18560.831346849602</v>
      </c>
      <c r="E744" s="98">
        <v>8923.1977598485191</v>
      </c>
      <c r="F744" s="98">
        <v>9824.0896184534304</v>
      </c>
    </row>
    <row r="745" spans="1:6" hidden="1" x14ac:dyDescent="0.2">
      <c r="A745" s="97" t="s">
        <v>164</v>
      </c>
      <c r="B745" s="97" t="s">
        <v>17</v>
      </c>
      <c r="C745" s="97" t="s">
        <v>157</v>
      </c>
      <c r="D745" s="99">
        <v>3.8048778118955302</v>
      </c>
      <c r="E745" s="99">
        <v>4.6565887551686602</v>
      </c>
      <c r="F745" s="99">
        <v>4.2700538560123897</v>
      </c>
    </row>
    <row r="746" spans="1:6" hidden="1" x14ac:dyDescent="0.2">
      <c r="A746" s="97" t="s">
        <v>164</v>
      </c>
      <c r="B746" s="97" t="s">
        <v>17</v>
      </c>
      <c r="C746" s="97" t="s">
        <v>158</v>
      </c>
      <c r="D746" s="99">
        <v>1.0085901624959801</v>
      </c>
      <c r="E746" s="99">
        <v>1.17099905028041</v>
      </c>
      <c r="F746" s="99">
        <v>1.0931752564019701</v>
      </c>
    </row>
    <row r="747" spans="1:6" hidden="1" x14ac:dyDescent="0.2">
      <c r="A747" s="100" t="s">
        <v>164</v>
      </c>
      <c r="B747" s="100" t="s">
        <v>18</v>
      </c>
      <c r="C747" s="100" t="s">
        <v>153</v>
      </c>
      <c r="D747" s="101">
        <v>12210</v>
      </c>
      <c r="E747" s="101">
        <v>5953</v>
      </c>
      <c r="F747" s="101">
        <v>6257</v>
      </c>
    </row>
    <row r="748" spans="1:6" hidden="1" x14ac:dyDescent="0.2">
      <c r="A748" s="102" t="s">
        <v>164</v>
      </c>
      <c r="B748" s="102" t="s">
        <v>18</v>
      </c>
      <c r="C748" s="102" t="s">
        <v>154</v>
      </c>
      <c r="D748" s="103">
        <v>493.74723500543098</v>
      </c>
      <c r="E748" s="103">
        <v>292.80124668186301</v>
      </c>
      <c r="F748" s="103">
        <v>294.62710636627298</v>
      </c>
    </row>
    <row r="749" spans="1:6" hidden="1" x14ac:dyDescent="0.2">
      <c r="A749" s="102" t="s">
        <v>164</v>
      </c>
      <c r="B749" s="102" t="s">
        <v>18</v>
      </c>
      <c r="C749" s="102" t="s">
        <v>155</v>
      </c>
      <c r="D749" s="103">
        <v>11397.364095208301</v>
      </c>
      <c r="E749" s="103">
        <v>5471.0918714029604</v>
      </c>
      <c r="F749" s="103">
        <v>5772.0867727786699</v>
      </c>
    </row>
    <row r="750" spans="1:6" hidden="1" x14ac:dyDescent="0.2">
      <c r="A750" s="102" t="s">
        <v>164</v>
      </c>
      <c r="B750" s="102" t="s">
        <v>18</v>
      </c>
      <c r="C750" s="102" t="s">
        <v>156</v>
      </c>
      <c r="D750" s="103">
        <v>13022.635904791599</v>
      </c>
      <c r="E750" s="103">
        <v>6434.9081285970296</v>
      </c>
      <c r="F750" s="103">
        <v>6741.9132272213201</v>
      </c>
    </row>
    <row r="751" spans="1:6" hidden="1" x14ac:dyDescent="0.2">
      <c r="A751" s="102" t="s">
        <v>164</v>
      </c>
      <c r="B751" s="102" t="s">
        <v>18</v>
      </c>
      <c r="C751" s="102" t="s">
        <v>157</v>
      </c>
      <c r="D751" s="104">
        <v>4.0437938984883797</v>
      </c>
      <c r="E751" s="104">
        <v>4.9185494151161198</v>
      </c>
      <c r="F751" s="104">
        <v>4.70875989078269</v>
      </c>
    </row>
    <row r="752" spans="1:6" hidden="1" x14ac:dyDescent="0.2">
      <c r="A752" s="102" t="s">
        <v>164</v>
      </c>
      <c r="B752" s="102" t="s">
        <v>18</v>
      </c>
      <c r="C752" s="102" t="s">
        <v>158</v>
      </c>
      <c r="D752" s="104">
        <v>1.0038622416558201</v>
      </c>
      <c r="E752" s="104">
        <v>1.10841024253495</v>
      </c>
      <c r="F752" s="104">
        <v>1.11297953325618</v>
      </c>
    </row>
    <row r="753" spans="1:6" hidden="1" x14ac:dyDescent="0.2">
      <c r="A753" s="95" t="s">
        <v>164</v>
      </c>
      <c r="B753" s="95" t="s">
        <v>19</v>
      </c>
      <c r="C753" s="95" t="s">
        <v>153</v>
      </c>
      <c r="D753" s="96">
        <v>19051</v>
      </c>
      <c r="E753" s="96">
        <v>8574</v>
      </c>
      <c r="F753" s="96">
        <v>10477</v>
      </c>
    </row>
    <row r="754" spans="1:6" hidden="1" x14ac:dyDescent="0.2">
      <c r="A754" s="97" t="s">
        <v>164</v>
      </c>
      <c r="B754" s="97" t="s">
        <v>19</v>
      </c>
      <c r="C754" s="97" t="s">
        <v>154</v>
      </c>
      <c r="D754" s="98">
        <v>694.75522383081397</v>
      </c>
      <c r="E754" s="98">
        <v>338.58544486472198</v>
      </c>
      <c r="F754" s="98">
        <v>474.91186372430099</v>
      </c>
    </row>
    <row r="755" spans="1:6" hidden="1" x14ac:dyDescent="0.2">
      <c r="A755" s="97" t="s">
        <v>164</v>
      </c>
      <c r="B755" s="97" t="s">
        <v>19</v>
      </c>
      <c r="C755" s="97" t="s">
        <v>155</v>
      </c>
      <c r="D755" s="98">
        <v>17907.5342752344</v>
      </c>
      <c r="E755" s="98">
        <v>8016.7377616932099</v>
      </c>
      <c r="F755" s="98">
        <v>9695.3643680159093</v>
      </c>
    </row>
    <row r="756" spans="1:6" hidden="1" x14ac:dyDescent="0.2">
      <c r="A756" s="97" t="s">
        <v>164</v>
      </c>
      <c r="B756" s="97" t="s">
        <v>19</v>
      </c>
      <c r="C756" s="97" t="s">
        <v>156</v>
      </c>
      <c r="D756" s="98">
        <v>20194.465724765501</v>
      </c>
      <c r="E756" s="98">
        <v>9131.2622383067792</v>
      </c>
      <c r="F756" s="98">
        <v>11258.635631984</v>
      </c>
    </row>
    <row r="757" spans="1:6" hidden="1" x14ac:dyDescent="0.2">
      <c r="A757" s="97" t="s">
        <v>164</v>
      </c>
      <c r="B757" s="97" t="s">
        <v>19</v>
      </c>
      <c r="C757" s="97" t="s">
        <v>157</v>
      </c>
      <c r="D757" s="99">
        <v>3.6468176149851099</v>
      </c>
      <c r="E757" s="99">
        <v>3.9489788297728299</v>
      </c>
      <c r="F757" s="99">
        <v>4.5328993387830598</v>
      </c>
    </row>
    <row r="758" spans="1:6" hidden="1" x14ac:dyDescent="0.2">
      <c r="A758" s="97" t="s">
        <v>164</v>
      </c>
      <c r="B758" s="97" t="s">
        <v>19</v>
      </c>
      <c r="C758" s="97" t="s">
        <v>158</v>
      </c>
      <c r="D758" s="99">
        <v>0.95034763203487005</v>
      </c>
      <c r="E758" s="99">
        <v>0.94192912141558005</v>
      </c>
      <c r="F758" s="99">
        <v>1.16867797887651</v>
      </c>
    </row>
    <row r="759" spans="1:6" hidden="1" x14ac:dyDescent="0.2">
      <c r="A759" s="100" t="s">
        <v>164</v>
      </c>
      <c r="B759" s="100" t="s">
        <v>20</v>
      </c>
      <c r="C759" s="100" t="s">
        <v>153</v>
      </c>
      <c r="D759" s="101">
        <v>383</v>
      </c>
      <c r="E759" s="101">
        <v>192</v>
      </c>
      <c r="F759" s="101">
        <v>191</v>
      </c>
    </row>
    <row r="760" spans="1:6" hidden="1" x14ac:dyDescent="0.2">
      <c r="A760" s="102" t="s">
        <v>164</v>
      </c>
      <c r="B760" s="102" t="s">
        <v>20</v>
      </c>
      <c r="C760" s="102" t="s">
        <v>154</v>
      </c>
      <c r="D760" s="103">
        <v>112.819947307403</v>
      </c>
      <c r="E760" s="103">
        <v>66.668425283382007</v>
      </c>
      <c r="F760" s="103">
        <v>55.777689063560203</v>
      </c>
    </row>
    <row r="761" spans="1:6" hidden="1" x14ac:dyDescent="0.2">
      <c r="A761" s="102" t="s">
        <v>164</v>
      </c>
      <c r="B761" s="102" t="s">
        <v>20</v>
      </c>
      <c r="C761" s="102" t="s">
        <v>155</v>
      </c>
      <c r="D761" s="103">
        <v>197.314828603172</v>
      </c>
      <c r="E761" s="103">
        <v>82.273499758238003</v>
      </c>
      <c r="F761" s="103">
        <v>99.198062478562306</v>
      </c>
    </row>
    <row r="762" spans="1:6" hidden="1" x14ac:dyDescent="0.2">
      <c r="A762" s="102" t="s">
        <v>164</v>
      </c>
      <c r="B762" s="102" t="s">
        <v>20</v>
      </c>
      <c r="C762" s="102" t="s">
        <v>156</v>
      </c>
      <c r="D762" s="103">
        <v>568.68517139682695</v>
      </c>
      <c r="E762" s="103">
        <v>301.72650024176102</v>
      </c>
      <c r="F762" s="103">
        <v>282.80193752143703</v>
      </c>
    </row>
    <row r="763" spans="1:6" hidden="1" x14ac:dyDescent="0.2">
      <c r="A763" s="102" t="s">
        <v>164</v>
      </c>
      <c r="B763" s="102" t="s">
        <v>20</v>
      </c>
      <c r="C763" s="102" t="s">
        <v>157</v>
      </c>
      <c r="D763" s="104">
        <v>29.456905302193999</v>
      </c>
      <c r="E763" s="104">
        <v>34.7231381684281</v>
      </c>
      <c r="F763" s="104">
        <v>29.202978567309</v>
      </c>
    </row>
    <row r="764" spans="1:6" hidden="1" x14ac:dyDescent="0.2">
      <c r="A764" s="102" t="s">
        <v>164</v>
      </c>
      <c r="B764" s="102" t="s">
        <v>20</v>
      </c>
      <c r="C764" s="102" t="s">
        <v>158</v>
      </c>
      <c r="D764" s="104">
        <v>1.61685452447266</v>
      </c>
      <c r="E764" s="104">
        <v>1.6529568883391601</v>
      </c>
      <c r="F764" s="104">
        <v>1.3974972044724601</v>
      </c>
    </row>
    <row r="765" spans="1:6" hidden="1" x14ac:dyDescent="0.2">
      <c r="A765" s="95" t="s">
        <v>165</v>
      </c>
      <c r="B765" s="95" t="s">
        <v>152</v>
      </c>
      <c r="C765" s="95" t="s">
        <v>153</v>
      </c>
      <c r="D765" s="96">
        <v>5217908</v>
      </c>
      <c r="E765" s="96">
        <v>2536721</v>
      </c>
      <c r="F765" s="96">
        <v>2681187</v>
      </c>
    </row>
    <row r="766" spans="1:6" hidden="1" x14ac:dyDescent="0.2">
      <c r="A766" s="97" t="s">
        <v>165</v>
      </c>
      <c r="B766" s="97" t="s">
        <v>152</v>
      </c>
      <c r="C766" s="97" t="s">
        <v>154</v>
      </c>
      <c r="D766" s="98">
        <v>48877.000376336196</v>
      </c>
      <c r="E766" s="98">
        <v>23492.554374759799</v>
      </c>
      <c r="F766" s="98">
        <v>25659.513476680098</v>
      </c>
    </row>
    <row r="767" spans="1:6" hidden="1" x14ac:dyDescent="0.2">
      <c r="A767" s="97" t="s">
        <v>165</v>
      </c>
      <c r="B767" s="97" t="s">
        <v>152</v>
      </c>
      <c r="C767" s="97" t="s">
        <v>155</v>
      </c>
      <c r="D767" s="98">
        <v>5137507.8595962096</v>
      </c>
      <c r="E767" s="98">
        <v>2498076.96178916</v>
      </c>
      <c r="F767" s="98">
        <v>2638978.4260217799</v>
      </c>
    </row>
    <row r="768" spans="1:6" hidden="1" x14ac:dyDescent="0.2">
      <c r="A768" s="97" t="s">
        <v>165</v>
      </c>
      <c r="B768" s="97" t="s">
        <v>152</v>
      </c>
      <c r="C768" s="97" t="s">
        <v>156</v>
      </c>
      <c r="D768" s="98">
        <v>5298308.1404037904</v>
      </c>
      <c r="E768" s="98">
        <v>2575365.0382108302</v>
      </c>
      <c r="F768" s="98">
        <v>2723395.5739782099</v>
      </c>
    </row>
    <row r="769" spans="1:6" hidden="1" x14ac:dyDescent="0.2">
      <c r="A769" s="97" t="s">
        <v>165</v>
      </c>
      <c r="B769" s="97" t="s">
        <v>152</v>
      </c>
      <c r="C769" s="97" t="s">
        <v>157</v>
      </c>
      <c r="D769" s="99">
        <v>0.93671640773152998</v>
      </c>
      <c r="E769" s="99">
        <v>0.92609925863978004</v>
      </c>
      <c r="F769" s="99">
        <v>0.95702065826367</v>
      </c>
    </row>
    <row r="770" spans="1:6" hidden="1" x14ac:dyDescent="0.2">
      <c r="A770" s="97" t="s">
        <v>165</v>
      </c>
      <c r="B770" s="97" t="s">
        <v>152</v>
      </c>
      <c r="C770" s="97" t="s">
        <v>158</v>
      </c>
      <c r="D770" s="99">
        <v>1.56512981439342</v>
      </c>
      <c r="E770" s="99">
        <v>1.0009522135209601</v>
      </c>
      <c r="F770" s="99">
        <v>1.0707351441499899</v>
      </c>
    </row>
    <row r="771" spans="1:6" hidden="1" x14ac:dyDescent="0.2">
      <c r="A771" s="100" t="s">
        <v>165</v>
      </c>
      <c r="B771" s="100" t="s">
        <v>4</v>
      </c>
      <c r="C771" s="100" t="s">
        <v>153</v>
      </c>
      <c r="D771" s="101">
        <v>585445</v>
      </c>
      <c r="E771" s="101">
        <v>294903</v>
      </c>
      <c r="F771" s="101">
        <v>290542</v>
      </c>
    </row>
    <row r="772" spans="1:6" hidden="1" x14ac:dyDescent="0.2">
      <c r="A772" s="102" t="s">
        <v>165</v>
      </c>
      <c r="B772" s="102" t="s">
        <v>4</v>
      </c>
      <c r="C772" s="102" t="s">
        <v>154</v>
      </c>
      <c r="D772" s="103">
        <v>5853.0552013160104</v>
      </c>
      <c r="E772" s="103">
        <v>3076.8381002125602</v>
      </c>
      <c r="F772" s="103">
        <v>3084.7766144504599</v>
      </c>
    </row>
    <row r="773" spans="1:6" hidden="1" x14ac:dyDescent="0.2">
      <c r="A773" s="102" t="s">
        <v>165</v>
      </c>
      <c r="B773" s="102" t="s">
        <v>4</v>
      </c>
      <c r="C773" s="102" t="s">
        <v>155</v>
      </c>
      <c r="D773" s="103">
        <v>575817.02659014298</v>
      </c>
      <c r="E773" s="103">
        <v>289841.76028905</v>
      </c>
      <c r="F773" s="103">
        <v>285467.70184326899</v>
      </c>
    </row>
    <row r="774" spans="1:6" hidden="1" x14ac:dyDescent="0.2">
      <c r="A774" s="102" t="s">
        <v>165</v>
      </c>
      <c r="B774" s="102" t="s">
        <v>4</v>
      </c>
      <c r="C774" s="102" t="s">
        <v>156</v>
      </c>
      <c r="D774" s="103">
        <v>595072.97340985702</v>
      </c>
      <c r="E774" s="103">
        <v>299964.23971094901</v>
      </c>
      <c r="F774" s="103">
        <v>295616.29815673002</v>
      </c>
    </row>
    <row r="775" spans="1:6" hidden="1" x14ac:dyDescent="0.2">
      <c r="A775" s="102" t="s">
        <v>165</v>
      </c>
      <c r="B775" s="102" t="s">
        <v>4</v>
      </c>
      <c r="C775" s="102" t="s">
        <v>157</v>
      </c>
      <c r="D775" s="104">
        <v>0.99976175410431001</v>
      </c>
      <c r="E775" s="104">
        <v>1.0433390301938399</v>
      </c>
      <c r="F775" s="104">
        <v>1.0617317339491199</v>
      </c>
    </row>
    <row r="776" spans="1:6" hidden="1" x14ac:dyDescent="0.2">
      <c r="A776" s="102" t="s">
        <v>165</v>
      </c>
      <c r="B776" s="102" t="s">
        <v>4</v>
      </c>
      <c r="C776" s="102" t="s">
        <v>158</v>
      </c>
      <c r="D776" s="104">
        <v>0.67918280333378001</v>
      </c>
      <c r="E776" s="104">
        <v>0.71522588572498003</v>
      </c>
      <c r="F776" s="104">
        <v>0.72509823465810996</v>
      </c>
    </row>
    <row r="777" spans="1:6" hidden="1" x14ac:dyDescent="0.2">
      <c r="A777" s="95" t="s">
        <v>165</v>
      </c>
      <c r="B777" s="95" t="s">
        <v>5</v>
      </c>
      <c r="C777" s="95" t="s">
        <v>153</v>
      </c>
      <c r="D777" s="96">
        <v>587491</v>
      </c>
      <c r="E777" s="96">
        <v>296797</v>
      </c>
      <c r="F777" s="96">
        <v>290694</v>
      </c>
    </row>
    <row r="778" spans="1:6" hidden="1" x14ac:dyDescent="0.2">
      <c r="A778" s="97" t="s">
        <v>165</v>
      </c>
      <c r="B778" s="97" t="s">
        <v>5</v>
      </c>
      <c r="C778" s="97" t="s">
        <v>154</v>
      </c>
      <c r="D778" s="98">
        <v>5581.2642463204802</v>
      </c>
      <c r="E778" s="98">
        <v>2992.3348773856301</v>
      </c>
      <c r="F778" s="98">
        <v>2949.44889835199</v>
      </c>
    </row>
    <row r="779" spans="1:6" hidden="1" x14ac:dyDescent="0.2">
      <c r="A779" s="97" t="s">
        <v>165</v>
      </c>
      <c r="B779" s="97" t="s">
        <v>5</v>
      </c>
      <c r="C779" s="97" t="s">
        <v>155</v>
      </c>
      <c r="D779" s="98">
        <v>578310.10866911395</v>
      </c>
      <c r="E779" s="98">
        <v>291874.76372476702</v>
      </c>
      <c r="F779" s="98">
        <v>285842.30894458602</v>
      </c>
    </row>
    <row r="780" spans="1:6" hidden="1" x14ac:dyDescent="0.2">
      <c r="A780" s="97" t="s">
        <v>165</v>
      </c>
      <c r="B780" s="97" t="s">
        <v>5</v>
      </c>
      <c r="C780" s="97" t="s">
        <v>156</v>
      </c>
      <c r="D780" s="98">
        <v>596671.89133088605</v>
      </c>
      <c r="E780" s="98">
        <v>301719.23627523199</v>
      </c>
      <c r="F780" s="98">
        <v>295545.69105541299</v>
      </c>
    </row>
    <row r="781" spans="1:6" hidden="1" x14ac:dyDescent="0.2">
      <c r="A781" s="97" t="s">
        <v>165</v>
      </c>
      <c r="B781" s="97" t="s">
        <v>5</v>
      </c>
      <c r="C781" s="97" t="s">
        <v>157</v>
      </c>
      <c r="D781" s="99">
        <v>0.95001697835719001</v>
      </c>
      <c r="E781" s="99">
        <v>1.0082092734716399</v>
      </c>
      <c r="F781" s="99">
        <v>1.0146232458709099</v>
      </c>
    </row>
    <row r="782" spans="1:6" hidden="1" x14ac:dyDescent="0.2">
      <c r="A782" s="97" t="s">
        <v>165</v>
      </c>
      <c r="B782" s="97" t="s">
        <v>5</v>
      </c>
      <c r="C782" s="97" t="s">
        <v>158</v>
      </c>
      <c r="D782" s="99">
        <v>0.62439734338276998</v>
      </c>
      <c r="E782" s="99">
        <v>0.67836780863427004</v>
      </c>
      <c r="F782" s="99">
        <v>0.67539026092041998</v>
      </c>
    </row>
    <row r="783" spans="1:6" hidden="1" x14ac:dyDescent="0.2">
      <c r="A783" s="100" t="s">
        <v>165</v>
      </c>
      <c r="B783" s="100" t="s">
        <v>6</v>
      </c>
      <c r="C783" s="100" t="s">
        <v>153</v>
      </c>
      <c r="D783" s="101">
        <v>567499</v>
      </c>
      <c r="E783" s="101">
        <v>286117</v>
      </c>
      <c r="F783" s="101">
        <v>281382</v>
      </c>
    </row>
    <row r="784" spans="1:6" hidden="1" x14ac:dyDescent="0.2">
      <c r="A784" s="102" t="s">
        <v>165</v>
      </c>
      <c r="B784" s="102" t="s">
        <v>6</v>
      </c>
      <c r="C784" s="102" t="s">
        <v>154</v>
      </c>
      <c r="D784" s="103">
        <v>5720.8328570174599</v>
      </c>
      <c r="E784" s="103">
        <v>3025.2316750279701</v>
      </c>
      <c r="F784" s="103">
        <v>3086.8809866003899</v>
      </c>
    </row>
    <row r="785" spans="1:6" hidden="1" x14ac:dyDescent="0.2">
      <c r="A785" s="102" t="s">
        <v>165</v>
      </c>
      <c r="B785" s="102" t="s">
        <v>6</v>
      </c>
      <c r="C785" s="102" t="s">
        <v>155</v>
      </c>
      <c r="D785" s="103">
        <v>558088.52551528695</v>
      </c>
      <c r="E785" s="103">
        <v>281140.65019224799</v>
      </c>
      <c r="F785" s="103">
        <v>276304.24025980401</v>
      </c>
    </row>
    <row r="786" spans="1:6" hidden="1" x14ac:dyDescent="0.2">
      <c r="A786" s="102" t="s">
        <v>165</v>
      </c>
      <c r="B786" s="102" t="s">
        <v>6</v>
      </c>
      <c r="C786" s="102" t="s">
        <v>156</v>
      </c>
      <c r="D786" s="103">
        <v>576909.47448471305</v>
      </c>
      <c r="E786" s="103">
        <v>291093.34980775102</v>
      </c>
      <c r="F786" s="103">
        <v>286459.759740195</v>
      </c>
    </row>
    <row r="787" spans="1:6" hidden="1" x14ac:dyDescent="0.2">
      <c r="A787" s="102" t="s">
        <v>165</v>
      </c>
      <c r="B787" s="102" t="s">
        <v>6</v>
      </c>
      <c r="C787" s="102" t="s">
        <v>157</v>
      </c>
      <c r="D787" s="104">
        <v>1.00807805071329</v>
      </c>
      <c r="E787" s="104">
        <v>1.0573407644522901</v>
      </c>
      <c r="F787" s="104">
        <v>1.09704280536793</v>
      </c>
    </row>
    <row r="788" spans="1:6" hidden="1" x14ac:dyDescent="0.2">
      <c r="A788" s="102" t="s">
        <v>165</v>
      </c>
      <c r="B788" s="102" t="s">
        <v>6</v>
      </c>
      <c r="C788" s="102" t="s">
        <v>158</v>
      </c>
      <c r="D788" s="104">
        <v>0.73628293549893997</v>
      </c>
      <c r="E788" s="104">
        <v>0.77460561526084004</v>
      </c>
      <c r="F788" s="104">
        <v>0.82405481861061003</v>
      </c>
    </row>
    <row r="789" spans="1:6" hidden="1" x14ac:dyDescent="0.2">
      <c r="A789" s="95" t="s">
        <v>165</v>
      </c>
      <c r="B789" s="95" t="s">
        <v>7</v>
      </c>
      <c r="C789" s="95" t="s">
        <v>153</v>
      </c>
      <c r="D789" s="96">
        <v>526322</v>
      </c>
      <c r="E789" s="96">
        <v>261783</v>
      </c>
      <c r="F789" s="96">
        <v>264539</v>
      </c>
    </row>
    <row r="790" spans="1:6" hidden="1" x14ac:dyDescent="0.2">
      <c r="A790" s="97" t="s">
        <v>165</v>
      </c>
      <c r="B790" s="97" t="s">
        <v>7</v>
      </c>
      <c r="C790" s="97" t="s">
        <v>154</v>
      </c>
      <c r="D790" s="98">
        <v>5404.0640899033797</v>
      </c>
      <c r="E790" s="98">
        <v>2813.0128259160902</v>
      </c>
      <c r="F790" s="98">
        <v>2923.3582383019202</v>
      </c>
    </row>
    <row r="791" spans="1:6" hidden="1" x14ac:dyDescent="0.2">
      <c r="A791" s="97" t="s">
        <v>165</v>
      </c>
      <c r="B791" s="97" t="s">
        <v>7</v>
      </c>
      <c r="C791" s="97" t="s">
        <v>155</v>
      </c>
      <c r="D791" s="98">
        <v>517432.59377142799</v>
      </c>
      <c r="E791" s="98">
        <v>257155.739234815</v>
      </c>
      <c r="F791" s="98">
        <v>259730.22673240301</v>
      </c>
    </row>
    <row r="792" spans="1:6" hidden="1" x14ac:dyDescent="0.2">
      <c r="A792" s="97" t="s">
        <v>165</v>
      </c>
      <c r="B792" s="97" t="s">
        <v>7</v>
      </c>
      <c r="C792" s="97" t="s">
        <v>156</v>
      </c>
      <c r="D792" s="98">
        <v>535211.40622857097</v>
      </c>
      <c r="E792" s="98">
        <v>266410.26076518401</v>
      </c>
      <c r="F792" s="98">
        <v>269347.77326759603</v>
      </c>
    </row>
    <row r="793" spans="1:6" hidden="1" x14ac:dyDescent="0.2">
      <c r="A793" s="97" t="s">
        <v>165</v>
      </c>
      <c r="B793" s="97" t="s">
        <v>7</v>
      </c>
      <c r="C793" s="97" t="s">
        <v>157</v>
      </c>
      <c r="D793" s="99">
        <v>1.02676006131291</v>
      </c>
      <c r="E793" s="99">
        <v>1.0745590148772399</v>
      </c>
      <c r="F793" s="99">
        <v>1.1050764682341401</v>
      </c>
    </row>
    <row r="794" spans="1:6" hidden="1" x14ac:dyDescent="0.2">
      <c r="A794" s="97" t="s">
        <v>165</v>
      </c>
      <c r="B794" s="97" t="s">
        <v>7</v>
      </c>
      <c r="C794" s="97" t="s">
        <v>158</v>
      </c>
      <c r="D794" s="99">
        <v>0.83167794571804998</v>
      </c>
      <c r="E794" s="99">
        <v>0.87068205049844005</v>
      </c>
      <c r="F794" s="99">
        <v>0.90018766809214001</v>
      </c>
    </row>
    <row r="795" spans="1:6" hidden="1" x14ac:dyDescent="0.2">
      <c r="A795" s="100" t="s">
        <v>165</v>
      </c>
      <c r="B795" s="100" t="s">
        <v>8</v>
      </c>
      <c r="C795" s="100" t="s">
        <v>153</v>
      </c>
      <c r="D795" s="101">
        <v>476367</v>
      </c>
      <c r="E795" s="101">
        <v>226548</v>
      </c>
      <c r="F795" s="101">
        <v>249819</v>
      </c>
    </row>
    <row r="796" spans="1:6" hidden="1" x14ac:dyDescent="0.2">
      <c r="A796" s="102" t="s">
        <v>165</v>
      </c>
      <c r="B796" s="102" t="s">
        <v>8</v>
      </c>
      <c r="C796" s="102" t="s">
        <v>154</v>
      </c>
      <c r="D796" s="103">
        <v>5186.8367088550804</v>
      </c>
      <c r="E796" s="103">
        <v>2568.5950912992598</v>
      </c>
      <c r="F796" s="103">
        <v>2921.80705805965</v>
      </c>
    </row>
    <row r="797" spans="1:6" hidden="1" x14ac:dyDescent="0.2">
      <c r="A797" s="102" t="s">
        <v>165</v>
      </c>
      <c r="B797" s="102" t="s">
        <v>8</v>
      </c>
      <c r="C797" s="102" t="s">
        <v>155</v>
      </c>
      <c r="D797" s="103">
        <v>467834.92159026599</v>
      </c>
      <c r="E797" s="103">
        <v>222322.79378049201</v>
      </c>
      <c r="F797" s="103">
        <v>245012.77834376</v>
      </c>
    </row>
    <row r="798" spans="1:6" hidden="1" x14ac:dyDescent="0.2">
      <c r="A798" s="102" t="s">
        <v>165</v>
      </c>
      <c r="B798" s="102" t="s">
        <v>8</v>
      </c>
      <c r="C798" s="102" t="s">
        <v>156</v>
      </c>
      <c r="D798" s="103">
        <v>484899.07840973302</v>
      </c>
      <c r="E798" s="103">
        <v>230773.206219507</v>
      </c>
      <c r="F798" s="103">
        <v>254625.22165623901</v>
      </c>
    </row>
    <row r="799" spans="1:6" hidden="1" x14ac:dyDescent="0.2">
      <c r="A799" s="102" t="s">
        <v>165</v>
      </c>
      <c r="B799" s="102" t="s">
        <v>8</v>
      </c>
      <c r="C799" s="102" t="s">
        <v>157</v>
      </c>
      <c r="D799" s="104">
        <v>1.08883207880795</v>
      </c>
      <c r="E799" s="104">
        <v>1.1337972929795299</v>
      </c>
      <c r="F799" s="104">
        <v>1.1695695916081801</v>
      </c>
    </row>
    <row r="800" spans="1:6" hidden="1" x14ac:dyDescent="0.2">
      <c r="A800" s="102" t="s">
        <v>165</v>
      </c>
      <c r="B800" s="102" t="s">
        <v>8</v>
      </c>
      <c r="C800" s="102" t="s">
        <v>158</v>
      </c>
      <c r="D800" s="104">
        <v>1.00791525157123</v>
      </c>
      <c r="E800" s="104">
        <v>1.03605774685288</v>
      </c>
      <c r="F800" s="104">
        <v>1.09092021194519</v>
      </c>
    </row>
    <row r="801" spans="1:6" hidden="1" x14ac:dyDescent="0.2">
      <c r="A801" s="95" t="s">
        <v>165</v>
      </c>
      <c r="B801" s="95" t="s">
        <v>9</v>
      </c>
      <c r="C801" s="95" t="s">
        <v>153</v>
      </c>
      <c r="D801" s="96">
        <v>400637</v>
      </c>
      <c r="E801" s="96">
        <v>184407</v>
      </c>
      <c r="F801" s="96">
        <v>216230</v>
      </c>
    </row>
    <row r="802" spans="1:6" hidden="1" x14ac:dyDescent="0.2">
      <c r="A802" s="97" t="s">
        <v>165</v>
      </c>
      <c r="B802" s="97" t="s">
        <v>9</v>
      </c>
      <c r="C802" s="97" t="s">
        <v>154</v>
      </c>
      <c r="D802" s="98">
        <v>4364.5097817832902</v>
      </c>
      <c r="E802" s="98">
        <v>2174.5210507525699</v>
      </c>
      <c r="F802" s="98">
        <v>2461.0797262235201</v>
      </c>
    </row>
    <row r="803" spans="1:6" hidden="1" x14ac:dyDescent="0.2">
      <c r="A803" s="97" t="s">
        <v>165</v>
      </c>
      <c r="B803" s="97" t="s">
        <v>9</v>
      </c>
      <c r="C803" s="97" t="s">
        <v>155</v>
      </c>
      <c r="D803" s="98">
        <v>393457.60690002999</v>
      </c>
      <c r="E803" s="98">
        <v>180830.025217477</v>
      </c>
      <c r="F803" s="98">
        <v>212181.651001294</v>
      </c>
    </row>
    <row r="804" spans="1:6" hidden="1" x14ac:dyDescent="0.2">
      <c r="A804" s="97" t="s">
        <v>165</v>
      </c>
      <c r="B804" s="97" t="s">
        <v>9</v>
      </c>
      <c r="C804" s="97" t="s">
        <v>156</v>
      </c>
      <c r="D804" s="98">
        <v>407816.39309996902</v>
      </c>
      <c r="E804" s="98">
        <v>187983.97478252201</v>
      </c>
      <c r="F804" s="98">
        <v>220278.348998706</v>
      </c>
    </row>
    <row r="805" spans="1:6" hidden="1" x14ac:dyDescent="0.2">
      <c r="A805" s="97" t="s">
        <v>165</v>
      </c>
      <c r="B805" s="97" t="s">
        <v>9</v>
      </c>
      <c r="C805" s="97" t="s">
        <v>157</v>
      </c>
      <c r="D805" s="99">
        <v>1.0893925877498301</v>
      </c>
      <c r="E805" s="99">
        <v>1.1791965873055601</v>
      </c>
      <c r="F805" s="99">
        <v>1.1381768146064399</v>
      </c>
    </row>
    <row r="806" spans="1:6" hidden="1" x14ac:dyDescent="0.2">
      <c r="A806" s="97" t="s">
        <v>165</v>
      </c>
      <c r="B806" s="97" t="s">
        <v>9</v>
      </c>
      <c r="C806" s="97" t="s">
        <v>158</v>
      </c>
      <c r="D806" s="99">
        <v>1.02453541876803</v>
      </c>
      <c r="E806" s="99">
        <v>1.0985404885340599</v>
      </c>
      <c r="F806" s="99">
        <v>1.0737305454338599</v>
      </c>
    </row>
    <row r="807" spans="1:6" hidden="1" x14ac:dyDescent="0.2">
      <c r="A807" s="100" t="s">
        <v>165</v>
      </c>
      <c r="B807" s="100" t="s">
        <v>10</v>
      </c>
      <c r="C807" s="100" t="s">
        <v>153</v>
      </c>
      <c r="D807" s="101">
        <v>375232</v>
      </c>
      <c r="E807" s="101">
        <v>175009</v>
      </c>
      <c r="F807" s="101">
        <v>200223</v>
      </c>
    </row>
    <row r="808" spans="1:6" hidden="1" x14ac:dyDescent="0.2">
      <c r="A808" s="102" t="s">
        <v>165</v>
      </c>
      <c r="B808" s="102" t="s">
        <v>10</v>
      </c>
      <c r="C808" s="102" t="s">
        <v>154</v>
      </c>
      <c r="D808" s="103">
        <v>4327.3812825966197</v>
      </c>
      <c r="E808" s="103">
        <v>2238.60943265275</v>
      </c>
      <c r="F808" s="103">
        <v>2364.6174999227601</v>
      </c>
    </row>
    <row r="809" spans="1:6" hidden="1" x14ac:dyDescent="0.2">
      <c r="A809" s="102" t="s">
        <v>165</v>
      </c>
      <c r="B809" s="102" t="s">
        <v>10</v>
      </c>
      <c r="C809" s="102" t="s">
        <v>155</v>
      </c>
      <c r="D809" s="103">
        <v>368113.68136295897</v>
      </c>
      <c r="E809" s="103">
        <v>171326.603140358</v>
      </c>
      <c r="F809" s="103">
        <v>196333.32637986701</v>
      </c>
    </row>
    <row r="810" spans="1:6" hidden="1" x14ac:dyDescent="0.2">
      <c r="A810" s="102" t="s">
        <v>165</v>
      </c>
      <c r="B810" s="102" t="s">
        <v>10</v>
      </c>
      <c r="C810" s="102" t="s">
        <v>156</v>
      </c>
      <c r="D810" s="103">
        <v>382350.31863703998</v>
      </c>
      <c r="E810" s="103">
        <v>178691.39685964101</v>
      </c>
      <c r="F810" s="103">
        <v>204112.673620132</v>
      </c>
    </row>
    <row r="811" spans="1:6" hidden="1" x14ac:dyDescent="0.2">
      <c r="A811" s="102" t="s">
        <v>165</v>
      </c>
      <c r="B811" s="102" t="s">
        <v>10</v>
      </c>
      <c r="C811" s="102" t="s">
        <v>157</v>
      </c>
      <c r="D811" s="104">
        <v>1.1532548616846701</v>
      </c>
      <c r="E811" s="104">
        <v>1.2791396057647</v>
      </c>
      <c r="F811" s="104">
        <v>1.1809919439438801</v>
      </c>
    </row>
    <row r="812" spans="1:6" hidden="1" x14ac:dyDescent="0.2">
      <c r="A812" s="102" t="s">
        <v>165</v>
      </c>
      <c r="B812" s="102" t="s">
        <v>10</v>
      </c>
      <c r="C812" s="102" t="s">
        <v>158</v>
      </c>
      <c r="D812" s="104">
        <v>1.1707308303641999</v>
      </c>
      <c r="E812" s="104">
        <v>1.3222090985635799</v>
      </c>
      <c r="F812" s="104">
        <v>1.1676395924632501</v>
      </c>
    </row>
    <row r="813" spans="1:6" hidden="1" x14ac:dyDescent="0.2">
      <c r="A813" s="95" t="s">
        <v>165</v>
      </c>
      <c r="B813" s="95" t="s">
        <v>11</v>
      </c>
      <c r="C813" s="95" t="s">
        <v>153</v>
      </c>
      <c r="D813" s="96">
        <v>343684</v>
      </c>
      <c r="E813" s="96">
        <v>158614</v>
      </c>
      <c r="F813" s="96">
        <v>185070</v>
      </c>
    </row>
    <row r="814" spans="1:6" hidden="1" x14ac:dyDescent="0.2">
      <c r="A814" s="97" t="s">
        <v>165</v>
      </c>
      <c r="B814" s="97" t="s">
        <v>11</v>
      </c>
      <c r="C814" s="97" t="s">
        <v>154</v>
      </c>
      <c r="D814" s="98">
        <v>3853.0990111862998</v>
      </c>
      <c r="E814" s="98">
        <v>1815.0683302233199</v>
      </c>
      <c r="F814" s="98">
        <v>2300.3377531614001</v>
      </c>
    </row>
    <row r="815" spans="1:6" hidden="1" x14ac:dyDescent="0.2">
      <c r="A815" s="97" t="s">
        <v>165</v>
      </c>
      <c r="B815" s="97" t="s">
        <v>11</v>
      </c>
      <c r="C815" s="97" t="s">
        <v>155</v>
      </c>
      <c r="D815" s="98">
        <v>337345.85119578103</v>
      </c>
      <c r="E815" s="98">
        <v>155628.30637173299</v>
      </c>
      <c r="F815" s="98">
        <v>181286.06324229599</v>
      </c>
    </row>
    <row r="816" spans="1:6" hidden="1" x14ac:dyDescent="0.2">
      <c r="A816" s="97" t="s">
        <v>165</v>
      </c>
      <c r="B816" s="97" t="s">
        <v>11</v>
      </c>
      <c r="C816" s="97" t="s">
        <v>156</v>
      </c>
      <c r="D816" s="98">
        <v>350022.14880421798</v>
      </c>
      <c r="E816" s="98">
        <v>161599.69362826599</v>
      </c>
      <c r="F816" s="98">
        <v>188853.93675770299</v>
      </c>
    </row>
    <row r="817" spans="1:6" hidden="1" x14ac:dyDescent="0.2">
      <c r="A817" s="97" t="s">
        <v>165</v>
      </c>
      <c r="B817" s="97" t="s">
        <v>11</v>
      </c>
      <c r="C817" s="97" t="s">
        <v>157</v>
      </c>
      <c r="D817" s="99">
        <v>1.12111678494963</v>
      </c>
      <c r="E817" s="99">
        <v>1.1443304690779601</v>
      </c>
      <c r="F817" s="99">
        <v>1.2429555050312799</v>
      </c>
    </row>
    <row r="818" spans="1:6" hidden="1" x14ac:dyDescent="0.2">
      <c r="A818" s="97" t="s">
        <v>165</v>
      </c>
      <c r="B818" s="97" t="s">
        <v>11</v>
      </c>
      <c r="C818" s="97" t="s">
        <v>158</v>
      </c>
      <c r="D818" s="99">
        <v>1.14704019492472</v>
      </c>
      <c r="E818" s="99">
        <v>1.0943713749453701</v>
      </c>
      <c r="F818" s="99">
        <v>1.3273684647275601</v>
      </c>
    </row>
    <row r="819" spans="1:6" hidden="1" x14ac:dyDescent="0.2">
      <c r="A819" s="100" t="s">
        <v>165</v>
      </c>
      <c r="B819" s="100" t="s">
        <v>12</v>
      </c>
      <c r="C819" s="100" t="s">
        <v>153</v>
      </c>
      <c r="D819" s="101">
        <v>298276</v>
      </c>
      <c r="E819" s="101">
        <v>141844</v>
      </c>
      <c r="F819" s="101">
        <v>156432</v>
      </c>
    </row>
    <row r="820" spans="1:6" hidden="1" x14ac:dyDescent="0.2">
      <c r="A820" s="102" t="s">
        <v>165</v>
      </c>
      <c r="B820" s="102" t="s">
        <v>12</v>
      </c>
      <c r="C820" s="102" t="s">
        <v>154</v>
      </c>
      <c r="D820" s="103">
        <v>3461.0634683737098</v>
      </c>
      <c r="E820" s="103">
        <v>1798.4725488628501</v>
      </c>
      <c r="F820" s="103">
        <v>1901.01127780089</v>
      </c>
    </row>
    <row r="821" spans="1:6" hidden="1" x14ac:dyDescent="0.2">
      <c r="A821" s="102" t="s">
        <v>165</v>
      </c>
      <c r="B821" s="102" t="s">
        <v>12</v>
      </c>
      <c r="C821" s="102" t="s">
        <v>155</v>
      </c>
      <c r="D821" s="103">
        <v>292582.72940931102</v>
      </c>
      <c r="E821" s="103">
        <v>138885.605574655</v>
      </c>
      <c r="F821" s="103">
        <v>153304.93466318399</v>
      </c>
    </row>
    <row r="822" spans="1:6" hidden="1" x14ac:dyDescent="0.2">
      <c r="A822" s="102" t="s">
        <v>165</v>
      </c>
      <c r="B822" s="102" t="s">
        <v>12</v>
      </c>
      <c r="C822" s="102" t="s">
        <v>156</v>
      </c>
      <c r="D822" s="103">
        <v>303969.27059068799</v>
      </c>
      <c r="E822" s="103">
        <v>144802.39442534401</v>
      </c>
      <c r="F822" s="103">
        <v>159559.06533681499</v>
      </c>
    </row>
    <row r="823" spans="1:6" hidden="1" x14ac:dyDescent="0.2">
      <c r="A823" s="102" t="s">
        <v>165</v>
      </c>
      <c r="B823" s="102" t="s">
        <v>12</v>
      </c>
      <c r="C823" s="102" t="s">
        <v>157</v>
      </c>
      <c r="D823" s="104">
        <v>1.1603560019490999</v>
      </c>
      <c r="E823" s="104">
        <v>1.2679228933637301</v>
      </c>
      <c r="F823" s="104">
        <v>1.2152317158899</v>
      </c>
    </row>
    <row r="824" spans="1:6" hidden="1" x14ac:dyDescent="0.2">
      <c r="A824" s="102" t="s">
        <v>165</v>
      </c>
      <c r="B824" s="102" t="s">
        <v>12</v>
      </c>
      <c r="C824" s="102" t="s">
        <v>158</v>
      </c>
      <c r="D824" s="104">
        <v>1.25107835998434</v>
      </c>
      <c r="E824" s="104">
        <v>1.35550359692829</v>
      </c>
      <c r="F824" s="104">
        <v>1.2765349469951</v>
      </c>
    </row>
    <row r="825" spans="1:6" hidden="1" x14ac:dyDescent="0.2">
      <c r="A825" s="95" t="s">
        <v>165</v>
      </c>
      <c r="B825" s="95" t="s">
        <v>13</v>
      </c>
      <c r="C825" s="95" t="s">
        <v>153</v>
      </c>
      <c r="D825" s="96">
        <v>248859</v>
      </c>
      <c r="E825" s="96">
        <v>116811</v>
      </c>
      <c r="F825" s="96">
        <v>132048</v>
      </c>
    </row>
    <row r="826" spans="1:6" hidden="1" x14ac:dyDescent="0.2">
      <c r="A826" s="97" t="s">
        <v>165</v>
      </c>
      <c r="B826" s="97" t="s">
        <v>13</v>
      </c>
      <c r="C826" s="97" t="s">
        <v>154</v>
      </c>
      <c r="D826" s="98">
        <v>3020.2698660780902</v>
      </c>
      <c r="E826" s="98">
        <v>1487.4015856431099</v>
      </c>
      <c r="F826" s="98">
        <v>1771.4280372391099</v>
      </c>
    </row>
    <row r="827" spans="1:6" hidden="1" x14ac:dyDescent="0.2">
      <c r="A827" s="97" t="s">
        <v>165</v>
      </c>
      <c r="B827" s="97" t="s">
        <v>13</v>
      </c>
      <c r="C827" s="97" t="s">
        <v>155</v>
      </c>
      <c r="D827" s="98">
        <v>243890.81211162001</v>
      </c>
      <c r="E827" s="98">
        <v>114364.301237765</v>
      </c>
      <c r="F827" s="98">
        <v>129134.092399029</v>
      </c>
    </row>
    <row r="828" spans="1:6" hidden="1" x14ac:dyDescent="0.2">
      <c r="A828" s="97" t="s">
        <v>165</v>
      </c>
      <c r="B828" s="97" t="s">
        <v>13</v>
      </c>
      <c r="C828" s="97" t="s">
        <v>156</v>
      </c>
      <c r="D828" s="98">
        <v>253827.18788837901</v>
      </c>
      <c r="E828" s="98">
        <v>119257.69876223399</v>
      </c>
      <c r="F828" s="98">
        <v>134961.90760097001</v>
      </c>
    </row>
    <row r="829" spans="1:6" hidden="1" x14ac:dyDescent="0.2">
      <c r="A829" s="97" t="s">
        <v>165</v>
      </c>
      <c r="B829" s="97" t="s">
        <v>13</v>
      </c>
      <c r="C829" s="97" t="s">
        <v>157</v>
      </c>
      <c r="D829" s="99">
        <v>1.21364703148292</v>
      </c>
      <c r="E829" s="99">
        <v>1.2733403409294499</v>
      </c>
      <c r="F829" s="99">
        <v>1.3415031179867201</v>
      </c>
    </row>
    <row r="830" spans="1:6" hidden="1" x14ac:dyDescent="0.2">
      <c r="A830" s="97" t="s">
        <v>165</v>
      </c>
      <c r="B830" s="97" t="s">
        <v>13</v>
      </c>
      <c r="C830" s="97" t="s">
        <v>158</v>
      </c>
      <c r="D830" s="99">
        <v>1.3411316152282799</v>
      </c>
      <c r="E830" s="99">
        <v>1.3249377452906901</v>
      </c>
      <c r="F830" s="99">
        <v>1.501501241423</v>
      </c>
    </row>
    <row r="831" spans="1:6" hidden="1" x14ac:dyDescent="0.2">
      <c r="A831" s="100" t="s">
        <v>165</v>
      </c>
      <c r="B831" s="100" t="s">
        <v>14</v>
      </c>
      <c r="C831" s="100" t="s">
        <v>153</v>
      </c>
      <c r="D831" s="101">
        <v>214134</v>
      </c>
      <c r="E831" s="101">
        <v>102774</v>
      </c>
      <c r="F831" s="101">
        <v>111360</v>
      </c>
    </row>
    <row r="832" spans="1:6" hidden="1" x14ac:dyDescent="0.2">
      <c r="A832" s="102" t="s">
        <v>165</v>
      </c>
      <c r="B832" s="102" t="s">
        <v>14</v>
      </c>
      <c r="C832" s="102" t="s">
        <v>154</v>
      </c>
      <c r="D832" s="103">
        <v>2584.5033493803599</v>
      </c>
      <c r="E832" s="103">
        <v>1321.0801833139999</v>
      </c>
      <c r="F832" s="103">
        <v>1492.1946646249601</v>
      </c>
    </row>
    <row r="833" spans="1:6" hidden="1" x14ac:dyDescent="0.2">
      <c r="A833" s="102" t="s">
        <v>165</v>
      </c>
      <c r="B833" s="102" t="s">
        <v>14</v>
      </c>
      <c r="C833" s="102" t="s">
        <v>155</v>
      </c>
      <c r="D833" s="103">
        <v>209882.62551784399</v>
      </c>
      <c r="E833" s="103">
        <v>100600.891351652</v>
      </c>
      <c r="F833" s="103">
        <v>108905.416870473</v>
      </c>
    </row>
    <row r="834" spans="1:6" hidden="1" x14ac:dyDescent="0.2">
      <c r="A834" s="102" t="s">
        <v>165</v>
      </c>
      <c r="B834" s="102" t="s">
        <v>14</v>
      </c>
      <c r="C834" s="102" t="s">
        <v>156</v>
      </c>
      <c r="D834" s="103">
        <v>218385.37448215499</v>
      </c>
      <c r="E834" s="103">
        <v>104947.108648347</v>
      </c>
      <c r="F834" s="103">
        <v>113814.583129526</v>
      </c>
    </row>
    <row r="835" spans="1:6" hidden="1" x14ac:dyDescent="0.2">
      <c r="A835" s="102" t="s">
        <v>165</v>
      </c>
      <c r="B835" s="102" t="s">
        <v>14</v>
      </c>
      <c r="C835" s="102" t="s">
        <v>157</v>
      </c>
      <c r="D835" s="104">
        <v>1.2069560879544401</v>
      </c>
      <c r="E835" s="104">
        <v>1.2854225614591299</v>
      </c>
      <c r="F835" s="104">
        <v>1.3399736571704</v>
      </c>
    </row>
    <row r="836" spans="1:6" hidden="1" x14ac:dyDescent="0.2">
      <c r="A836" s="102" t="s">
        <v>165</v>
      </c>
      <c r="B836" s="102" t="s">
        <v>14</v>
      </c>
      <c r="C836" s="102" t="s">
        <v>158</v>
      </c>
      <c r="D836" s="104">
        <v>1.2966069133512499</v>
      </c>
      <c r="E836" s="104">
        <v>1.33072817012472</v>
      </c>
      <c r="F836" s="104">
        <v>1.4204802971199499</v>
      </c>
    </row>
    <row r="837" spans="1:6" hidden="1" x14ac:dyDescent="0.2">
      <c r="A837" s="95" t="s">
        <v>165</v>
      </c>
      <c r="B837" s="95" t="s">
        <v>15</v>
      </c>
      <c r="C837" s="95" t="s">
        <v>153</v>
      </c>
      <c r="D837" s="96">
        <v>166524</v>
      </c>
      <c r="E837" s="96">
        <v>80456</v>
      </c>
      <c r="F837" s="96">
        <v>86068</v>
      </c>
    </row>
    <row r="838" spans="1:6" hidden="1" x14ac:dyDescent="0.2">
      <c r="A838" s="97" t="s">
        <v>165</v>
      </c>
      <c r="B838" s="97" t="s">
        <v>15</v>
      </c>
      <c r="C838" s="97" t="s">
        <v>154</v>
      </c>
      <c r="D838" s="98">
        <v>1999.7804554148199</v>
      </c>
      <c r="E838" s="98">
        <v>1070.6960875657101</v>
      </c>
      <c r="F838" s="98">
        <v>1186.7130202516601</v>
      </c>
    </row>
    <row r="839" spans="1:6" hidden="1" x14ac:dyDescent="0.2">
      <c r="A839" s="97" t="s">
        <v>165</v>
      </c>
      <c r="B839" s="97" t="s">
        <v>15</v>
      </c>
      <c r="C839" s="97" t="s">
        <v>155</v>
      </c>
      <c r="D839" s="98">
        <v>163234.46446888801</v>
      </c>
      <c r="E839" s="98">
        <v>78694.760253140397</v>
      </c>
      <c r="F839" s="98">
        <v>84115.918392851396</v>
      </c>
    </row>
    <row r="840" spans="1:6" hidden="1" x14ac:dyDescent="0.2">
      <c r="A840" s="97" t="s">
        <v>165</v>
      </c>
      <c r="B840" s="97" t="s">
        <v>15</v>
      </c>
      <c r="C840" s="97" t="s">
        <v>156</v>
      </c>
      <c r="D840" s="98">
        <v>169813.535531111</v>
      </c>
      <c r="E840" s="98">
        <v>82217.239746859501</v>
      </c>
      <c r="F840" s="98">
        <v>88020.081607148502</v>
      </c>
    </row>
    <row r="841" spans="1:6" hidden="1" x14ac:dyDescent="0.2">
      <c r="A841" s="97" t="s">
        <v>165</v>
      </c>
      <c r="B841" s="97" t="s">
        <v>15</v>
      </c>
      <c r="C841" s="97" t="s">
        <v>157</v>
      </c>
      <c r="D841" s="99">
        <v>1.2008962404307</v>
      </c>
      <c r="E841" s="99">
        <v>1.3307846370260901</v>
      </c>
      <c r="F841" s="99">
        <v>1.37880863997265</v>
      </c>
    </row>
    <row r="842" spans="1:6" hidden="1" x14ac:dyDescent="0.2">
      <c r="A842" s="97" t="s">
        <v>165</v>
      </c>
      <c r="B842" s="97" t="s">
        <v>15</v>
      </c>
      <c r="C842" s="97" t="s">
        <v>158</v>
      </c>
      <c r="D842" s="99">
        <v>1.2409110166857</v>
      </c>
      <c r="E842" s="99">
        <v>1.32988478948704</v>
      </c>
      <c r="F842" s="99">
        <v>1.42555128991887</v>
      </c>
    </row>
    <row r="843" spans="1:6" hidden="1" x14ac:dyDescent="0.2">
      <c r="A843" s="100" t="s">
        <v>165</v>
      </c>
      <c r="B843" s="100" t="s">
        <v>16</v>
      </c>
      <c r="C843" s="100" t="s">
        <v>153</v>
      </c>
      <c r="D843" s="101">
        <v>133446</v>
      </c>
      <c r="E843" s="101">
        <v>65700</v>
      </c>
      <c r="F843" s="101">
        <v>67746</v>
      </c>
    </row>
    <row r="844" spans="1:6" hidden="1" x14ac:dyDescent="0.2">
      <c r="A844" s="102" t="s">
        <v>165</v>
      </c>
      <c r="B844" s="102" t="s">
        <v>16</v>
      </c>
      <c r="C844" s="102" t="s">
        <v>154</v>
      </c>
      <c r="D844" s="103">
        <v>1737.3939318580201</v>
      </c>
      <c r="E844" s="103">
        <v>993.08281331847502</v>
      </c>
      <c r="F844" s="103">
        <v>984.883069043604</v>
      </c>
    </row>
    <row r="845" spans="1:6" hidden="1" x14ac:dyDescent="0.2">
      <c r="A845" s="102" t="s">
        <v>165</v>
      </c>
      <c r="B845" s="102" t="s">
        <v>16</v>
      </c>
      <c r="C845" s="102" t="s">
        <v>155</v>
      </c>
      <c r="D845" s="103">
        <v>130588.076744019</v>
      </c>
      <c r="E845" s="103">
        <v>64066.430079411097</v>
      </c>
      <c r="F845" s="103">
        <v>66125.918235106001</v>
      </c>
    </row>
    <row r="846" spans="1:6" hidden="1" x14ac:dyDescent="0.2">
      <c r="A846" s="102" t="s">
        <v>165</v>
      </c>
      <c r="B846" s="102" t="s">
        <v>16</v>
      </c>
      <c r="C846" s="102" t="s">
        <v>156</v>
      </c>
      <c r="D846" s="103">
        <v>136303.92325597999</v>
      </c>
      <c r="E846" s="103">
        <v>67333.569920588896</v>
      </c>
      <c r="F846" s="103">
        <v>69366.081764893999</v>
      </c>
    </row>
    <row r="847" spans="1:6" hidden="1" x14ac:dyDescent="0.2">
      <c r="A847" s="102" t="s">
        <v>165</v>
      </c>
      <c r="B847" s="102" t="s">
        <v>16</v>
      </c>
      <c r="C847" s="102" t="s">
        <v>157</v>
      </c>
      <c r="D847" s="104">
        <v>1.3019453051106999</v>
      </c>
      <c r="E847" s="104">
        <v>1.5115415727830599</v>
      </c>
      <c r="F847" s="104">
        <v>1.4537877794166501</v>
      </c>
    </row>
    <row r="848" spans="1:6" hidden="1" x14ac:dyDescent="0.2">
      <c r="A848" s="102" t="s">
        <v>165</v>
      </c>
      <c r="B848" s="102" t="s">
        <v>16</v>
      </c>
      <c r="C848" s="102" t="s">
        <v>158</v>
      </c>
      <c r="D848" s="104">
        <v>1.3560401647673599</v>
      </c>
      <c r="E848" s="104">
        <v>1.5718194714342599</v>
      </c>
      <c r="F848" s="104">
        <v>1.42732418903012</v>
      </c>
    </row>
    <row r="849" spans="1:6" hidden="1" x14ac:dyDescent="0.2">
      <c r="A849" s="95" t="s">
        <v>165</v>
      </c>
      <c r="B849" s="95" t="s">
        <v>17</v>
      </c>
      <c r="C849" s="95" t="s">
        <v>153</v>
      </c>
      <c r="D849" s="96">
        <v>98989</v>
      </c>
      <c r="E849" s="96">
        <v>48464</v>
      </c>
      <c r="F849" s="96">
        <v>50525</v>
      </c>
    </row>
    <row r="850" spans="1:6" hidden="1" x14ac:dyDescent="0.2">
      <c r="A850" s="97" t="s">
        <v>165</v>
      </c>
      <c r="B850" s="97" t="s">
        <v>17</v>
      </c>
      <c r="C850" s="97" t="s">
        <v>154</v>
      </c>
      <c r="D850" s="98">
        <v>1277.2137410600601</v>
      </c>
      <c r="E850" s="98">
        <v>698.84047445044598</v>
      </c>
      <c r="F850" s="98">
        <v>808.95389935760898</v>
      </c>
    </row>
    <row r="851" spans="1:6" hidden="1" x14ac:dyDescent="0.2">
      <c r="A851" s="97" t="s">
        <v>165</v>
      </c>
      <c r="B851" s="97" t="s">
        <v>17</v>
      </c>
      <c r="C851" s="97" t="s">
        <v>155</v>
      </c>
      <c r="D851" s="98">
        <v>96888.049382813697</v>
      </c>
      <c r="E851" s="98">
        <v>47314.4435249085</v>
      </c>
      <c r="F851" s="98">
        <v>49194.312629912602</v>
      </c>
    </row>
    <row r="852" spans="1:6" hidden="1" x14ac:dyDescent="0.2">
      <c r="A852" s="97" t="s">
        <v>165</v>
      </c>
      <c r="B852" s="97" t="s">
        <v>17</v>
      </c>
      <c r="C852" s="97" t="s">
        <v>156</v>
      </c>
      <c r="D852" s="98">
        <v>101089.950617186</v>
      </c>
      <c r="E852" s="98">
        <v>49613.5564750915</v>
      </c>
      <c r="F852" s="98">
        <v>51855.687370087297</v>
      </c>
    </row>
    <row r="853" spans="1:6" hidden="1" x14ac:dyDescent="0.2">
      <c r="A853" s="97" t="s">
        <v>165</v>
      </c>
      <c r="B853" s="97" t="s">
        <v>17</v>
      </c>
      <c r="C853" s="97" t="s">
        <v>157</v>
      </c>
      <c r="D853" s="99">
        <v>1.29025825198765</v>
      </c>
      <c r="E853" s="99">
        <v>1.44197852932165</v>
      </c>
      <c r="F853" s="99">
        <v>1.6010962876944199</v>
      </c>
    </row>
    <row r="854" spans="1:6" hidden="1" x14ac:dyDescent="0.2">
      <c r="A854" s="97" t="s">
        <v>165</v>
      </c>
      <c r="B854" s="97" t="s">
        <v>17</v>
      </c>
      <c r="C854" s="97" t="s">
        <v>158</v>
      </c>
      <c r="D854" s="99">
        <v>1.2697948621603901</v>
      </c>
      <c r="E854" s="99">
        <v>1.30884366717347</v>
      </c>
      <c r="F854" s="99">
        <v>1.5981483031502299</v>
      </c>
    </row>
    <row r="855" spans="1:6" hidden="1" x14ac:dyDescent="0.2">
      <c r="A855" s="100" t="s">
        <v>165</v>
      </c>
      <c r="B855" s="100" t="s">
        <v>18</v>
      </c>
      <c r="C855" s="100" t="s">
        <v>153</v>
      </c>
      <c r="D855" s="101">
        <v>78997</v>
      </c>
      <c r="E855" s="101">
        <v>38447</v>
      </c>
      <c r="F855" s="101">
        <v>40550</v>
      </c>
    </row>
    <row r="856" spans="1:6" hidden="1" x14ac:dyDescent="0.2">
      <c r="A856" s="102" t="s">
        <v>165</v>
      </c>
      <c r="B856" s="102" t="s">
        <v>18</v>
      </c>
      <c r="C856" s="102" t="s">
        <v>154</v>
      </c>
      <c r="D856" s="103">
        <v>1033.72258521495</v>
      </c>
      <c r="E856" s="103">
        <v>578.10174707485896</v>
      </c>
      <c r="F856" s="103">
        <v>660.30059603669804</v>
      </c>
    </row>
    <row r="857" spans="1:6" hidden="1" x14ac:dyDescent="0.2">
      <c r="A857" s="102" t="s">
        <v>165</v>
      </c>
      <c r="B857" s="102" t="s">
        <v>18</v>
      </c>
      <c r="C857" s="102" t="s">
        <v>155</v>
      </c>
      <c r="D857" s="103">
        <v>77296.579754282793</v>
      </c>
      <c r="E857" s="103">
        <v>37496.052493511903</v>
      </c>
      <c r="F857" s="103">
        <v>39463.839633748001</v>
      </c>
    </row>
    <row r="858" spans="1:6" hidden="1" x14ac:dyDescent="0.2">
      <c r="A858" s="102" t="s">
        <v>165</v>
      </c>
      <c r="B858" s="102" t="s">
        <v>18</v>
      </c>
      <c r="C858" s="102" t="s">
        <v>156</v>
      </c>
      <c r="D858" s="103">
        <v>80697.420245717207</v>
      </c>
      <c r="E858" s="103">
        <v>39397.947506488003</v>
      </c>
      <c r="F858" s="103">
        <v>41636.160366251897</v>
      </c>
    </row>
    <row r="859" spans="1:6" hidden="1" x14ac:dyDescent="0.2">
      <c r="A859" s="102" t="s">
        <v>165</v>
      </c>
      <c r="B859" s="102" t="s">
        <v>18</v>
      </c>
      <c r="C859" s="102" t="s">
        <v>157</v>
      </c>
      <c r="D859" s="104">
        <v>1.30855929366298</v>
      </c>
      <c r="E859" s="104">
        <v>1.5036329156367401</v>
      </c>
      <c r="F859" s="104">
        <v>1.6283615192026999</v>
      </c>
    </row>
    <row r="860" spans="1:6" hidden="1" x14ac:dyDescent="0.2">
      <c r="A860" s="102" t="s">
        <v>165</v>
      </c>
      <c r="B860" s="102" t="s">
        <v>18</v>
      </c>
      <c r="C860" s="102" t="s">
        <v>158</v>
      </c>
      <c r="D860" s="104">
        <v>1.1819024344842</v>
      </c>
      <c r="E860" s="104">
        <v>1.2622783950765999</v>
      </c>
      <c r="F860" s="104">
        <v>1.4716206094578801</v>
      </c>
    </row>
    <row r="861" spans="1:6" hidden="1" x14ac:dyDescent="0.2">
      <c r="A861" s="95" t="s">
        <v>165</v>
      </c>
      <c r="B861" s="95" t="s">
        <v>19</v>
      </c>
      <c r="C861" s="95" t="s">
        <v>153</v>
      </c>
      <c r="D861" s="96">
        <v>113494</v>
      </c>
      <c r="E861" s="96">
        <v>56858</v>
      </c>
      <c r="F861" s="96">
        <v>56636</v>
      </c>
    </row>
    <row r="862" spans="1:6" hidden="1" x14ac:dyDescent="0.2">
      <c r="A862" s="97" t="s">
        <v>165</v>
      </c>
      <c r="B862" s="97" t="s">
        <v>19</v>
      </c>
      <c r="C862" s="97" t="s">
        <v>154</v>
      </c>
      <c r="D862" s="98">
        <v>1436.2510511253899</v>
      </c>
      <c r="E862" s="98">
        <v>757.64129195168505</v>
      </c>
      <c r="F862" s="98">
        <v>902.46447538848099</v>
      </c>
    </row>
    <row r="863" spans="1:6" hidden="1" x14ac:dyDescent="0.2">
      <c r="A863" s="97" t="s">
        <v>165</v>
      </c>
      <c r="B863" s="97" t="s">
        <v>19</v>
      </c>
      <c r="C863" s="97" t="s">
        <v>155</v>
      </c>
      <c r="D863" s="98">
        <v>111131.44122437001</v>
      </c>
      <c r="E863" s="98">
        <v>55611.719218045197</v>
      </c>
      <c r="F863" s="98">
        <v>55151.492563537198</v>
      </c>
    </row>
    <row r="864" spans="1:6" hidden="1" x14ac:dyDescent="0.2">
      <c r="A864" s="97" t="s">
        <v>165</v>
      </c>
      <c r="B864" s="97" t="s">
        <v>19</v>
      </c>
      <c r="C864" s="97" t="s">
        <v>156</v>
      </c>
      <c r="D864" s="98">
        <v>115856.558775629</v>
      </c>
      <c r="E864" s="98">
        <v>58104.280781954702</v>
      </c>
      <c r="F864" s="98">
        <v>58120.507436462802</v>
      </c>
    </row>
    <row r="865" spans="1:6" hidden="1" x14ac:dyDescent="0.2">
      <c r="A865" s="97" t="s">
        <v>165</v>
      </c>
      <c r="B865" s="97" t="s">
        <v>19</v>
      </c>
      <c r="C865" s="97" t="s">
        <v>157</v>
      </c>
      <c r="D865" s="99">
        <v>1.2654863262598799</v>
      </c>
      <c r="E865" s="99">
        <v>1.33251484742988</v>
      </c>
      <c r="F865" s="99">
        <v>1.59344670419606</v>
      </c>
    </row>
    <row r="866" spans="1:6" hidden="1" x14ac:dyDescent="0.2">
      <c r="A866" s="97" t="s">
        <v>165</v>
      </c>
      <c r="B866" s="97" t="s">
        <v>19</v>
      </c>
      <c r="C866" s="97" t="s">
        <v>158</v>
      </c>
      <c r="D866" s="99">
        <v>1.17079642076456</v>
      </c>
      <c r="E866" s="99">
        <v>1.13312201579546</v>
      </c>
      <c r="F866" s="99">
        <v>1.5257695693036899</v>
      </c>
    </row>
    <row r="867" spans="1:6" hidden="1" x14ac:dyDescent="0.2">
      <c r="A867" s="100" t="s">
        <v>165</v>
      </c>
      <c r="B867" s="100" t="s">
        <v>20</v>
      </c>
      <c r="C867" s="100" t="s">
        <v>153</v>
      </c>
      <c r="D867" s="101">
        <v>2512</v>
      </c>
      <c r="E867" s="101">
        <v>1189</v>
      </c>
      <c r="F867" s="101">
        <v>1323</v>
      </c>
    </row>
    <row r="868" spans="1:6" hidden="1" x14ac:dyDescent="0.2">
      <c r="A868" s="102" t="s">
        <v>165</v>
      </c>
      <c r="B868" s="102" t="s">
        <v>20</v>
      </c>
      <c r="C868" s="102" t="s">
        <v>154</v>
      </c>
      <c r="D868" s="103">
        <v>175.62961321235801</v>
      </c>
      <c r="E868" s="103">
        <v>97.8492699294857</v>
      </c>
      <c r="F868" s="103">
        <v>105.232426253366</v>
      </c>
    </row>
    <row r="869" spans="1:6" hidden="1" x14ac:dyDescent="0.2">
      <c r="A869" s="102" t="s">
        <v>165</v>
      </c>
      <c r="B869" s="102" t="s">
        <v>20</v>
      </c>
      <c r="C869" s="102" t="s">
        <v>155</v>
      </c>
      <c r="D869" s="103">
        <v>2223.0983601159501</v>
      </c>
      <c r="E869" s="103">
        <v>1028.04300631861</v>
      </c>
      <c r="F869" s="103">
        <v>1149.89809561434</v>
      </c>
    </row>
    <row r="870" spans="1:6" hidden="1" x14ac:dyDescent="0.2">
      <c r="A870" s="102" t="s">
        <v>165</v>
      </c>
      <c r="B870" s="102" t="s">
        <v>20</v>
      </c>
      <c r="C870" s="102" t="s">
        <v>156</v>
      </c>
      <c r="D870" s="103">
        <v>2800.9016398840399</v>
      </c>
      <c r="E870" s="103">
        <v>1349.95699368138</v>
      </c>
      <c r="F870" s="103">
        <v>1496.10190438565</v>
      </c>
    </row>
    <row r="871" spans="1:6" hidden="1" x14ac:dyDescent="0.2">
      <c r="A871" s="102" t="s">
        <v>165</v>
      </c>
      <c r="B871" s="102" t="s">
        <v>20</v>
      </c>
      <c r="C871" s="102" t="s">
        <v>157</v>
      </c>
      <c r="D871" s="104">
        <v>6.9916247297913499</v>
      </c>
      <c r="E871" s="104">
        <v>8.2295433077784406</v>
      </c>
      <c r="F871" s="104">
        <v>7.9540760584554802</v>
      </c>
    </row>
    <row r="872" spans="1:6" hidden="1" x14ac:dyDescent="0.2">
      <c r="A872" s="102" t="s">
        <v>165</v>
      </c>
      <c r="B872" s="102" t="s">
        <v>20</v>
      </c>
      <c r="C872" s="102" t="s">
        <v>158</v>
      </c>
      <c r="D872" s="104">
        <v>1.85780430316303</v>
      </c>
      <c r="E872" s="104">
        <v>1.66097545391847</v>
      </c>
      <c r="F872" s="104">
        <v>1.8098607820274999</v>
      </c>
    </row>
    <row r="873" spans="1:6" x14ac:dyDescent="0.2">
      <c r="A873" s="95" t="s">
        <v>166</v>
      </c>
      <c r="B873" s="95" t="s">
        <v>152</v>
      </c>
      <c r="C873" s="95" t="s">
        <v>153</v>
      </c>
      <c r="D873" s="96">
        <v>3556574</v>
      </c>
      <c r="E873" s="96">
        <v>1752275</v>
      </c>
      <c r="F873" s="96">
        <v>1804299</v>
      </c>
    </row>
    <row r="874" spans="1:6" hidden="1" x14ac:dyDescent="0.2">
      <c r="A874" s="97" t="s">
        <v>166</v>
      </c>
      <c r="B874" s="97" t="s">
        <v>152</v>
      </c>
      <c r="C874" s="97" t="s">
        <v>154</v>
      </c>
      <c r="D874" s="98">
        <v>62071.200154124701</v>
      </c>
      <c r="E874" s="98">
        <v>30726.534237350399</v>
      </c>
      <c r="F874" s="98">
        <v>31719.851731278501</v>
      </c>
    </row>
    <row r="875" spans="1:6" hidden="1" x14ac:dyDescent="0.2">
      <c r="A875" s="97" t="s">
        <v>166</v>
      </c>
      <c r="B875" s="97" t="s">
        <v>152</v>
      </c>
      <c r="C875" s="97" t="s">
        <v>155</v>
      </c>
      <c r="D875" s="98">
        <v>3454467.5240442501</v>
      </c>
      <c r="E875" s="98">
        <v>1701730.1721004299</v>
      </c>
      <c r="F875" s="98">
        <v>1752120.1751975501</v>
      </c>
    </row>
    <row r="876" spans="1:6" hidden="1" x14ac:dyDescent="0.2">
      <c r="A876" s="97" t="s">
        <v>166</v>
      </c>
      <c r="B876" s="97" t="s">
        <v>152</v>
      </c>
      <c r="C876" s="97" t="s">
        <v>156</v>
      </c>
      <c r="D876" s="98">
        <v>3658680.4759557401</v>
      </c>
      <c r="E876" s="98">
        <v>1802819.8278995601</v>
      </c>
      <c r="F876" s="98">
        <v>1856477.8248024399</v>
      </c>
    </row>
    <row r="877" spans="1:6" hidden="1" x14ac:dyDescent="0.2">
      <c r="A877" s="97" t="s">
        <v>166</v>
      </c>
      <c r="B877" s="97" t="s">
        <v>152</v>
      </c>
      <c r="C877" s="97" t="s">
        <v>157</v>
      </c>
      <c r="D877" s="99">
        <v>1.7452525985435601</v>
      </c>
      <c r="E877" s="99">
        <v>1.7535223773294899</v>
      </c>
      <c r="F877" s="99">
        <v>1.75801525862834</v>
      </c>
    </row>
    <row r="878" spans="1:6" hidden="1" x14ac:dyDescent="0.2">
      <c r="A878" s="97" t="s">
        <v>166</v>
      </c>
      <c r="B878" s="97" t="s">
        <v>152</v>
      </c>
      <c r="C878" s="97" t="s">
        <v>158</v>
      </c>
      <c r="D878" s="99">
        <v>5.5908807724713396</v>
      </c>
      <c r="E878" s="99">
        <v>3.1285245002772402</v>
      </c>
      <c r="F878" s="99">
        <v>3.1403185506917501</v>
      </c>
    </row>
    <row r="879" spans="1:6" x14ac:dyDescent="0.2">
      <c r="A879" s="100" t="s">
        <v>166</v>
      </c>
      <c r="B879" s="100" t="s">
        <v>4</v>
      </c>
      <c r="C879" s="100" t="s">
        <v>153</v>
      </c>
      <c r="D879" s="101">
        <v>315326</v>
      </c>
      <c r="E879" s="101">
        <v>158272</v>
      </c>
      <c r="F879" s="101">
        <v>157054</v>
      </c>
    </row>
    <row r="880" spans="1:6" hidden="1" x14ac:dyDescent="0.2">
      <c r="A880" s="102" t="s">
        <v>166</v>
      </c>
      <c r="B880" s="102" t="s">
        <v>4</v>
      </c>
      <c r="C880" s="102" t="s">
        <v>154</v>
      </c>
      <c r="D880" s="103">
        <v>6616.9442293542998</v>
      </c>
      <c r="E880" s="103">
        <v>3568.6007031418799</v>
      </c>
      <c r="F880" s="103">
        <v>3531.77637681121</v>
      </c>
    </row>
    <row r="881" spans="1:6" hidden="1" x14ac:dyDescent="0.2">
      <c r="A881" s="102" t="s">
        <v>166</v>
      </c>
      <c r="B881" s="102" t="s">
        <v>4</v>
      </c>
      <c r="C881" s="102" t="s">
        <v>155</v>
      </c>
      <c r="D881" s="103">
        <v>304441.19585286803</v>
      </c>
      <c r="E881" s="103">
        <v>152401.689115302</v>
      </c>
      <c r="F881" s="103">
        <v>151244.264747507</v>
      </c>
    </row>
    <row r="882" spans="1:6" hidden="1" x14ac:dyDescent="0.2">
      <c r="A882" s="102" t="s">
        <v>166</v>
      </c>
      <c r="B882" s="102" t="s">
        <v>4</v>
      </c>
      <c r="C882" s="102" t="s">
        <v>156</v>
      </c>
      <c r="D882" s="103">
        <v>326210.80414713197</v>
      </c>
      <c r="E882" s="103">
        <v>164142.31088469701</v>
      </c>
      <c r="F882" s="103">
        <v>162863.73525249201</v>
      </c>
    </row>
    <row r="883" spans="1:6" hidden="1" x14ac:dyDescent="0.2">
      <c r="A883" s="102" t="s">
        <v>166</v>
      </c>
      <c r="B883" s="102" t="s">
        <v>4</v>
      </c>
      <c r="C883" s="102" t="s">
        <v>157</v>
      </c>
      <c r="D883" s="104">
        <v>2.0984454911279999</v>
      </c>
      <c r="E883" s="104">
        <v>2.2547264855071498</v>
      </c>
      <c r="F883" s="104">
        <v>2.2487656327194498</v>
      </c>
    </row>
    <row r="884" spans="1:6" hidden="1" x14ac:dyDescent="0.2">
      <c r="A884" s="102" t="s">
        <v>166</v>
      </c>
      <c r="B884" s="102" t="s">
        <v>4</v>
      </c>
      <c r="C884" s="102" t="s">
        <v>158</v>
      </c>
      <c r="D884" s="104">
        <v>2.5054900981159598</v>
      </c>
      <c r="E884" s="104">
        <v>2.48365070978423</v>
      </c>
      <c r="F884" s="104">
        <v>2.5222036892569801</v>
      </c>
    </row>
    <row r="885" spans="1:6" x14ac:dyDescent="0.2">
      <c r="A885" s="95" t="s">
        <v>166</v>
      </c>
      <c r="B885" s="95" t="s">
        <v>5</v>
      </c>
      <c r="C885" s="95" t="s">
        <v>153</v>
      </c>
      <c r="D885" s="96">
        <v>340686</v>
      </c>
      <c r="E885" s="96">
        <v>173303</v>
      </c>
      <c r="F885" s="96">
        <v>167383</v>
      </c>
    </row>
    <row r="886" spans="1:6" hidden="1" x14ac:dyDescent="0.2">
      <c r="A886" s="97" t="s">
        <v>166</v>
      </c>
      <c r="B886" s="97" t="s">
        <v>5</v>
      </c>
      <c r="C886" s="97" t="s">
        <v>154</v>
      </c>
      <c r="D886" s="98">
        <v>7609.6131348999697</v>
      </c>
      <c r="E886" s="98">
        <v>3980.95283474597</v>
      </c>
      <c r="F886" s="98">
        <v>4061.6701700240701</v>
      </c>
    </row>
    <row r="887" spans="1:6" hidden="1" x14ac:dyDescent="0.2">
      <c r="A887" s="97" t="s">
        <v>166</v>
      </c>
      <c r="B887" s="97" t="s">
        <v>5</v>
      </c>
      <c r="C887" s="97" t="s">
        <v>155</v>
      </c>
      <c r="D887" s="98">
        <v>328168.26587109797</v>
      </c>
      <c r="E887" s="98">
        <v>166754.37416559301</v>
      </c>
      <c r="F887" s="98">
        <v>160701.59499210599</v>
      </c>
    </row>
    <row r="888" spans="1:6" hidden="1" x14ac:dyDescent="0.2">
      <c r="A888" s="97" t="s">
        <v>166</v>
      </c>
      <c r="B888" s="97" t="s">
        <v>5</v>
      </c>
      <c r="C888" s="97" t="s">
        <v>156</v>
      </c>
      <c r="D888" s="98">
        <v>353203.73412890203</v>
      </c>
      <c r="E888" s="98">
        <v>179851.62583440699</v>
      </c>
      <c r="F888" s="98">
        <v>174064.40500789299</v>
      </c>
    </row>
    <row r="889" spans="1:6" hidden="1" x14ac:dyDescent="0.2">
      <c r="A889" s="97" t="s">
        <v>166</v>
      </c>
      <c r="B889" s="97" t="s">
        <v>5</v>
      </c>
      <c r="C889" s="97" t="s">
        <v>157</v>
      </c>
      <c r="D889" s="99">
        <v>2.2336148638041902</v>
      </c>
      <c r="E889" s="99">
        <v>2.2971055519788899</v>
      </c>
      <c r="F889" s="99">
        <v>2.4265726925817201</v>
      </c>
    </row>
    <row r="890" spans="1:6" hidden="1" x14ac:dyDescent="0.2">
      <c r="A890" s="97" t="s">
        <v>166</v>
      </c>
      <c r="B890" s="97" t="s">
        <v>5</v>
      </c>
      <c r="C890" s="97" t="s">
        <v>158</v>
      </c>
      <c r="D890" s="99">
        <v>2.7746588773284202</v>
      </c>
      <c r="E890" s="99">
        <v>2.6622907748757001</v>
      </c>
      <c r="F890" s="99">
        <v>2.79322631382336</v>
      </c>
    </row>
    <row r="891" spans="1:6" x14ac:dyDescent="0.2">
      <c r="A891" s="100" t="s">
        <v>166</v>
      </c>
      <c r="B891" s="100" t="s">
        <v>6</v>
      </c>
      <c r="C891" s="100" t="s">
        <v>153</v>
      </c>
      <c r="D891" s="101">
        <v>344426</v>
      </c>
      <c r="E891" s="101">
        <v>175531</v>
      </c>
      <c r="F891" s="101">
        <v>168895</v>
      </c>
    </row>
    <row r="892" spans="1:6" hidden="1" x14ac:dyDescent="0.2">
      <c r="A892" s="102" t="s">
        <v>166</v>
      </c>
      <c r="B892" s="102" t="s">
        <v>6</v>
      </c>
      <c r="C892" s="102" t="s">
        <v>154</v>
      </c>
      <c r="D892" s="103">
        <v>7619.25219648045</v>
      </c>
      <c r="E892" s="103">
        <v>4175.2731372292401</v>
      </c>
      <c r="F892" s="103">
        <v>3908.3690730492599</v>
      </c>
    </row>
    <row r="893" spans="1:6" hidden="1" x14ac:dyDescent="0.2">
      <c r="A893" s="102" t="s">
        <v>166</v>
      </c>
      <c r="B893" s="102" t="s">
        <v>6</v>
      </c>
      <c r="C893" s="102" t="s">
        <v>155</v>
      </c>
      <c r="D893" s="103">
        <v>331892.40971547202</v>
      </c>
      <c r="E893" s="103">
        <v>168662.71929757099</v>
      </c>
      <c r="F893" s="103">
        <v>162465.77369548799</v>
      </c>
    </row>
    <row r="894" spans="1:6" hidden="1" x14ac:dyDescent="0.2">
      <c r="A894" s="102" t="s">
        <v>166</v>
      </c>
      <c r="B894" s="102" t="s">
        <v>6</v>
      </c>
      <c r="C894" s="102" t="s">
        <v>156</v>
      </c>
      <c r="D894" s="103">
        <v>356959.59028452699</v>
      </c>
      <c r="E894" s="103">
        <v>182399.28070242799</v>
      </c>
      <c r="F894" s="103">
        <v>175324.22630451099</v>
      </c>
    </row>
    <row r="895" spans="1:6" hidden="1" x14ac:dyDescent="0.2">
      <c r="A895" s="102" t="s">
        <v>166</v>
      </c>
      <c r="B895" s="102" t="s">
        <v>6</v>
      </c>
      <c r="C895" s="102" t="s">
        <v>157</v>
      </c>
      <c r="D895" s="104">
        <v>2.21215941783734</v>
      </c>
      <c r="E895" s="104">
        <v>2.3786528517636398</v>
      </c>
      <c r="F895" s="104">
        <v>2.3140821652797601</v>
      </c>
    </row>
    <row r="896" spans="1:6" hidden="1" x14ac:dyDescent="0.2">
      <c r="A896" s="102" t="s">
        <v>166</v>
      </c>
      <c r="B896" s="102" t="s">
        <v>6</v>
      </c>
      <c r="C896" s="102" t="s">
        <v>158</v>
      </c>
      <c r="D896" s="104">
        <v>2.77577476910345</v>
      </c>
      <c r="E896" s="104">
        <v>2.7872533344080499</v>
      </c>
      <c r="F896" s="104">
        <v>2.7029902626602298</v>
      </c>
    </row>
    <row r="897" spans="1:6" x14ac:dyDescent="0.2">
      <c r="A897" s="95" t="s">
        <v>166</v>
      </c>
      <c r="B897" s="95" t="s">
        <v>7</v>
      </c>
      <c r="C897" s="95" t="s">
        <v>153</v>
      </c>
      <c r="D897" s="96">
        <v>320679</v>
      </c>
      <c r="E897" s="96">
        <v>160672</v>
      </c>
      <c r="F897" s="96">
        <v>160007</v>
      </c>
    </row>
    <row r="898" spans="1:6" hidden="1" x14ac:dyDescent="0.2">
      <c r="A898" s="97" t="s">
        <v>166</v>
      </c>
      <c r="B898" s="97" t="s">
        <v>7</v>
      </c>
      <c r="C898" s="97" t="s">
        <v>154</v>
      </c>
      <c r="D898" s="98">
        <v>6487.2818724069903</v>
      </c>
      <c r="E898" s="98">
        <v>3451.1927754768699</v>
      </c>
      <c r="F898" s="98">
        <v>3543.67149256823</v>
      </c>
    </row>
    <row r="899" spans="1:6" hidden="1" x14ac:dyDescent="0.2">
      <c r="A899" s="97" t="s">
        <v>166</v>
      </c>
      <c r="B899" s="97" t="s">
        <v>7</v>
      </c>
      <c r="C899" s="97" t="s">
        <v>155</v>
      </c>
      <c r="D899" s="98">
        <v>310007.48907579802</v>
      </c>
      <c r="E899" s="98">
        <v>154994.82393005301</v>
      </c>
      <c r="F899" s="98">
        <v>154177.697406324</v>
      </c>
    </row>
    <row r="900" spans="1:6" hidden="1" x14ac:dyDescent="0.2">
      <c r="A900" s="97" t="s">
        <v>166</v>
      </c>
      <c r="B900" s="97" t="s">
        <v>7</v>
      </c>
      <c r="C900" s="97" t="s">
        <v>156</v>
      </c>
      <c r="D900" s="98">
        <v>331350.51092420198</v>
      </c>
      <c r="E900" s="98">
        <v>166349.176069946</v>
      </c>
      <c r="F900" s="98">
        <v>165836.30259367501</v>
      </c>
    </row>
    <row r="901" spans="1:6" hidden="1" x14ac:dyDescent="0.2">
      <c r="A901" s="97" t="s">
        <v>166</v>
      </c>
      <c r="B901" s="97" t="s">
        <v>7</v>
      </c>
      <c r="C901" s="97" t="s">
        <v>157</v>
      </c>
      <c r="D901" s="99">
        <v>2.0229830679299199</v>
      </c>
      <c r="E901" s="99">
        <v>2.1479739938986699</v>
      </c>
      <c r="F901" s="99">
        <v>2.2146977898268401</v>
      </c>
    </row>
    <row r="902" spans="1:6" hidden="1" x14ac:dyDescent="0.2">
      <c r="A902" s="97" t="s">
        <v>166</v>
      </c>
      <c r="B902" s="97" t="s">
        <v>7</v>
      </c>
      <c r="C902" s="97" t="s">
        <v>158</v>
      </c>
      <c r="D902" s="99">
        <v>2.43565406582848</v>
      </c>
      <c r="E902" s="99">
        <v>2.3792901237121602</v>
      </c>
      <c r="F902" s="99">
        <v>2.5398070320100499</v>
      </c>
    </row>
    <row r="903" spans="1:6" x14ac:dyDescent="0.2">
      <c r="A903" s="100" t="s">
        <v>166</v>
      </c>
      <c r="B903" s="100" t="s">
        <v>8</v>
      </c>
      <c r="C903" s="100" t="s">
        <v>153</v>
      </c>
      <c r="D903" s="101">
        <v>310738</v>
      </c>
      <c r="E903" s="101">
        <v>154375</v>
      </c>
      <c r="F903" s="101">
        <v>156363</v>
      </c>
    </row>
    <row r="904" spans="1:6" hidden="1" x14ac:dyDescent="0.2">
      <c r="A904" s="102" t="s">
        <v>166</v>
      </c>
      <c r="B904" s="102" t="s">
        <v>8</v>
      </c>
      <c r="C904" s="102" t="s">
        <v>154</v>
      </c>
      <c r="D904" s="103">
        <v>6179.74441505907</v>
      </c>
      <c r="E904" s="103">
        <v>3392.9185358969798</v>
      </c>
      <c r="F904" s="103">
        <v>3249.2665476820498</v>
      </c>
    </row>
    <row r="905" spans="1:6" hidden="1" x14ac:dyDescent="0.2">
      <c r="A905" s="102" t="s">
        <v>166</v>
      </c>
      <c r="B905" s="102" t="s">
        <v>8</v>
      </c>
      <c r="C905" s="102" t="s">
        <v>155</v>
      </c>
      <c r="D905" s="103">
        <v>300572.38498108397</v>
      </c>
      <c r="E905" s="103">
        <v>148793.68444552101</v>
      </c>
      <c r="F905" s="103">
        <v>151017.99046577301</v>
      </c>
    </row>
    <row r="906" spans="1:6" hidden="1" x14ac:dyDescent="0.2">
      <c r="A906" s="102" t="s">
        <v>166</v>
      </c>
      <c r="B906" s="102" t="s">
        <v>8</v>
      </c>
      <c r="C906" s="102" t="s">
        <v>156</v>
      </c>
      <c r="D906" s="103">
        <v>320903.61501891498</v>
      </c>
      <c r="E906" s="103">
        <v>159956.315554478</v>
      </c>
      <c r="F906" s="103">
        <v>161708.00953422699</v>
      </c>
    </row>
    <row r="907" spans="1:6" hidden="1" x14ac:dyDescent="0.2">
      <c r="A907" s="102" t="s">
        <v>166</v>
      </c>
      <c r="B907" s="102" t="s">
        <v>8</v>
      </c>
      <c r="C907" s="102" t="s">
        <v>157</v>
      </c>
      <c r="D907" s="104">
        <v>1.9887314763752899</v>
      </c>
      <c r="E907" s="104">
        <v>2.1978419665729398</v>
      </c>
      <c r="F907" s="104">
        <v>2.0780277608398698</v>
      </c>
    </row>
    <row r="908" spans="1:6" hidden="1" x14ac:dyDescent="0.2">
      <c r="A908" s="102" t="s">
        <v>166</v>
      </c>
      <c r="B908" s="102" t="s">
        <v>8</v>
      </c>
      <c r="C908" s="102" t="s">
        <v>158</v>
      </c>
      <c r="D908" s="104">
        <v>2.3800220394923399</v>
      </c>
      <c r="E908" s="104">
        <v>2.45951861241323</v>
      </c>
      <c r="F908" s="104">
        <v>2.34783338555973</v>
      </c>
    </row>
    <row r="909" spans="1:6" x14ac:dyDescent="0.2">
      <c r="A909" s="95" t="s">
        <v>166</v>
      </c>
      <c r="B909" s="95" t="s">
        <v>9</v>
      </c>
      <c r="C909" s="95" t="s">
        <v>153</v>
      </c>
      <c r="D909" s="96">
        <v>269165</v>
      </c>
      <c r="E909" s="96">
        <v>131676</v>
      </c>
      <c r="F909" s="96">
        <v>137489</v>
      </c>
    </row>
    <row r="910" spans="1:6" hidden="1" x14ac:dyDescent="0.2">
      <c r="A910" s="97" t="s">
        <v>166</v>
      </c>
      <c r="B910" s="97" t="s">
        <v>9</v>
      </c>
      <c r="C910" s="97" t="s">
        <v>154</v>
      </c>
      <c r="D910" s="98">
        <v>5425.3434720456198</v>
      </c>
      <c r="E910" s="98">
        <v>2869.3635964969098</v>
      </c>
      <c r="F910" s="98">
        <v>2950.5275282111002</v>
      </c>
    </row>
    <row r="911" spans="1:6" hidden="1" x14ac:dyDescent="0.2">
      <c r="A911" s="97" t="s">
        <v>166</v>
      </c>
      <c r="B911" s="97" t="s">
        <v>9</v>
      </c>
      <c r="C911" s="97" t="s">
        <v>155</v>
      </c>
      <c r="D911" s="98">
        <v>260240.36665305999</v>
      </c>
      <c r="E911" s="98">
        <v>126955.926852605</v>
      </c>
      <c r="F911" s="98">
        <v>132635.413032646</v>
      </c>
    </row>
    <row r="912" spans="1:6" hidden="1" x14ac:dyDescent="0.2">
      <c r="A912" s="97" t="s">
        <v>166</v>
      </c>
      <c r="B912" s="97" t="s">
        <v>9</v>
      </c>
      <c r="C912" s="97" t="s">
        <v>156</v>
      </c>
      <c r="D912" s="98">
        <v>278089.63334693998</v>
      </c>
      <c r="E912" s="98">
        <v>136396.073147394</v>
      </c>
      <c r="F912" s="98">
        <v>142342.58696735301</v>
      </c>
    </row>
    <row r="913" spans="1:6" hidden="1" x14ac:dyDescent="0.2">
      <c r="A913" s="97" t="s">
        <v>166</v>
      </c>
      <c r="B913" s="97" t="s">
        <v>9</v>
      </c>
      <c r="C913" s="97" t="s">
        <v>157</v>
      </c>
      <c r="D913" s="99">
        <v>2.0156199624935001</v>
      </c>
      <c r="E913" s="99">
        <v>2.1791090225226402</v>
      </c>
      <c r="F913" s="99">
        <v>2.1460098831259899</v>
      </c>
    </row>
    <row r="914" spans="1:6" hidden="1" x14ac:dyDescent="0.2">
      <c r="A914" s="97" t="s">
        <v>166</v>
      </c>
      <c r="B914" s="97" t="s">
        <v>9</v>
      </c>
      <c r="C914" s="97" t="s">
        <v>158</v>
      </c>
      <c r="D914" s="99">
        <v>2.41384606137852</v>
      </c>
      <c r="E914" s="99">
        <v>2.4332130329752899</v>
      </c>
      <c r="F914" s="99">
        <v>2.4292033174461398</v>
      </c>
    </row>
    <row r="915" spans="1:6" x14ac:dyDescent="0.2">
      <c r="A915" s="100" t="s">
        <v>166</v>
      </c>
      <c r="B915" s="100" t="s">
        <v>10</v>
      </c>
      <c r="C915" s="100" t="s">
        <v>153</v>
      </c>
      <c r="D915" s="101">
        <v>259011</v>
      </c>
      <c r="E915" s="101">
        <v>125898</v>
      </c>
      <c r="F915" s="101">
        <v>133113</v>
      </c>
    </row>
    <row r="916" spans="1:6" hidden="1" x14ac:dyDescent="0.2">
      <c r="A916" s="102" t="s">
        <v>166</v>
      </c>
      <c r="B916" s="102" t="s">
        <v>10</v>
      </c>
      <c r="C916" s="102" t="s">
        <v>154</v>
      </c>
      <c r="D916" s="103">
        <v>6149.0221028078804</v>
      </c>
      <c r="E916" s="103">
        <v>3013.8002978521699</v>
      </c>
      <c r="F916" s="103">
        <v>3459.4199133961602</v>
      </c>
    </row>
    <row r="917" spans="1:6" hidden="1" x14ac:dyDescent="0.2">
      <c r="A917" s="102" t="s">
        <v>166</v>
      </c>
      <c r="B917" s="102" t="s">
        <v>10</v>
      </c>
      <c r="C917" s="102" t="s">
        <v>155</v>
      </c>
      <c r="D917" s="103">
        <v>248895.92286386</v>
      </c>
      <c r="E917" s="103">
        <v>120940.329987434</v>
      </c>
      <c r="F917" s="103">
        <v>127422.290374103</v>
      </c>
    </row>
    <row r="918" spans="1:6" hidden="1" x14ac:dyDescent="0.2">
      <c r="A918" s="102" t="s">
        <v>166</v>
      </c>
      <c r="B918" s="102" t="s">
        <v>10</v>
      </c>
      <c r="C918" s="102" t="s">
        <v>156</v>
      </c>
      <c r="D918" s="103">
        <v>269126.07713613898</v>
      </c>
      <c r="E918" s="103">
        <v>130855.67001256499</v>
      </c>
      <c r="F918" s="103">
        <v>138803.70962589601</v>
      </c>
    </row>
    <row r="919" spans="1:6" hidden="1" x14ac:dyDescent="0.2">
      <c r="A919" s="102" t="s">
        <v>166</v>
      </c>
      <c r="B919" s="102" t="s">
        <v>10</v>
      </c>
      <c r="C919" s="102" t="s">
        <v>157</v>
      </c>
      <c r="D919" s="104">
        <v>2.37403898012357</v>
      </c>
      <c r="E919" s="104">
        <v>2.3938428710957802</v>
      </c>
      <c r="F919" s="104">
        <v>2.59885955045424</v>
      </c>
    </row>
    <row r="920" spans="1:6" hidden="1" x14ac:dyDescent="0.2">
      <c r="A920" s="102" t="s">
        <v>166</v>
      </c>
      <c r="B920" s="102" t="s">
        <v>10</v>
      </c>
      <c r="C920" s="102" t="s">
        <v>158</v>
      </c>
      <c r="D920" s="104">
        <v>2.9899255444903998</v>
      </c>
      <c r="E920" s="104">
        <v>2.7989854849431799</v>
      </c>
      <c r="F920" s="104">
        <v>3.0592590954217198</v>
      </c>
    </row>
    <row r="921" spans="1:6" x14ac:dyDescent="0.2">
      <c r="A921" s="95" t="s">
        <v>166</v>
      </c>
      <c r="B921" s="95" t="s">
        <v>11</v>
      </c>
      <c r="C921" s="95" t="s">
        <v>153</v>
      </c>
      <c r="D921" s="96">
        <v>255457</v>
      </c>
      <c r="E921" s="96">
        <v>123952</v>
      </c>
      <c r="F921" s="96">
        <v>131505</v>
      </c>
    </row>
    <row r="922" spans="1:6" hidden="1" x14ac:dyDescent="0.2">
      <c r="A922" s="97" t="s">
        <v>166</v>
      </c>
      <c r="B922" s="97" t="s">
        <v>11</v>
      </c>
      <c r="C922" s="97" t="s">
        <v>154</v>
      </c>
      <c r="D922" s="98">
        <v>6244.4610695505398</v>
      </c>
      <c r="E922" s="98">
        <v>3204.9457078782102</v>
      </c>
      <c r="F922" s="98">
        <v>3338.2905672143302</v>
      </c>
    </row>
    <row r="923" spans="1:6" hidden="1" x14ac:dyDescent="0.2">
      <c r="A923" s="97" t="s">
        <v>166</v>
      </c>
      <c r="B923" s="97" t="s">
        <v>11</v>
      </c>
      <c r="C923" s="97" t="s">
        <v>155</v>
      </c>
      <c r="D923" s="98">
        <v>245184.92676037399</v>
      </c>
      <c r="E923" s="98">
        <v>118679.89778434399</v>
      </c>
      <c r="F923" s="98">
        <v>126013.546883446</v>
      </c>
    </row>
    <row r="924" spans="1:6" hidden="1" x14ac:dyDescent="0.2">
      <c r="A924" s="97" t="s">
        <v>166</v>
      </c>
      <c r="B924" s="97" t="s">
        <v>11</v>
      </c>
      <c r="C924" s="97" t="s">
        <v>156</v>
      </c>
      <c r="D924" s="98">
        <v>265729.07323962601</v>
      </c>
      <c r="E924" s="98">
        <v>129224.102215655</v>
      </c>
      <c r="F924" s="98">
        <v>136996.45311655299</v>
      </c>
    </row>
    <row r="925" spans="1:6" hidden="1" x14ac:dyDescent="0.2">
      <c r="A925" s="97" t="s">
        <v>166</v>
      </c>
      <c r="B925" s="97" t="s">
        <v>11</v>
      </c>
      <c r="C925" s="97" t="s">
        <v>157</v>
      </c>
      <c r="D925" s="99">
        <v>2.4444274651117501</v>
      </c>
      <c r="E925" s="99">
        <v>2.58563452616997</v>
      </c>
      <c r="F925" s="99">
        <v>2.5385274835286298</v>
      </c>
    </row>
    <row r="926" spans="1:6" hidden="1" x14ac:dyDescent="0.2">
      <c r="A926" s="97" t="s">
        <v>166</v>
      </c>
      <c r="B926" s="97" t="s">
        <v>11</v>
      </c>
      <c r="C926" s="97" t="s">
        <v>158</v>
      </c>
      <c r="D926" s="99">
        <v>3.0009903078215698</v>
      </c>
      <c r="E926" s="99">
        <v>2.91929414706224</v>
      </c>
      <c r="F926" s="99">
        <v>2.9453727929885898</v>
      </c>
    </row>
    <row r="927" spans="1:6" x14ac:dyDescent="0.2">
      <c r="A927" s="100" t="s">
        <v>166</v>
      </c>
      <c r="B927" s="100" t="s">
        <v>12</v>
      </c>
      <c r="C927" s="100" t="s">
        <v>153</v>
      </c>
      <c r="D927" s="101">
        <v>252643</v>
      </c>
      <c r="E927" s="101">
        <v>123035</v>
      </c>
      <c r="F927" s="101">
        <v>129608</v>
      </c>
    </row>
    <row r="928" spans="1:6" hidden="1" x14ac:dyDescent="0.2">
      <c r="A928" s="102" t="s">
        <v>166</v>
      </c>
      <c r="B928" s="102" t="s">
        <v>12</v>
      </c>
      <c r="C928" s="102" t="s">
        <v>154</v>
      </c>
      <c r="D928" s="103">
        <v>5784.1838611534204</v>
      </c>
      <c r="E928" s="103">
        <v>3022.0864926654699</v>
      </c>
      <c r="F928" s="103">
        <v>3064.7897586735598</v>
      </c>
    </row>
    <row r="929" spans="1:6" hidden="1" x14ac:dyDescent="0.2">
      <c r="A929" s="102" t="s">
        <v>166</v>
      </c>
      <c r="B929" s="102" t="s">
        <v>12</v>
      </c>
      <c r="C929" s="102" t="s">
        <v>155</v>
      </c>
      <c r="D929" s="103">
        <v>243128.07796085801</v>
      </c>
      <c r="E929" s="103">
        <v>118063.699283511</v>
      </c>
      <c r="F929" s="103">
        <v>124566.45285693801</v>
      </c>
    </row>
    <row r="930" spans="1:6" hidden="1" x14ac:dyDescent="0.2">
      <c r="A930" s="102" t="s">
        <v>166</v>
      </c>
      <c r="B930" s="102" t="s">
        <v>12</v>
      </c>
      <c r="C930" s="102" t="s">
        <v>156</v>
      </c>
      <c r="D930" s="103">
        <v>262157.92203914199</v>
      </c>
      <c r="E930" s="103">
        <v>128006.300716489</v>
      </c>
      <c r="F930" s="103">
        <v>134649.54714306101</v>
      </c>
    </row>
    <row r="931" spans="1:6" hidden="1" x14ac:dyDescent="0.2">
      <c r="A931" s="102" t="s">
        <v>166</v>
      </c>
      <c r="B931" s="102" t="s">
        <v>12</v>
      </c>
      <c r="C931" s="102" t="s">
        <v>157</v>
      </c>
      <c r="D931" s="104">
        <v>2.2894692752830701</v>
      </c>
      <c r="E931" s="104">
        <v>2.4562819463286698</v>
      </c>
      <c r="F931" s="104">
        <v>2.36466094583171</v>
      </c>
    </row>
    <row r="932" spans="1:6" hidden="1" x14ac:dyDescent="0.2">
      <c r="A932" s="102" t="s">
        <v>166</v>
      </c>
      <c r="B932" s="102" t="s">
        <v>12</v>
      </c>
      <c r="C932" s="102" t="s">
        <v>158</v>
      </c>
      <c r="D932" s="104">
        <v>2.8288678317039202</v>
      </c>
      <c r="E932" s="104">
        <v>2.8630766551892899</v>
      </c>
      <c r="F932" s="104">
        <v>2.69570940647638</v>
      </c>
    </row>
    <row r="933" spans="1:6" x14ac:dyDescent="0.2">
      <c r="A933" s="95" t="s">
        <v>166</v>
      </c>
      <c r="B933" s="95" t="s">
        <v>13</v>
      </c>
      <c r="C933" s="95" t="s">
        <v>153</v>
      </c>
      <c r="D933" s="96">
        <v>218432</v>
      </c>
      <c r="E933" s="96">
        <v>106462</v>
      </c>
      <c r="F933" s="96">
        <v>111970</v>
      </c>
    </row>
    <row r="934" spans="1:6" hidden="1" x14ac:dyDescent="0.2">
      <c r="A934" s="97" t="s">
        <v>166</v>
      </c>
      <c r="B934" s="97" t="s">
        <v>13</v>
      </c>
      <c r="C934" s="97" t="s">
        <v>154</v>
      </c>
      <c r="D934" s="98">
        <v>4641.4183870240704</v>
      </c>
      <c r="E934" s="98">
        <v>2432.2285774505399</v>
      </c>
      <c r="F934" s="98">
        <v>2505.9387124321602</v>
      </c>
    </row>
    <row r="935" spans="1:6" hidden="1" x14ac:dyDescent="0.2">
      <c r="A935" s="97" t="s">
        <v>166</v>
      </c>
      <c r="B935" s="97" t="s">
        <v>13</v>
      </c>
      <c r="C935" s="97" t="s">
        <v>155</v>
      </c>
      <c r="D935" s="98">
        <v>210796.915230276</v>
      </c>
      <c r="E935" s="98">
        <v>102461.009393314</v>
      </c>
      <c r="F935" s="98">
        <v>107847.756991129</v>
      </c>
    </row>
    <row r="936" spans="1:6" hidden="1" x14ac:dyDescent="0.2">
      <c r="A936" s="97" t="s">
        <v>166</v>
      </c>
      <c r="B936" s="97" t="s">
        <v>13</v>
      </c>
      <c r="C936" s="97" t="s">
        <v>156</v>
      </c>
      <c r="D936" s="98">
        <v>226067.08476972301</v>
      </c>
      <c r="E936" s="98">
        <v>110462.99060668499</v>
      </c>
      <c r="F936" s="98">
        <v>116092.24300887001</v>
      </c>
    </row>
    <row r="937" spans="1:6" hidden="1" x14ac:dyDescent="0.2">
      <c r="A937" s="97" t="s">
        <v>166</v>
      </c>
      <c r="B937" s="97" t="s">
        <v>13</v>
      </c>
      <c r="C937" s="97" t="s">
        <v>157</v>
      </c>
      <c r="D937" s="99">
        <v>2.1248802313873698</v>
      </c>
      <c r="E937" s="99">
        <v>2.28459786351049</v>
      </c>
      <c r="F937" s="99">
        <v>2.2380447552310101</v>
      </c>
    </row>
    <row r="938" spans="1:6" hidden="1" x14ac:dyDescent="0.2">
      <c r="A938" s="97" t="s">
        <v>166</v>
      </c>
      <c r="B938" s="97" t="s">
        <v>13</v>
      </c>
      <c r="C938" s="97" t="s">
        <v>158</v>
      </c>
      <c r="D938" s="99">
        <v>2.4707810607221998</v>
      </c>
      <c r="E938" s="99">
        <v>2.5272122643128698</v>
      </c>
      <c r="F938" s="99">
        <v>2.3881669932704801</v>
      </c>
    </row>
    <row r="939" spans="1:6" x14ac:dyDescent="0.2">
      <c r="A939" s="100" t="s">
        <v>166</v>
      </c>
      <c r="B939" s="100" t="s">
        <v>14</v>
      </c>
      <c r="C939" s="100" t="s">
        <v>153</v>
      </c>
      <c r="D939" s="101">
        <v>183239</v>
      </c>
      <c r="E939" s="101">
        <v>88215</v>
      </c>
      <c r="F939" s="101">
        <v>95024</v>
      </c>
    </row>
    <row r="940" spans="1:6" hidden="1" x14ac:dyDescent="0.2">
      <c r="A940" s="102" t="s">
        <v>166</v>
      </c>
      <c r="B940" s="102" t="s">
        <v>14</v>
      </c>
      <c r="C940" s="102" t="s">
        <v>154</v>
      </c>
      <c r="D940" s="103">
        <v>3878.9500422707001</v>
      </c>
      <c r="E940" s="103">
        <v>2045.6398038739801</v>
      </c>
      <c r="F940" s="103">
        <v>2159.6479040081499</v>
      </c>
    </row>
    <row r="941" spans="1:6" hidden="1" x14ac:dyDescent="0.2">
      <c r="A941" s="102" t="s">
        <v>166</v>
      </c>
      <c r="B941" s="102" t="s">
        <v>14</v>
      </c>
      <c r="C941" s="102" t="s">
        <v>155</v>
      </c>
      <c r="D941" s="103">
        <v>176858.16769385399</v>
      </c>
      <c r="E941" s="103">
        <v>84849.943888152004</v>
      </c>
      <c r="F941" s="103">
        <v>91471.401754179999</v>
      </c>
    </row>
    <row r="942" spans="1:6" hidden="1" x14ac:dyDescent="0.2">
      <c r="A942" s="102" t="s">
        <v>166</v>
      </c>
      <c r="B942" s="102" t="s">
        <v>14</v>
      </c>
      <c r="C942" s="102" t="s">
        <v>156</v>
      </c>
      <c r="D942" s="103">
        <v>189619.83230614499</v>
      </c>
      <c r="E942" s="103">
        <v>91580.056111847894</v>
      </c>
      <c r="F942" s="103">
        <v>98576.598245820001</v>
      </c>
    </row>
    <row r="943" spans="1:6" hidden="1" x14ac:dyDescent="0.2">
      <c r="A943" s="102" t="s">
        <v>166</v>
      </c>
      <c r="B943" s="102" t="s">
        <v>14</v>
      </c>
      <c r="C943" s="102" t="s">
        <v>157</v>
      </c>
      <c r="D943" s="104">
        <v>2.11688016321345</v>
      </c>
      <c r="E943" s="104">
        <v>2.3189251305038598</v>
      </c>
      <c r="F943" s="104">
        <v>2.2727394174189102</v>
      </c>
    </row>
    <row r="944" spans="1:6" hidden="1" x14ac:dyDescent="0.2">
      <c r="A944" s="102" t="s">
        <v>166</v>
      </c>
      <c r="B944" s="102" t="s">
        <v>14</v>
      </c>
      <c r="C944" s="102" t="s">
        <v>158</v>
      </c>
      <c r="D944" s="104">
        <v>2.3833501560332802</v>
      </c>
      <c r="E944" s="104">
        <v>2.4634784028630001</v>
      </c>
      <c r="F944" s="104">
        <v>2.3724552924653302</v>
      </c>
    </row>
    <row r="945" spans="1:6" x14ac:dyDescent="0.2">
      <c r="A945" s="95" t="s">
        <v>166</v>
      </c>
      <c r="B945" s="95" t="s">
        <v>15</v>
      </c>
      <c r="C945" s="95" t="s">
        <v>153</v>
      </c>
      <c r="D945" s="96">
        <v>143289</v>
      </c>
      <c r="E945" s="96">
        <v>68707</v>
      </c>
      <c r="F945" s="96">
        <v>74582</v>
      </c>
    </row>
    <row r="946" spans="1:6" hidden="1" x14ac:dyDescent="0.2">
      <c r="A946" s="97" t="s">
        <v>166</v>
      </c>
      <c r="B946" s="97" t="s">
        <v>15</v>
      </c>
      <c r="C946" s="97" t="s">
        <v>154</v>
      </c>
      <c r="D946" s="98">
        <v>3087.1823076832602</v>
      </c>
      <c r="E946" s="98">
        <v>1619.11731798146</v>
      </c>
      <c r="F946" s="98">
        <v>1773.9018392508301</v>
      </c>
    </row>
    <row r="947" spans="1:6" hidden="1" x14ac:dyDescent="0.2">
      <c r="A947" s="97" t="s">
        <v>166</v>
      </c>
      <c r="B947" s="97" t="s">
        <v>15</v>
      </c>
      <c r="C947" s="97" t="s">
        <v>155</v>
      </c>
      <c r="D947" s="98">
        <v>138210.617347694</v>
      </c>
      <c r="E947" s="98">
        <v>66043.568922664504</v>
      </c>
      <c r="F947" s="98">
        <v>71663.950001811201</v>
      </c>
    </row>
    <row r="948" spans="1:6" hidden="1" x14ac:dyDescent="0.2">
      <c r="A948" s="97" t="s">
        <v>166</v>
      </c>
      <c r="B948" s="97" t="s">
        <v>15</v>
      </c>
      <c r="C948" s="97" t="s">
        <v>156</v>
      </c>
      <c r="D948" s="98">
        <v>148367.38265230501</v>
      </c>
      <c r="E948" s="98">
        <v>71370.431077335394</v>
      </c>
      <c r="F948" s="98">
        <v>77500.049998188697</v>
      </c>
    </row>
    <row r="949" spans="1:6" hidden="1" x14ac:dyDescent="0.2">
      <c r="A949" s="97" t="s">
        <v>166</v>
      </c>
      <c r="B949" s="97" t="s">
        <v>15</v>
      </c>
      <c r="C949" s="97" t="s">
        <v>157</v>
      </c>
      <c r="D949" s="99">
        <v>2.15451451799039</v>
      </c>
      <c r="E949" s="99">
        <v>2.35655365243929</v>
      </c>
      <c r="F949" s="99">
        <v>2.3784583937824602</v>
      </c>
    </row>
    <row r="950" spans="1:6" hidden="1" x14ac:dyDescent="0.2">
      <c r="A950" s="97" t="s">
        <v>166</v>
      </c>
      <c r="B950" s="97" t="s">
        <v>15</v>
      </c>
      <c r="C950" s="97" t="s">
        <v>158</v>
      </c>
      <c r="D950" s="99">
        <v>2.3634989845863301</v>
      </c>
      <c r="E950" s="99">
        <v>2.3821349626886499</v>
      </c>
      <c r="F950" s="99">
        <v>2.4322916044604899</v>
      </c>
    </row>
    <row r="951" spans="1:6" x14ac:dyDescent="0.2">
      <c r="A951" s="100" t="s">
        <v>166</v>
      </c>
      <c r="B951" s="100" t="s">
        <v>16</v>
      </c>
      <c r="C951" s="100" t="s">
        <v>153</v>
      </c>
      <c r="D951" s="101">
        <v>110170</v>
      </c>
      <c r="E951" s="101">
        <v>52790</v>
      </c>
      <c r="F951" s="101">
        <v>57380</v>
      </c>
    </row>
    <row r="952" spans="1:6" hidden="1" x14ac:dyDescent="0.2">
      <c r="A952" s="102" t="s">
        <v>166</v>
      </c>
      <c r="B952" s="102" t="s">
        <v>16</v>
      </c>
      <c r="C952" s="102" t="s">
        <v>154</v>
      </c>
      <c r="D952" s="103">
        <v>2579.7210524526799</v>
      </c>
      <c r="E952" s="103">
        <v>1282.44058600789</v>
      </c>
      <c r="F952" s="103">
        <v>1585.9727998186499</v>
      </c>
    </row>
    <row r="953" spans="1:6" hidden="1" x14ac:dyDescent="0.2">
      <c r="A953" s="102" t="s">
        <v>166</v>
      </c>
      <c r="B953" s="102" t="s">
        <v>16</v>
      </c>
      <c r="C953" s="102" t="s">
        <v>155</v>
      </c>
      <c r="D953" s="103">
        <v>105926.385812409</v>
      </c>
      <c r="E953" s="103">
        <v>50680.398630367199</v>
      </c>
      <c r="F953" s="103">
        <v>54771.091308866999</v>
      </c>
    </row>
    <row r="954" spans="1:6" hidden="1" x14ac:dyDescent="0.2">
      <c r="A954" s="102" t="s">
        <v>166</v>
      </c>
      <c r="B954" s="102" t="s">
        <v>16</v>
      </c>
      <c r="C954" s="102" t="s">
        <v>156</v>
      </c>
      <c r="D954" s="103">
        <v>114413.61418759001</v>
      </c>
      <c r="E954" s="103">
        <v>54899.601369632699</v>
      </c>
      <c r="F954" s="103">
        <v>59988.9086911329</v>
      </c>
    </row>
    <row r="955" spans="1:6" hidden="1" x14ac:dyDescent="0.2">
      <c r="A955" s="102" t="s">
        <v>166</v>
      </c>
      <c r="B955" s="102" t="s">
        <v>16</v>
      </c>
      <c r="C955" s="102" t="s">
        <v>157</v>
      </c>
      <c r="D955" s="104">
        <v>2.3415821480009802</v>
      </c>
      <c r="E955" s="104">
        <v>2.4293248456296599</v>
      </c>
      <c r="F955" s="104">
        <v>2.7639818749018001</v>
      </c>
    </row>
    <row r="956" spans="1:6" hidden="1" x14ac:dyDescent="0.2">
      <c r="A956" s="102" t="s">
        <v>166</v>
      </c>
      <c r="B956" s="102" t="s">
        <v>16</v>
      </c>
      <c r="C956" s="102" t="s">
        <v>158</v>
      </c>
      <c r="D956" s="104">
        <v>2.4070981639384001</v>
      </c>
      <c r="E956" s="104">
        <v>2.3433811546076599</v>
      </c>
      <c r="F956" s="104">
        <v>2.5468909771733399</v>
      </c>
    </row>
    <row r="957" spans="1:6" x14ac:dyDescent="0.2">
      <c r="A957" s="95" t="s">
        <v>166</v>
      </c>
      <c r="B957" s="95" t="s">
        <v>17</v>
      </c>
      <c r="C957" s="95" t="s">
        <v>153</v>
      </c>
      <c r="D957" s="96">
        <v>85781</v>
      </c>
      <c r="E957" s="96">
        <v>40073</v>
      </c>
      <c r="F957" s="96">
        <v>45708</v>
      </c>
    </row>
    <row r="958" spans="1:6" hidden="1" x14ac:dyDescent="0.2">
      <c r="A958" s="97" t="s">
        <v>166</v>
      </c>
      <c r="B958" s="97" t="s">
        <v>17</v>
      </c>
      <c r="C958" s="97" t="s">
        <v>154</v>
      </c>
      <c r="D958" s="98">
        <v>2017.3642738025801</v>
      </c>
      <c r="E958" s="98">
        <v>1058.1258550928901</v>
      </c>
      <c r="F958" s="98">
        <v>1265.9438174915699</v>
      </c>
    </row>
    <row r="959" spans="1:6" hidden="1" x14ac:dyDescent="0.2">
      <c r="A959" s="97" t="s">
        <v>166</v>
      </c>
      <c r="B959" s="97" t="s">
        <v>17</v>
      </c>
      <c r="C959" s="97" t="s">
        <v>155</v>
      </c>
      <c r="D959" s="98">
        <v>82462.456839797902</v>
      </c>
      <c r="E959" s="98">
        <v>38332.394019884799</v>
      </c>
      <c r="F959" s="98">
        <v>43625.535642277398</v>
      </c>
    </row>
    <row r="960" spans="1:6" hidden="1" x14ac:dyDescent="0.2">
      <c r="A960" s="97" t="s">
        <v>166</v>
      </c>
      <c r="B960" s="97" t="s">
        <v>17</v>
      </c>
      <c r="C960" s="97" t="s">
        <v>156</v>
      </c>
      <c r="D960" s="98">
        <v>89099.543160201996</v>
      </c>
      <c r="E960" s="98">
        <v>41813.605980115099</v>
      </c>
      <c r="F960" s="98">
        <v>47790.4643577225</v>
      </c>
    </row>
    <row r="961" spans="1:6" hidden="1" x14ac:dyDescent="0.2">
      <c r="A961" s="97" t="s">
        <v>166</v>
      </c>
      <c r="B961" s="97" t="s">
        <v>17</v>
      </c>
      <c r="C961" s="97" t="s">
        <v>157</v>
      </c>
      <c r="D961" s="99">
        <v>2.3517611986367402</v>
      </c>
      <c r="E961" s="99">
        <v>2.64049573301947</v>
      </c>
      <c r="F961" s="99">
        <v>2.76963292529003</v>
      </c>
    </row>
    <row r="962" spans="1:6" hidden="1" x14ac:dyDescent="0.2">
      <c r="A962" s="97" t="s">
        <v>166</v>
      </c>
      <c r="B962" s="97" t="s">
        <v>17</v>
      </c>
      <c r="C962" s="97" t="s">
        <v>158</v>
      </c>
      <c r="D962" s="99">
        <v>2.4035517271761102</v>
      </c>
      <c r="E962" s="99">
        <v>2.3974462866086101</v>
      </c>
      <c r="F962" s="99">
        <v>2.6208512215483202</v>
      </c>
    </row>
    <row r="963" spans="1:6" x14ac:dyDescent="0.2">
      <c r="A963" s="100" t="s">
        <v>166</v>
      </c>
      <c r="B963" s="100" t="s">
        <v>18</v>
      </c>
      <c r="C963" s="100" t="s">
        <v>153</v>
      </c>
      <c r="D963" s="101">
        <v>63482</v>
      </c>
      <c r="E963" s="101">
        <v>29831</v>
      </c>
      <c r="F963" s="101">
        <v>33651</v>
      </c>
    </row>
    <row r="964" spans="1:6" hidden="1" x14ac:dyDescent="0.2">
      <c r="A964" s="102" t="s">
        <v>166</v>
      </c>
      <c r="B964" s="102" t="s">
        <v>18</v>
      </c>
      <c r="C964" s="102" t="s">
        <v>154</v>
      </c>
      <c r="D964" s="103">
        <v>1602.4274729275601</v>
      </c>
      <c r="E964" s="103">
        <v>826.10295485545305</v>
      </c>
      <c r="F964" s="103">
        <v>1031.2294078994</v>
      </c>
    </row>
    <row r="965" spans="1:6" hidden="1" x14ac:dyDescent="0.2">
      <c r="A965" s="102" t="s">
        <v>166</v>
      </c>
      <c r="B965" s="102" t="s">
        <v>18</v>
      </c>
      <c r="C965" s="102" t="s">
        <v>155</v>
      </c>
      <c r="D965" s="103">
        <v>60846.023543462397</v>
      </c>
      <c r="E965" s="103">
        <v>28472.069267430401</v>
      </c>
      <c r="F965" s="103">
        <v>31954.638394600199</v>
      </c>
    </row>
    <row r="966" spans="1:6" hidden="1" x14ac:dyDescent="0.2">
      <c r="A966" s="102" t="s">
        <v>166</v>
      </c>
      <c r="B966" s="102" t="s">
        <v>18</v>
      </c>
      <c r="C966" s="102" t="s">
        <v>156</v>
      </c>
      <c r="D966" s="103">
        <v>66117.976456537595</v>
      </c>
      <c r="E966" s="103">
        <v>31189.930732569599</v>
      </c>
      <c r="F966" s="103">
        <v>35347.361605399703</v>
      </c>
    </row>
    <row r="967" spans="1:6" hidden="1" x14ac:dyDescent="0.2">
      <c r="A967" s="102" t="s">
        <v>166</v>
      </c>
      <c r="B967" s="102" t="s">
        <v>18</v>
      </c>
      <c r="C967" s="102" t="s">
        <v>157</v>
      </c>
      <c r="D967" s="104">
        <v>2.5242233592633601</v>
      </c>
      <c r="E967" s="104">
        <v>2.7692767753526599</v>
      </c>
      <c r="F967" s="104">
        <v>3.0644836940935001</v>
      </c>
    </row>
    <row r="968" spans="1:6" hidden="1" x14ac:dyDescent="0.2">
      <c r="A968" s="102" t="s">
        <v>166</v>
      </c>
      <c r="B968" s="102" t="s">
        <v>18</v>
      </c>
      <c r="C968" s="102" t="s">
        <v>158</v>
      </c>
      <c r="D968" s="104">
        <v>2.5185519007183301</v>
      </c>
      <c r="E968" s="104">
        <v>2.28858945835101</v>
      </c>
      <c r="F968" s="104">
        <v>2.8482604869630901</v>
      </c>
    </row>
    <row r="969" spans="1:6" x14ac:dyDescent="0.2">
      <c r="A969" s="95" t="s">
        <v>166</v>
      </c>
      <c r="B969" s="95" t="s">
        <v>19</v>
      </c>
      <c r="C969" s="95" t="s">
        <v>153</v>
      </c>
      <c r="D969" s="96">
        <v>82520</v>
      </c>
      <c r="E969" s="96">
        <v>38719</v>
      </c>
      <c r="F969" s="96">
        <v>43801</v>
      </c>
    </row>
    <row r="970" spans="1:6" hidden="1" x14ac:dyDescent="0.2">
      <c r="A970" s="97" t="s">
        <v>166</v>
      </c>
      <c r="B970" s="97" t="s">
        <v>19</v>
      </c>
      <c r="C970" s="97" t="s">
        <v>154</v>
      </c>
      <c r="D970" s="98">
        <v>1854.8847641053701</v>
      </c>
      <c r="E970" s="98">
        <v>986.07200922340405</v>
      </c>
      <c r="F970" s="98">
        <v>1126.1924973407699</v>
      </c>
    </row>
    <row r="971" spans="1:6" hidden="1" x14ac:dyDescent="0.2">
      <c r="A971" s="97" t="s">
        <v>166</v>
      </c>
      <c r="B971" s="97" t="s">
        <v>19</v>
      </c>
      <c r="C971" s="97" t="s">
        <v>155</v>
      </c>
      <c r="D971" s="98">
        <v>79468.733936245306</v>
      </c>
      <c r="E971" s="98">
        <v>37096.921843779302</v>
      </c>
      <c r="F971" s="98">
        <v>41948.4251043037</v>
      </c>
    </row>
    <row r="972" spans="1:6" hidden="1" x14ac:dyDescent="0.2">
      <c r="A972" s="97" t="s">
        <v>166</v>
      </c>
      <c r="B972" s="97" t="s">
        <v>19</v>
      </c>
      <c r="C972" s="97" t="s">
        <v>156</v>
      </c>
      <c r="D972" s="98">
        <v>85571.266063754607</v>
      </c>
      <c r="E972" s="98">
        <v>40341.078156220603</v>
      </c>
      <c r="F972" s="98">
        <v>45653.574895696198</v>
      </c>
    </row>
    <row r="973" spans="1:6" hidden="1" x14ac:dyDescent="0.2">
      <c r="A973" s="97" t="s">
        <v>166</v>
      </c>
      <c r="B973" s="97" t="s">
        <v>19</v>
      </c>
      <c r="C973" s="97" t="s">
        <v>157</v>
      </c>
      <c r="D973" s="99">
        <v>2.2478002473404901</v>
      </c>
      <c r="E973" s="99">
        <v>2.5467393507668099</v>
      </c>
      <c r="F973" s="99">
        <v>2.5711570451377099</v>
      </c>
    </row>
    <row r="974" spans="1:6" hidden="1" x14ac:dyDescent="0.2">
      <c r="A974" s="97" t="s">
        <v>166</v>
      </c>
      <c r="B974" s="97" t="s">
        <v>19</v>
      </c>
      <c r="C974" s="97" t="s">
        <v>158</v>
      </c>
      <c r="D974" s="99">
        <v>2.1353213896958199</v>
      </c>
      <c r="E974" s="99">
        <v>2.1174458193806198</v>
      </c>
      <c r="F974" s="99">
        <v>2.28419613271919</v>
      </c>
    </row>
    <row r="975" spans="1:6" x14ac:dyDescent="0.2">
      <c r="A975" s="100" t="s">
        <v>166</v>
      </c>
      <c r="B975" s="100" t="s">
        <v>20</v>
      </c>
      <c r="C975" s="100" t="s">
        <v>153</v>
      </c>
      <c r="D975" s="101">
        <v>1530</v>
      </c>
      <c r="E975" s="101">
        <v>764</v>
      </c>
      <c r="F975" s="101">
        <v>766</v>
      </c>
    </row>
    <row r="976" spans="1:6" hidden="1" x14ac:dyDescent="0.2">
      <c r="A976" s="102" t="s">
        <v>166</v>
      </c>
      <c r="B976" s="102" t="s">
        <v>20</v>
      </c>
      <c r="C976" s="102" t="s">
        <v>154</v>
      </c>
      <c r="D976" s="103">
        <v>160.091207872876</v>
      </c>
      <c r="E976" s="103">
        <v>102.887843918869</v>
      </c>
      <c r="F976" s="103">
        <v>99.232301716276794</v>
      </c>
    </row>
    <row r="977" spans="1:6" hidden="1" x14ac:dyDescent="0.2">
      <c r="A977" s="102" t="s">
        <v>166</v>
      </c>
      <c r="B977" s="102" t="s">
        <v>20</v>
      </c>
      <c r="C977" s="102" t="s">
        <v>155</v>
      </c>
      <c r="D977" s="103">
        <v>1266.6516351092</v>
      </c>
      <c r="E977" s="103">
        <v>594.75057135748796</v>
      </c>
      <c r="F977" s="103">
        <v>602.76390010072896</v>
      </c>
    </row>
    <row r="978" spans="1:6" hidden="1" x14ac:dyDescent="0.2">
      <c r="A978" s="102" t="s">
        <v>166</v>
      </c>
      <c r="B978" s="102" t="s">
        <v>20</v>
      </c>
      <c r="C978" s="102" t="s">
        <v>156</v>
      </c>
      <c r="D978" s="103">
        <v>1793.34836489079</v>
      </c>
      <c r="E978" s="103">
        <v>933.24942864251204</v>
      </c>
      <c r="F978" s="103">
        <v>929.23609989927104</v>
      </c>
    </row>
    <row r="979" spans="1:6" hidden="1" x14ac:dyDescent="0.2">
      <c r="A979" s="102" t="s">
        <v>166</v>
      </c>
      <c r="B979" s="102" t="s">
        <v>20</v>
      </c>
      <c r="C979" s="102" t="s">
        <v>157</v>
      </c>
      <c r="D979" s="104">
        <v>10.463477638750099</v>
      </c>
      <c r="E979" s="104">
        <v>13.466995277338899</v>
      </c>
      <c r="F979" s="104">
        <v>12.954608579148401</v>
      </c>
    </row>
    <row r="980" spans="1:6" hidden="1" x14ac:dyDescent="0.2">
      <c r="A980" s="102" t="s">
        <v>166</v>
      </c>
      <c r="B980" s="102" t="s">
        <v>20</v>
      </c>
      <c r="C980" s="102" t="s">
        <v>158</v>
      </c>
      <c r="D980" s="104">
        <v>2.4748767911986702</v>
      </c>
      <c r="E980" s="104">
        <v>2.5038901807765499</v>
      </c>
      <c r="F980" s="104">
        <v>2.2053479250218899</v>
      </c>
    </row>
    <row r="981" spans="1:6" hidden="1" x14ac:dyDescent="0.2">
      <c r="A981" s="95" t="s">
        <v>167</v>
      </c>
      <c r="B981" s="95" t="s">
        <v>152</v>
      </c>
      <c r="C981" s="95" t="s">
        <v>153</v>
      </c>
      <c r="D981" s="96">
        <v>8918653</v>
      </c>
      <c r="E981" s="96">
        <v>4231650</v>
      </c>
      <c r="F981" s="96">
        <v>4687003</v>
      </c>
    </row>
    <row r="982" spans="1:6" hidden="1" x14ac:dyDescent="0.2">
      <c r="A982" s="97" t="s">
        <v>167</v>
      </c>
      <c r="B982" s="97" t="s">
        <v>152</v>
      </c>
      <c r="C982" s="97" t="s">
        <v>154</v>
      </c>
      <c r="D982" s="98">
        <v>135112.168804705</v>
      </c>
      <c r="E982" s="98">
        <v>64630.7993866096</v>
      </c>
      <c r="F982" s="98">
        <v>71176.259058363197</v>
      </c>
    </row>
    <row r="983" spans="1:6" hidden="1" x14ac:dyDescent="0.2">
      <c r="A983" s="97" t="s">
        <v>167</v>
      </c>
      <c r="B983" s="97" t="s">
        <v>152</v>
      </c>
      <c r="C983" s="97" t="s">
        <v>155</v>
      </c>
      <c r="D983" s="98">
        <v>8696349.4415475205</v>
      </c>
      <c r="E983" s="98">
        <v>4125311.2681420301</v>
      </c>
      <c r="F983" s="98">
        <v>4569894.8534430396</v>
      </c>
    </row>
    <row r="984" spans="1:6" hidden="1" x14ac:dyDescent="0.2">
      <c r="A984" s="97" t="s">
        <v>167</v>
      </c>
      <c r="B984" s="97" t="s">
        <v>152</v>
      </c>
      <c r="C984" s="97" t="s">
        <v>156</v>
      </c>
      <c r="D984" s="98">
        <v>9140956.5584524702</v>
      </c>
      <c r="E984" s="98">
        <v>4337988.7318579601</v>
      </c>
      <c r="F984" s="98">
        <v>4804111.1465569502</v>
      </c>
    </row>
    <row r="985" spans="1:6" hidden="1" x14ac:dyDescent="0.2">
      <c r="A985" s="97" t="s">
        <v>167</v>
      </c>
      <c r="B985" s="97" t="s">
        <v>152</v>
      </c>
      <c r="C985" s="97" t="s">
        <v>157</v>
      </c>
      <c r="D985" s="99">
        <v>1.51493918201218</v>
      </c>
      <c r="E985" s="99">
        <v>1.52731911634018</v>
      </c>
      <c r="F985" s="99">
        <v>1.51858787072172</v>
      </c>
    </row>
    <row r="986" spans="1:6" hidden="1" x14ac:dyDescent="0.2">
      <c r="A986" s="97" t="s">
        <v>167</v>
      </c>
      <c r="B986" s="97" t="s">
        <v>152</v>
      </c>
      <c r="C986" s="97" t="s">
        <v>158</v>
      </c>
      <c r="D986" s="99">
        <v>0.76649885907436999</v>
      </c>
      <c r="E986" s="99">
        <v>0.51491244500474997</v>
      </c>
      <c r="F986" s="99">
        <v>0.51569501201741996</v>
      </c>
    </row>
    <row r="987" spans="1:6" hidden="1" x14ac:dyDescent="0.2">
      <c r="A987" s="100" t="s">
        <v>167</v>
      </c>
      <c r="B987" s="100" t="s">
        <v>4</v>
      </c>
      <c r="C987" s="100" t="s">
        <v>153</v>
      </c>
      <c r="D987" s="101">
        <v>542977</v>
      </c>
      <c r="E987" s="101">
        <v>277904</v>
      </c>
      <c r="F987" s="101">
        <v>265073</v>
      </c>
    </row>
    <row r="988" spans="1:6" hidden="1" x14ac:dyDescent="0.2">
      <c r="A988" s="102" t="s">
        <v>167</v>
      </c>
      <c r="B988" s="102" t="s">
        <v>4</v>
      </c>
      <c r="C988" s="102" t="s">
        <v>154</v>
      </c>
      <c r="D988" s="103">
        <v>10262.096490227699</v>
      </c>
      <c r="E988" s="103">
        <v>5579.1756099527402</v>
      </c>
      <c r="F988" s="103">
        <v>5361.3113448303002</v>
      </c>
    </row>
    <row r="989" spans="1:6" hidden="1" x14ac:dyDescent="0.2">
      <c r="A989" s="102" t="s">
        <v>167</v>
      </c>
      <c r="B989" s="102" t="s">
        <v>4</v>
      </c>
      <c r="C989" s="102" t="s">
        <v>155</v>
      </c>
      <c r="D989" s="103">
        <v>526092.50627051305</v>
      </c>
      <c r="E989" s="103">
        <v>268724.43754980701</v>
      </c>
      <c r="F989" s="103">
        <v>256251.89528033399</v>
      </c>
    </row>
    <row r="990" spans="1:6" hidden="1" x14ac:dyDescent="0.2">
      <c r="A990" s="102" t="s">
        <v>167</v>
      </c>
      <c r="B990" s="102" t="s">
        <v>4</v>
      </c>
      <c r="C990" s="102" t="s">
        <v>156</v>
      </c>
      <c r="D990" s="103">
        <v>559861.49372948601</v>
      </c>
      <c r="E990" s="103">
        <v>287083.562450192</v>
      </c>
      <c r="F990" s="103">
        <v>273894.10471966502</v>
      </c>
    </row>
    <row r="991" spans="1:6" hidden="1" x14ac:dyDescent="0.2">
      <c r="A991" s="102" t="s">
        <v>167</v>
      </c>
      <c r="B991" s="102" t="s">
        <v>4</v>
      </c>
      <c r="C991" s="102" t="s">
        <v>157</v>
      </c>
      <c r="D991" s="104">
        <v>1.8899689103272801</v>
      </c>
      <c r="E991" s="104">
        <v>2.0075909702460999</v>
      </c>
      <c r="F991" s="104">
        <v>2.0225791932148098</v>
      </c>
    </row>
    <row r="992" spans="1:6" hidden="1" x14ac:dyDescent="0.2">
      <c r="A992" s="102" t="s">
        <v>167</v>
      </c>
      <c r="B992" s="102" t="s">
        <v>4</v>
      </c>
      <c r="C992" s="102" t="s">
        <v>158</v>
      </c>
      <c r="D992" s="104">
        <v>0.48392212702963999</v>
      </c>
      <c r="E992" s="104">
        <v>0.5282723647641</v>
      </c>
      <c r="F992" s="104">
        <v>0.52348237778239004</v>
      </c>
    </row>
    <row r="993" spans="1:6" hidden="1" x14ac:dyDescent="0.2">
      <c r="A993" s="95" t="s">
        <v>167</v>
      </c>
      <c r="B993" s="95" t="s">
        <v>5</v>
      </c>
      <c r="C993" s="95" t="s">
        <v>153</v>
      </c>
      <c r="D993" s="96">
        <v>605859</v>
      </c>
      <c r="E993" s="96">
        <v>308457</v>
      </c>
      <c r="F993" s="96">
        <v>297402</v>
      </c>
    </row>
    <row r="994" spans="1:6" hidden="1" x14ac:dyDescent="0.2">
      <c r="A994" s="97" t="s">
        <v>167</v>
      </c>
      <c r="B994" s="97" t="s">
        <v>5</v>
      </c>
      <c r="C994" s="97" t="s">
        <v>154</v>
      </c>
      <c r="D994" s="98">
        <v>11182.2705219656</v>
      </c>
      <c r="E994" s="98">
        <v>6024.2851213855001</v>
      </c>
      <c r="F994" s="98">
        <v>5956.2031538965302</v>
      </c>
    </row>
    <row r="995" spans="1:6" hidden="1" x14ac:dyDescent="0.2">
      <c r="A995" s="97" t="s">
        <v>167</v>
      </c>
      <c r="B995" s="97" t="s">
        <v>5</v>
      </c>
      <c r="C995" s="97" t="s">
        <v>155</v>
      </c>
      <c r="D995" s="98">
        <v>587460.52005105896</v>
      </c>
      <c r="E995" s="98">
        <v>298545.08731690102</v>
      </c>
      <c r="F995" s="98">
        <v>287602.10434522002</v>
      </c>
    </row>
    <row r="996" spans="1:6" hidden="1" x14ac:dyDescent="0.2">
      <c r="A996" s="97" t="s">
        <v>167</v>
      </c>
      <c r="B996" s="97" t="s">
        <v>5</v>
      </c>
      <c r="C996" s="97" t="s">
        <v>156</v>
      </c>
      <c r="D996" s="98">
        <v>624257.47994893999</v>
      </c>
      <c r="E996" s="98">
        <v>318368.91268309799</v>
      </c>
      <c r="F996" s="98">
        <v>307201.89565477899</v>
      </c>
    </row>
    <row r="997" spans="1:6" hidden="1" x14ac:dyDescent="0.2">
      <c r="A997" s="97" t="s">
        <v>167</v>
      </c>
      <c r="B997" s="97" t="s">
        <v>5</v>
      </c>
      <c r="C997" s="97" t="s">
        <v>157</v>
      </c>
      <c r="D997" s="99">
        <v>1.8456886044385901</v>
      </c>
      <c r="E997" s="99">
        <v>1.95303887458722</v>
      </c>
      <c r="F997" s="99">
        <v>2.00274482145262</v>
      </c>
    </row>
    <row r="998" spans="1:6" hidden="1" x14ac:dyDescent="0.2">
      <c r="A998" s="97" t="s">
        <v>167</v>
      </c>
      <c r="B998" s="97" t="s">
        <v>5</v>
      </c>
      <c r="C998" s="97" t="s">
        <v>158</v>
      </c>
      <c r="D998" s="99">
        <v>0.49360529111857998</v>
      </c>
      <c r="E998" s="99">
        <v>0.52514689448884</v>
      </c>
      <c r="F998" s="99">
        <v>0.56053124101733998</v>
      </c>
    </row>
    <row r="999" spans="1:6" hidden="1" x14ac:dyDescent="0.2">
      <c r="A999" s="100" t="s">
        <v>167</v>
      </c>
      <c r="B999" s="100" t="s">
        <v>6</v>
      </c>
      <c r="C999" s="100" t="s">
        <v>153</v>
      </c>
      <c r="D999" s="101">
        <v>631136</v>
      </c>
      <c r="E999" s="101">
        <v>319532</v>
      </c>
      <c r="F999" s="101">
        <v>311604</v>
      </c>
    </row>
    <row r="1000" spans="1:6" hidden="1" x14ac:dyDescent="0.2">
      <c r="A1000" s="102" t="s">
        <v>167</v>
      </c>
      <c r="B1000" s="102" t="s">
        <v>6</v>
      </c>
      <c r="C1000" s="102" t="s">
        <v>154</v>
      </c>
      <c r="D1000" s="103">
        <v>11336.9152466877</v>
      </c>
      <c r="E1000" s="103">
        <v>6227.2221810702003</v>
      </c>
      <c r="F1000" s="103">
        <v>5938.8861213774198</v>
      </c>
    </row>
    <row r="1001" spans="1:6" hidden="1" x14ac:dyDescent="0.2">
      <c r="A1001" s="102" t="s">
        <v>167</v>
      </c>
      <c r="B1001" s="102" t="s">
        <v>6</v>
      </c>
      <c r="C1001" s="102" t="s">
        <v>155</v>
      </c>
      <c r="D1001" s="103">
        <v>612483.07907134795</v>
      </c>
      <c r="E1001" s="103">
        <v>309286.189704947</v>
      </c>
      <c r="F1001" s="103">
        <v>301832.59650832298</v>
      </c>
    </row>
    <row r="1002" spans="1:6" hidden="1" x14ac:dyDescent="0.2">
      <c r="A1002" s="102" t="s">
        <v>167</v>
      </c>
      <c r="B1002" s="102" t="s">
        <v>6</v>
      </c>
      <c r="C1002" s="102" t="s">
        <v>156</v>
      </c>
      <c r="D1002" s="103">
        <v>649788.92092865205</v>
      </c>
      <c r="E1002" s="103">
        <v>329777.81029505201</v>
      </c>
      <c r="F1002" s="103">
        <v>321375.40349167603</v>
      </c>
    </row>
    <row r="1003" spans="1:6" hidden="1" x14ac:dyDescent="0.2">
      <c r="A1003" s="102" t="s">
        <v>167</v>
      </c>
      <c r="B1003" s="102" t="s">
        <v>6</v>
      </c>
      <c r="C1003" s="102" t="s">
        <v>157</v>
      </c>
      <c r="D1003" s="104">
        <v>1.79627136571004</v>
      </c>
      <c r="E1003" s="104">
        <v>1.94885713514458</v>
      </c>
      <c r="F1003" s="104">
        <v>1.90590817877094</v>
      </c>
    </row>
    <row r="1004" spans="1:6" hidden="1" x14ac:dyDescent="0.2">
      <c r="A1004" s="102" t="s">
        <v>167</v>
      </c>
      <c r="B1004" s="102" t="s">
        <v>6</v>
      </c>
      <c r="C1004" s="102" t="s">
        <v>158</v>
      </c>
      <c r="D1004" s="104">
        <v>0.4736698991553</v>
      </c>
      <c r="E1004" s="104">
        <v>0.52845480522160004</v>
      </c>
      <c r="F1004" s="104">
        <v>0.51275223604982001</v>
      </c>
    </row>
    <row r="1005" spans="1:6" hidden="1" x14ac:dyDescent="0.2">
      <c r="A1005" s="95" t="s">
        <v>167</v>
      </c>
      <c r="B1005" s="95" t="s">
        <v>7</v>
      </c>
      <c r="C1005" s="95" t="s">
        <v>153</v>
      </c>
      <c r="D1005" s="96">
        <v>650509</v>
      </c>
      <c r="E1005" s="96">
        <v>325388</v>
      </c>
      <c r="F1005" s="96">
        <v>325121</v>
      </c>
    </row>
    <row r="1006" spans="1:6" hidden="1" x14ac:dyDescent="0.2">
      <c r="A1006" s="97" t="s">
        <v>167</v>
      </c>
      <c r="B1006" s="97" t="s">
        <v>7</v>
      </c>
      <c r="C1006" s="97" t="s">
        <v>154</v>
      </c>
      <c r="D1006" s="98">
        <v>11105.0917642079</v>
      </c>
      <c r="E1006" s="98">
        <v>5876.6741243282804</v>
      </c>
      <c r="F1006" s="98">
        <v>6017.6203677699696</v>
      </c>
    </row>
    <row r="1007" spans="1:6" hidden="1" x14ac:dyDescent="0.2">
      <c r="A1007" s="97" t="s">
        <v>167</v>
      </c>
      <c r="B1007" s="97" t="s">
        <v>7</v>
      </c>
      <c r="C1007" s="97" t="s">
        <v>155</v>
      </c>
      <c r="D1007" s="98">
        <v>632237.50426453399</v>
      </c>
      <c r="E1007" s="98">
        <v>315718.95552190999</v>
      </c>
      <c r="F1007" s="98">
        <v>315220.05300902203</v>
      </c>
    </row>
    <row r="1008" spans="1:6" hidden="1" x14ac:dyDescent="0.2">
      <c r="A1008" s="97" t="s">
        <v>167</v>
      </c>
      <c r="B1008" s="97" t="s">
        <v>7</v>
      </c>
      <c r="C1008" s="97" t="s">
        <v>156</v>
      </c>
      <c r="D1008" s="98">
        <v>668780.49573546601</v>
      </c>
      <c r="E1008" s="98">
        <v>335057.04447808902</v>
      </c>
      <c r="F1008" s="98">
        <v>335021.94699097698</v>
      </c>
    </row>
    <row r="1009" spans="1:6" hidden="1" x14ac:dyDescent="0.2">
      <c r="A1009" s="97" t="s">
        <v>167</v>
      </c>
      <c r="B1009" s="97" t="s">
        <v>7</v>
      </c>
      <c r="C1009" s="97" t="s">
        <v>157</v>
      </c>
      <c r="D1009" s="99">
        <v>1.7071388350058101</v>
      </c>
      <c r="E1009" s="99">
        <v>1.80605127550133</v>
      </c>
      <c r="F1009" s="99">
        <v>1.85088639853161</v>
      </c>
    </row>
    <row r="1010" spans="1:6" hidden="1" x14ac:dyDescent="0.2">
      <c r="A1010" s="97" t="s">
        <v>167</v>
      </c>
      <c r="B1010" s="97" t="s">
        <v>7</v>
      </c>
      <c r="C1010" s="97" t="s">
        <v>158</v>
      </c>
      <c r="D1010" s="99">
        <v>0.44582280663179003</v>
      </c>
      <c r="E1010" s="99">
        <v>0.48126310358593999</v>
      </c>
      <c r="F1010" s="99">
        <v>0.49866067815367998</v>
      </c>
    </row>
    <row r="1011" spans="1:6" hidden="1" x14ac:dyDescent="0.2">
      <c r="A1011" s="100" t="s">
        <v>167</v>
      </c>
      <c r="B1011" s="100" t="s">
        <v>8</v>
      </c>
      <c r="C1011" s="100" t="s">
        <v>153</v>
      </c>
      <c r="D1011" s="101">
        <v>746606</v>
      </c>
      <c r="E1011" s="101">
        <v>372050</v>
      </c>
      <c r="F1011" s="101">
        <v>374556</v>
      </c>
    </row>
    <row r="1012" spans="1:6" hidden="1" x14ac:dyDescent="0.2">
      <c r="A1012" s="102" t="s">
        <v>167</v>
      </c>
      <c r="B1012" s="102" t="s">
        <v>8</v>
      </c>
      <c r="C1012" s="102" t="s">
        <v>154</v>
      </c>
      <c r="D1012" s="103">
        <v>12745.857293369399</v>
      </c>
      <c r="E1012" s="103">
        <v>6825.2170473544502</v>
      </c>
      <c r="F1012" s="103">
        <v>6752.1820267269004</v>
      </c>
    </row>
    <row r="1013" spans="1:6" hidden="1" x14ac:dyDescent="0.2">
      <c r="A1013" s="102" t="s">
        <v>167</v>
      </c>
      <c r="B1013" s="102" t="s">
        <v>8</v>
      </c>
      <c r="C1013" s="102" t="s">
        <v>155</v>
      </c>
      <c r="D1013" s="103">
        <v>725634.91014991305</v>
      </c>
      <c r="E1013" s="103">
        <v>360820.29322924599</v>
      </c>
      <c r="F1013" s="103">
        <v>363446.45964446099</v>
      </c>
    </row>
    <row r="1014" spans="1:6" hidden="1" x14ac:dyDescent="0.2">
      <c r="A1014" s="102" t="s">
        <v>167</v>
      </c>
      <c r="B1014" s="102" t="s">
        <v>8</v>
      </c>
      <c r="C1014" s="102" t="s">
        <v>156</v>
      </c>
      <c r="D1014" s="103">
        <v>767577.08985008602</v>
      </c>
      <c r="E1014" s="103">
        <v>383279.70677075302</v>
      </c>
      <c r="F1014" s="103">
        <v>385665.54035553802</v>
      </c>
    </row>
    <row r="1015" spans="1:6" hidden="1" x14ac:dyDescent="0.2">
      <c r="A1015" s="102" t="s">
        <v>167</v>
      </c>
      <c r="B1015" s="102" t="s">
        <v>8</v>
      </c>
      <c r="C1015" s="102" t="s">
        <v>157</v>
      </c>
      <c r="D1015" s="104">
        <v>1.70717316675321</v>
      </c>
      <c r="E1015" s="104">
        <v>1.83448919428959</v>
      </c>
      <c r="F1015" s="104">
        <v>1.80271628988106</v>
      </c>
    </row>
    <row r="1016" spans="1:6" hidden="1" x14ac:dyDescent="0.2">
      <c r="A1016" s="102" t="s">
        <v>167</v>
      </c>
      <c r="B1016" s="102" t="s">
        <v>8</v>
      </c>
      <c r="C1016" s="102" t="s">
        <v>158</v>
      </c>
      <c r="D1016" s="104">
        <v>0.46210738521939998</v>
      </c>
      <c r="E1016" s="104">
        <v>0.50837938447316</v>
      </c>
      <c r="F1016" s="104">
        <v>0.50092050449666004</v>
      </c>
    </row>
    <row r="1017" spans="1:6" hidden="1" x14ac:dyDescent="0.2">
      <c r="A1017" s="95" t="s">
        <v>167</v>
      </c>
      <c r="B1017" s="95" t="s">
        <v>9</v>
      </c>
      <c r="C1017" s="95" t="s">
        <v>153</v>
      </c>
      <c r="D1017" s="96">
        <v>715250</v>
      </c>
      <c r="E1017" s="96">
        <v>346778</v>
      </c>
      <c r="F1017" s="96">
        <v>368472</v>
      </c>
    </row>
    <row r="1018" spans="1:6" hidden="1" x14ac:dyDescent="0.2">
      <c r="A1018" s="97" t="s">
        <v>167</v>
      </c>
      <c r="B1018" s="97" t="s">
        <v>9</v>
      </c>
      <c r="C1018" s="97" t="s">
        <v>154</v>
      </c>
      <c r="D1018" s="98">
        <v>12390.387947896101</v>
      </c>
      <c r="E1018" s="98">
        <v>6405.9296670030999</v>
      </c>
      <c r="F1018" s="98">
        <v>6715.1433667686997</v>
      </c>
    </row>
    <row r="1019" spans="1:6" hidden="1" x14ac:dyDescent="0.2">
      <c r="A1019" s="97" t="s">
        <v>167</v>
      </c>
      <c r="B1019" s="97" t="s">
        <v>9</v>
      </c>
      <c r="C1019" s="97" t="s">
        <v>155</v>
      </c>
      <c r="D1019" s="98">
        <v>694863.77309096896</v>
      </c>
      <c r="E1019" s="98">
        <v>336238.15763961599</v>
      </c>
      <c r="F1019" s="98">
        <v>357423.40031310602</v>
      </c>
    </row>
    <row r="1020" spans="1:6" hidden="1" x14ac:dyDescent="0.2">
      <c r="A1020" s="97" t="s">
        <v>167</v>
      </c>
      <c r="B1020" s="97" t="s">
        <v>9</v>
      </c>
      <c r="C1020" s="97" t="s">
        <v>156</v>
      </c>
      <c r="D1020" s="98">
        <v>735636.22690903104</v>
      </c>
      <c r="E1020" s="98">
        <v>357317.84236038302</v>
      </c>
      <c r="F1020" s="98">
        <v>379520.59968689398</v>
      </c>
    </row>
    <row r="1021" spans="1:6" hidden="1" x14ac:dyDescent="0.2">
      <c r="A1021" s="97" t="s">
        <v>167</v>
      </c>
      <c r="B1021" s="97" t="s">
        <v>9</v>
      </c>
      <c r="C1021" s="97" t="s">
        <v>157</v>
      </c>
      <c r="D1021" s="99">
        <v>1.73231568652864</v>
      </c>
      <c r="E1021" s="99">
        <v>1.84727106881148</v>
      </c>
      <c r="F1021" s="99">
        <v>1.82242975497967</v>
      </c>
    </row>
    <row r="1022" spans="1:6" hidden="1" x14ac:dyDescent="0.2">
      <c r="A1022" s="97" t="s">
        <v>167</v>
      </c>
      <c r="B1022" s="97" t="s">
        <v>9</v>
      </c>
      <c r="C1022" s="97" t="s">
        <v>158</v>
      </c>
      <c r="D1022" s="99">
        <v>0.46335844409741</v>
      </c>
      <c r="E1022" s="99">
        <v>0.51123765251313003</v>
      </c>
      <c r="F1022" s="99">
        <v>0.49335627698503998</v>
      </c>
    </row>
    <row r="1023" spans="1:6" hidden="1" x14ac:dyDescent="0.2">
      <c r="A1023" s="100" t="s">
        <v>167</v>
      </c>
      <c r="B1023" s="100" t="s">
        <v>10</v>
      </c>
      <c r="C1023" s="100" t="s">
        <v>153</v>
      </c>
      <c r="D1023" s="101">
        <v>721733</v>
      </c>
      <c r="E1023" s="101">
        <v>346186</v>
      </c>
      <c r="F1023" s="101">
        <v>375547</v>
      </c>
    </row>
    <row r="1024" spans="1:6" hidden="1" x14ac:dyDescent="0.2">
      <c r="A1024" s="102" t="s">
        <v>167</v>
      </c>
      <c r="B1024" s="102" t="s">
        <v>10</v>
      </c>
      <c r="C1024" s="102" t="s">
        <v>154</v>
      </c>
      <c r="D1024" s="103">
        <v>12728.4106316294</v>
      </c>
      <c r="E1024" s="103">
        <v>6498.1025982723104</v>
      </c>
      <c r="F1024" s="103">
        <v>6883.2722252343101</v>
      </c>
    </row>
    <row r="1025" spans="1:6" hidden="1" x14ac:dyDescent="0.2">
      <c r="A1025" s="102" t="s">
        <v>167</v>
      </c>
      <c r="B1025" s="102" t="s">
        <v>10</v>
      </c>
      <c r="C1025" s="102" t="s">
        <v>155</v>
      </c>
      <c r="D1025" s="103">
        <v>700790.61559533898</v>
      </c>
      <c r="E1025" s="103">
        <v>335494.50312325801</v>
      </c>
      <c r="F1025" s="103">
        <v>364221.77353813697</v>
      </c>
    </row>
    <row r="1026" spans="1:6" hidden="1" x14ac:dyDescent="0.2">
      <c r="A1026" s="102" t="s">
        <v>167</v>
      </c>
      <c r="B1026" s="102" t="s">
        <v>10</v>
      </c>
      <c r="C1026" s="102" t="s">
        <v>156</v>
      </c>
      <c r="D1026" s="103">
        <v>742675.38440466102</v>
      </c>
      <c r="E1026" s="103">
        <v>356877.496876741</v>
      </c>
      <c r="F1026" s="103">
        <v>386872.22646186198</v>
      </c>
    </row>
    <row r="1027" spans="1:6" hidden="1" x14ac:dyDescent="0.2">
      <c r="A1027" s="102" t="s">
        <v>167</v>
      </c>
      <c r="B1027" s="102" t="s">
        <v>10</v>
      </c>
      <c r="C1027" s="102" t="s">
        <v>157</v>
      </c>
      <c r="D1027" s="104">
        <v>1.7635899469234999</v>
      </c>
      <c r="E1027" s="104">
        <v>1.8770552819213699</v>
      </c>
      <c r="F1027" s="104">
        <v>1.8328657199323399</v>
      </c>
    </row>
    <row r="1028" spans="1:6" hidden="1" x14ac:dyDescent="0.2">
      <c r="A1028" s="102" t="s">
        <v>167</v>
      </c>
      <c r="B1028" s="102" t="s">
        <v>10</v>
      </c>
      <c r="C1028" s="102" t="s">
        <v>158</v>
      </c>
      <c r="D1028" s="104">
        <v>0.47505858564089998</v>
      </c>
      <c r="E1028" s="104">
        <v>0.52334245078218999</v>
      </c>
      <c r="F1028" s="104">
        <v>0.49635808307933998</v>
      </c>
    </row>
    <row r="1029" spans="1:6" hidden="1" x14ac:dyDescent="0.2">
      <c r="A1029" s="95" t="s">
        <v>167</v>
      </c>
      <c r="B1029" s="95" t="s">
        <v>11</v>
      </c>
      <c r="C1029" s="95" t="s">
        <v>153</v>
      </c>
      <c r="D1029" s="96">
        <v>688260</v>
      </c>
      <c r="E1029" s="96">
        <v>322733</v>
      </c>
      <c r="F1029" s="96">
        <v>365527</v>
      </c>
    </row>
    <row r="1030" spans="1:6" hidden="1" x14ac:dyDescent="0.2">
      <c r="A1030" s="97" t="s">
        <v>167</v>
      </c>
      <c r="B1030" s="97" t="s">
        <v>11</v>
      </c>
      <c r="C1030" s="97" t="s">
        <v>154</v>
      </c>
      <c r="D1030" s="98">
        <v>11928.526948496199</v>
      </c>
      <c r="E1030" s="98">
        <v>5946.0477772704699</v>
      </c>
      <c r="F1030" s="98">
        <v>6641.7694812029804</v>
      </c>
    </row>
    <row r="1031" spans="1:6" hidden="1" x14ac:dyDescent="0.2">
      <c r="A1031" s="97" t="s">
        <v>167</v>
      </c>
      <c r="B1031" s="97" t="s">
        <v>11</v>
      </c>
      <c r="C1031" s="97" t="s">
        <v>155</v>
      </c>
      <c r="D1031" s="98">
        <v>668633.68498184695</v>
      </c>
      <c r="E1031" s="98">
        <v>312949.81324998703</v>
      </c>
      <c r="F1031" s="98">
        <v>354599.12427159899</v>
      </c>
    </row>
    <row r="1032" spans="1:6" hidden="1" x14ac:dyDescent="0.2">
      <c r="A1032" s="97" t="s">
        <v>167</v>
      </c>
      <c r="B1032" s="97" t="s">
        <v>11</v>
      </c>
      <c r="C1032" s="97" t="s">
        <v>156</v>
      </c>
      <c r="D1032" s="98">
        <v>707886.315018152</v>
      </c>
      <c r="E1032" s="98">
        <v>332516.18675001198</v>
      </c>
      <c r="F1032" s="98">
        <v>376454.87572840002</v>
      </c>
    </row>
    <row r="1033" spans="1:6" hidden="1" x14ac:dyDescent="0.2">
      <c r="A1033" s="97" t="s">
        <v>167</v>
      </c>
      <c r="B1033" s="97" t="s">
        <v>11</v>
      </c>
      <c r="C1033" s="97" t="s">
        <v>157</v>
      </c>
      <c r="D1033" s="99">
        <v>1.7331425549205499</v>
      </c>
      <c r="E1033" s="99">
        <v>1.8424046432408401</v>
      </c>
      <c r="F1033" s="99">
        <v>1.8170393654102099</v>
      </c>
    </row>
    <row r="1034" spans="1:6" hidden="1" x14ac:dyDescent="0.2">
      <c r="A1034" s="97" t="s">
        <v>167</v>
      </c>
      <c r="B1034" s="97" t="s">
        <v>11</v>
      </c>
      <c r="C1034" s="97" t="s">
        <v>158</v>
      </c>
      <c r="D1034" s="99">
        <v>0.46146176874104</v>
      </c>
      <c r="E1034" s="99">
        <v>0.50262039234557998</v>
      </c>
      <c r="F1034" s="99">
        <v>0.49286889348356999</v>
      </c>
    </row>
    <row r="1035" spans="1:6" hidden="1" x14ac:dyDescent="0.2">
      <c r="A1035" s="100" t="s">
        <v>167</v>
      </c>
      <c r="B1035" s="100" t="s">
        <v>12</v>
      </c>
      <c r="C1035" s="100" t="s">
        <v>153</v>
      </c>
      <c r="D1035" s="101">
        <v>691609</v>
      </c>
      <c r="E1035" s="101">
        <v>319481</v>
      </c>
      <c r="F1035" s="101">
        <v>372128</v>
      </c>
    </row>
    <row r="1036" spans="1:6" hidden="1" x14ac:dyDescent="0.2">
      <c r="A1036" s="102" t="s">
        <v>167</v>
      </c>
      <c r="B1036" s="102" t="s">
        <v>12</v>
      </c>
      <c r="C1036" s="102" t="s">
        <v>154</v>
      </c>
      <c r="D1036" s="103">
        <v>11840.558208266501</v>
      </c>
      <c r="E1036" s="103">
        <v>5708.0298476634298</v>
      </c>
      <c r="F1036" s="103">
        <v>6782.5212151311098</v>
      </c>
    </row>
    <row r="1037" spans="1:6" hidden="1" x14ac:dyDescent="0.2">
      <c r="A1037" s="102" t="s">
        <v>167</v>
      </c>
      <c r="B1037" s="102" t="s">
        <v>12</v>
      </c>
      <c r="C1037" s="102" t="s">
        <v>155</v>
      </c>
      <c r="D1037" s="103">
        <v>672127.42223355896</v>
      </c>
      <c r="E1037" s="103">
        <v>310089.430327821</v>
      </c>
      <c r="F1037" s="103">
        <v>360968.54179026198</v>
      </c>
    </row>
    <row r="1038" spans="1:6" hidden="1" x14ac:dyDescent="0.2">
      <c r="A1038" s="102" t="s">
        <v>167</v>
      </c>
      <c r="B1038" s="102" t="s">
        <v>12</v>
      </c>
      <c r="C1038" s="102" t="s">
        <v>156</v>
      </c>
      <c r="D1038" s="103">
        <v>711090.57776643999</v>
      </c>
      <c r="E1038" s="103">
        <v>328872.56967217801</v>
      </c>
      <c r="F1038" s="103">
        <v>383287.45820973697</v>
      </c>
    </row>
    <row r="1039" spans="1:6" hidden="1" x14ac:dyDescent="0.2">
      <c r="A1039" s="102" t="s">
        <v>167</v>
      </c>
      <c r="B1039" s="102" t="s">
        <v>12</v>
      </c>
      <c r="C1039" s="102" t="s">
        <v>157</v>
      </c>
      <c r="D1039" s="104">
        <v>1.71203067170417</v>
      </c>
      <c r="E1039" s="104">
        <v>1.7866570618169499</v>
      </c>
      <c r="F1039" s="104">
        <v>1.82263124922905</v>
      </c>
    </row>
    <row r="1040" spans="1:6" hidden="1" x14ac:dyDescent="0.2">
      <c r="A1040" s="102" t="s">
        <v>167</v>
      </c>
      <c r="B1040" s="102" t="s">
        <v>12</v>
      </c>
      <c r="C1040" s="102" t="s">
        <v>158</v>
      </c>
      <c r="D1040" s="104">
        <v>0.46342353108190998</v>
      </c>
      <c r="E1040" s="104">
        <v>0.48318345890397002</v>
      </c>
      <c r="F1040" s="104">
        <v>0.51281186854535998</v>
      </c>
    </row>
    <row r="1041" spans="1:6" hidden="1" x14ac:dyDescent="0.2">
      <c r="A1041" s="95" t="s">
        <v>167</v>
      </c>
      <c r="B1041" s="95" t="s">
        <v>13</v>
      </c>
      <c r="C1041" s="95" t="s">
        <v>153</v>
      </c>
      <c r="D1041" s="96">
        <v>590653</v>
      </c>
      <c r="E1041" s="96">
        <v>269908</v>
      </c>
      <c r="F1041" s="96">
        <v>320745</v>
      </c>
    </row>
    <row r="1042" spans="1:6" hidden="1" x14ac:dyDescent="0.2">
      <c r="A1042" s="97" t="s">
        <v>167</v>
      </c>
      <c r="B1042" s="97" t="s">
        <v>13</v>
      </c>
      <c r="C1042" s="97" t="s">
        <v>154</v>
      </c>
      <c r="D1042" s="98">
        <v>9872.9696722038607</v>
      </c>
      <c r="E1042" s="98">
        <v>4955.1372016543501</v>
      </c>
      <c r="F1042" s="98">
        <v>5583.2588878653296</v>
      </c>
    </row>
    <row r="1043" spans="1:6" hidden="1" x14ac:dyDescent="0.2">
      <c r="A1043" s="97" t="s">
        <v>167</v>
      </c>
      <c r="B1043" s="97" t="s">
        <v>13</v>
      </c>
      <c r="C1043" s="97" t="s">
        <v>155</v>
      </c>
      <c r="D1043" s="98">
        <v>574408.74672480603</v>
      </c>
      <c r="E1043" s="98">
        <v>261755.184141198</v>
      </c>
      <c r="F1043" s="98">
        <v>311558.71922666702</v>
      </c>
    </row>
    <row r="1044" spans="1:6" hidden="1" x14ac:dyDescent="0.2">
      <c r="A1044" s="97" t="s">
        <v>167</v>
      </c>
      <c r="B1044" s="97" t="s">
        <v>13</v>
      </c>
      <c r="C1044" s="97" t="s">
        <v>156</v>
      </c>
      <c r="D1044" s="98">
        <v>606897.25327519304</v>
      </c>
      <c r="E1044" s="98">
        <v>278060.81585880101</v>
      </c>
      <c r="F1044" s="98">
        <v>329931.28077333199</v>
      </c>
    </row>
    <row r="1045" spans="1:6" hidden="1" x14ac:dyDescent="0.2">
      <c r="A1045" s="97" t="s">
        <v>167</v>
      </c>
      <c r="B1045" s="97" t="s">
        <v>13</v>
      </c>
      <c r="C1045" s="97" t="s">
        <v>157</v>
      </c>
      <c r="D1045" s="99">
        <v>1.6715346696290101</v>
      </c>
      <c r="E1045" s="99">
        <v>1.83586155343834</v>
      </c>
      <c r="F1045" s="99">
        <v>1.74071579848955</v>
      </c>
    </row>
    <row r="1046" spans="1:6" hidden="1" x14ac:dyDescent="0.2">
      <c r="A1046" s="97" t="s">
        <v>167</v>
      </c>
      <c r="B1046" s="97" t="s">
        <v>13</v>
      </c>
      <c r="C1046" s="97" t="s">
        <v>158</v>
      </c>
      <c r="D1046" s="99">
        <v>0.45187549892429002</v>
      </c>
      <c r="E1046" s="99">
        <v>0.51284912341595001</v>
      </c>
      <c r="F1046" s="99">
        <v>0.47995781445131003</v>
      </c>
    </row>
    <row r="1047" spans="1:6" hidden="1" x14ac:dyDescent="0.2">
      <c r="A1047" s="100" t="s">
        <v>167</v>
      </c>
      <c r="B1047" s="100" t="s">
        <v>14</v>
      </c>
      <c r="C1047" s="100" t="s">
        <v>153</v>
      </c>
      <c r="D1047" s="101">
        <v>577945</v>
      </c>
      <c r="E1047" s="101">
        <v>262950</v>
      </c>
      <c r="F1047" s="101">
        <v>314995</v>
      </c>
    </row>
    <row r="1048" spans="1:6" hidden="1" x14ac:dyDescent="0.2">
      <c r="A1048" s="102" t="s">
        <v>167</v>
      </c>
      <c r="B1048" s="102" t="s">
        <v>14</v>
      </c>
      <c r="C1048" s="102" t="s">
        <v>154</v>
      </c>
      <c r="D1048" s="103">
        <v>9601.8664068800499</v>
      </c>
      <c r="E1048" s="103">
        <v>4735.5947712554798</v>
      </c>
      <c r="F1048" s="103">
        <v>5499.0913724995899</v>
      </c>
    </row>
    <row r="1049" spans="1:6" hidden="1" x14ac:dyDescent="0.2">
      <c r="A1049" s="102" t="s">
        <v>167</v>
      </c>
      <c r="B1049" s="102" t="s">
        <v>14</v>
      </c>
      <c r="C1049" s="102" t="s">
        <v>155</v>
      </c>
      <c r="D1049" s="103">
        <v>562146.79996429395</v>
      </c>
      <c r="E1049" s="103">
        <v>255158.40300061501</v>
      </c>
      <c r="F1049" s="103">
        <v>305947.20222444198</v>
      </c>
    </row>
    <row r="1050" spans="1:6" hidden="1" x14ac:dyDescent="0.2">
      <c r="A1050" s="102" t="s">
        <v>167</v>
      </c>
      <c r="B1050" s="102" t="s">
        <v>14</v>
      </c>
      <c r="C1050" s="102" t="s">
        <v>156</v>
      </c>
      <c r="D1050" s="103">
        <v>593743.200035705</v>
      </c>
      <c r="E1050" s="103">
        <v>270741.596999384</v>
      </c>
      <c r="F1050" s="103">
        <v>324042.79777555697</v>
      </c>
    </row>
    <row r="1051" spans="1:6" hidden="1" x14ac:dyDescent="0.2">
      <c r="A1051" s="102" t="s">
        <v>167</v>
      </c>
      <c r="B1051" s="102" t="s">
        <v>14</v>
      </c>
      <c r="C1051" s="102" t="s">
        <v>157</v>
      </c>
      <c r="D1051" s="104">
        <v>1.66138065159834</v>
      </c>
      <c r="E1051" s="104">
        <v>1.80094876259953</v>
      </c>
      <c r="F1051" s="104">
        <v>1.74577100350786</v>
      </c>
    </row>
    <row r="1052" spans="1:6" hidden="1" x14ac:dyDescent="0.2">
      <c r="A1052" s="102" t="s">
        <v>167</v>
      </c>
      <c r="B1052" s="102" t="s">
        <v>14</v>
      </c>
      <c r="C1052" s="102" t="s">
        <v>158</v>
      </c>
      <c r="D1052" s="104">
        <v>0.46425016573913003</v>
      </c>
      <c r="E1052" s="104">
        <v>0.50861068867425996</v>
      </c>
      <c r="F1052" s="104">
        <v>0.50525319517370004</v>
      </c>
    </row>
    <row r="1053" spans="1:6" hidden="1" x14ac:dyDescent="0.2">
      <c r="A1053" s="95" t="s">
        <v>167</v>
      </c>
      <c r="B1053" s="95" t="s">
        <v>15</v>
      </c>
      <c r="C1053" s="95" t="s">
        <v>153</v>
      </c>
      <c r="D1053" s="96">
        <v>469819</v>
      </c>
      <c r="E1053" s="96">
        <v>213768</v>
      </c>
      <c r="F1053" s="96">
        <v>256051</v>
      </c>
    </row>
    <row r="1054" spans="1:6" hidden="1" x14ac:dyDescent="0.2">
      <c r="A1054" s="97" t="s">
        <v>167</v>
      </c>
      <c r="B1054" s="97" t="s">
        <v>15</v>
      </c>
      <c r="C1054" s="97" t="s">
        <v>154</v>
      </c>
      <c r="D1054" s="98">
        <v>8145.8533735947804</v>
      </c>
      <c r="E1054" s="98">
        <v>4034.24865753828</v>
      </c>
      <c r="F1054" s="98">
        <v>4774.4319015670198</v>
      </c>
    </row>
    <row r="1055" spans="1:6" hidden="1" x14ac:dyDescent="0.2">
      <c r="A1055" s="97" t="s">
        <v>167</v>
      </c>
      <c r="B1055" s="97" t="s">
        <v>15</v>
      </c>
      <c r="C1055" s="97" t="s">
        <v>155</v>
      </c>
      <c r="D1055" s="98">
        <v>456416.41600181302</v>
      </c>
      <c r="E1055" s="98">
        <v>207130.34596641501</v>
      </c>
      <c r="F1055" s="98">
        <v>248195.503262015</v>
      </c>
    </row>
    <row r="1056" spans="1:6" hidden="1" x14ac:dyDescent="0.2">
      <c r="A1056" s="97" t="s">
        <v>167</v>
      </c>
      <c r="B1056" s="97" t="s">
        <v>15</v>
      </c>
      <c r="C1056" s="97" t="s">
        <v>156</v>
      </c>
      <c r="D1056" s="98">
        <v>483221.58399818599</v>
      </c>
      <c r="E1056" s="98">
        <v>220405.654033584</v>
      </c>
      <c r="F1056" s="98">
        <v>263906.49673798401</v>
      </c>
    </row>
    <row r="1057" spans="1:6" hidden="1" x14ac:dyDescent="0.2">
      <c r="A1057" s="97" t="s">
        <v>167</v>
      </c>
      <c r="B1057" s="97" t="s">
        <v>15</v>
      </c>
      <c r="C1057" s="97" t="s">
        <v>157</v>
      </c>
      <c r="D1057" s="99">
        <v>1.73382800048418</v>
      </c>
      <c r="E1057" s="99">
        <v>1.88720887014814</v>
      </c>
      <c r="F1057" s="99">
        <v>1.8646409901023699</v>
      </c>
    </row>
    <row r="1058" spans="1:6" hidden="1" x14ac:dyDescent="0.2">
      <c r="A1058" s="97" t="s">
        <v>167</v>
      </c>
      <c r="B1058" s="97" t="s">
        <v>15</v>
      </c>
      <c r="C1058" s="97" t="s">
        <v>158</v>
      </c>
      <c r="D1058" s="99">
        <v>0.50260604829855005</v>
      </c>
      <c r="E1058" s="99">
        <v>0.56605383749432003</v>
      </c>
      <c r="F1058" s="99">
        <v>0.54805358627862999</v>
      </c>
    </row>
    <row r="1059" spans="1:6" hidden="1" x14ac:dyDescent="0.2">
      <c r="A1059" s="100" t="s">
        <v>167</v>
      </c>
      <c r="B1059" s="100" t="s">
        <v>16</v>
      </c>
      <c r="C1059" s="100" t="s">
        <v>153</v>
      </c>
      <c r="D1059" s="101">
        <v>406296</v>
      </c>
      <c r="E1059" s="101">
        <v>178943</v>
      </c>
      <c r="F1059" s="101">
        <v>227353</v>
      </c>
    </row>
    <row r="1060" spans="1:6" hidden="1" x14ac:dyDescent="0.2">
      <c r="A1060" s="102" t="s">
        <v>167</v>
      </c>
      <c r="B1060" s="102" t="s">
        <v>16</v>
      </c>
      <c r="C1060" s="102" t="s">
        <v>154</v>
      </c>
      <c r="D1060" s="103">
        <v>7413.40218826604</v>
      </c>
      <c r="E1060" s="103">
        <v>3609.4835518849</v>
      </c>
      <c r="F1060" s="103">
        <v>4420.03248327048</v>
      </c>
    </row>
    <row r="1061" spans="1:6" hidden="1" x14ac:dyDescent="0.2">
      <c r="A1061" s="102" t="s">
        <v>167</v>
      </c>
      <c r="B1061" s="102" t="s">
        <v>16</v>
      </c>
      <c r="C1061" s="102" t="s">
        <v>155</v>
      </c>
      <c r="D1061" s="103">
        <v>394098.53694933199</v>
      </c>
      <c r="E1061" s="103">
        <v>173004.22302041101</v>
      </c>
      <c r="F1061" s="103">
        <v>220080.605824114</v>
      </c>
    </row>
    <row r="1062" spans="1:6" hidden="1" x14ac:dyDescent="0.2">
      <c r="A1062" s="102" t="s">
        <v>167</v>
      </c>
      <c r="B1062" s="102" t="s">
        <v>16</v>
      </c>
      <c r="C1062" s="102" t="s">
        <v>156</v>
      </c>
      <c r="D1062" s="103">
        <v>418493.46305066702</v>
      </c>
      <c r="E1062" s="103">
        <v>184881.776979588</v>
      </c>
      <c r="F1062" s="103">
        <v>234625.39417588501</v>
      </c>
    </row>
    <row r="1063" spans="1:6" hidden="1" x14ac:dyDescent="0.2">
      <c r="A1063" s="102" t="s">
        <v>167</v>
      </c>
      <c r="B1063" s="102" t="s">
        <v>16</v>
      </c>
      <c r="C1063" s="102" t="s">
        <v>157</v>
      </c>
      <c r="D1063" s="104">
        <v>1.82463085737148</v>
      </c>
      <c r="E1063" s="104">
        <v>2.0171135791201098</v>
      </c>
      <c r="F1063" s="104">
        <v>1.94412762676123</v>
      </c>
    </row>
    <row r="1064" spans="1:6" hidden="1" x14ac:dyDescent="0.2">
      <c r="A1064" s="102" t="s">
        <v>167</v>
      </c>
      <c r="B1064" s="102" t="s">
        <v>16</v>
      </c>
      <c r="C1064" s="102" t="s">
        <v>158</v>
      </c>
      <c r="D1064" s="104">
        <v>0.54678903451857996</v>
      </c>
      <c r="E1064" s="104">
        <v>0.62040241624587</v>
      </c>
      <c r="F1064" s="104">
        <v>0.58934586253451005</v>
      </c>
    </row>
    <row r="1065" spans="1:6" hidden="1" x14ac:dyDescent="0.2">
      <c r="A1065" s="95" t="s">
        <v>167</v>
      </c>
      <c r="B1065" s="95" t="s">
        <v>17</v>
      </c>
      <c r="C1065" s="95" t="s">
        <v>153</v>
      </c>
      <c r="D1065" s="96">
        <v>304944</v>
      </c>
      <c r="E1065" s="96">
        <v>133325</v>
      </c>
      <c r="F1065" s="96">
        <v>171619</v>
      </c>
    </row>
    <row r="1066" spans="1:6" hidden="1" x14ac:dyDescent="0.2">
      <c r="A1066" s="97" t="s">
        <v>167</v>
      </c>
      <c r="B1066" s="97" t="s">
        <v>17</v>
      </c>
      <c r="C1066" s="97" t="s">
        <v>154</v>
      </c>
      <c r="D1066" s="98">
        <v>5539.2930140919498</v>
      </c>
      <c r="E1066" s="98">
        <v>2753.2717700163498</v>
      </c>
      <c r="F1066" s="98">
        <v>3437.0864762188298</v>
      </c>
    </row>
    <row r="1067" spans="1:6" hidden="1" x14ac:dyDescent="0.2">
      <c r="A1067" s="97" t="s">
        <v>167</v>
      </c>
      <c r="B1067" s="97" t="s">
        <v>17</v>
      </c>
      <c r="C1067" s="97" t="s">
        <v>155</v>
      </c>
      <c r="D1067" s="98">
        <v>295830.05742001301</v>
      </c>
      <c r="E1067" s="98">
        <v>128794.970489881</v>
      </c>
      <c r="F1067" s="98">
        <v>165963.87240393</v>
      </c>
    </row>
    <row r="1068" spans="1:6" hidden="1" x14ac:dyDescent="0.2">
      <c r="A1068" s="97" t="s">
        <v>167</v>
      </c>
      <c r="B1068" s="97" t="s">
        <v>17</v>
      </c>
      <c r="C1068" s="97" t="s">
        <v>156</v>
      </c>
      <c r="D1068" s="98">
        <v>314057.94257998699</v>
      </c>
      <c r="E1068" s="98">
        <v>137855.02951011801</v>
      </c>
      <c r="F1068" s="98">
        <v>177274.12759606901</v>
      </c>
    </row>
    <row r="1069" spans="1:6" hidden="1" x14ac:dyDescent="0.2">
      <c r="A1069" s="97" t="s">
        <v>167</v>
      </c>
      <c r="B1069" s="97" t="s">
        <v>17</v>
      </c>
      <c r="C1069" s="97" t="s">
        <v>157</v>
      </c>
      <c r="D1069" s="99">
        <v>1.8164951643881999</v>
      </c>
      <c r="E1069" s="99">
        <v>2.0650828951932101</v>
      </c>
      <c r="F1069" s="99">
        <v>2.00274239811375</v>
      </c>
    </row>
    <row r="1070" spans="1:6" hidden="1" x14ac:dyDescent="0.2">
      <c r="A1070" s="97" t="s">
        <v>167</v>
      </c>
      <c r="B1070" s="97" t="s">
        <v>17</v>
      </c>
      <c r="C1070" s="97" t="s">
        <v>158</v>
      </c>
      <c r="D1070" s="99">
        <v>0.53223464304499002</v>
      </c>
      <c r="E1070" s="99">
        <v>0.62329220233076998</v>
      </c>
      <c r="F1070" s="99">
        <v>0.59831142859205999</v>
      </c>
    </row>
    <row r="1071" spans="1:6" hidden="1" x14ac:dyDescent="0.2">
      <c r="A1071" s="100" t="s">
        <v>167</v>
      </c>
      <c r="B1071" s="100" t="s">
        <v>18</v>
      </c>
      <c r="C1071" s="100" t="s">
        <v>153</v>
      </c>
      <c r="D1071" s="101">
        <v>227396</v>
      </c>
      <c r="E1071" s="101">
        <v>96937</v>
      </c>
      <c r="F1071" s="101">
        <v>130459</v>
      </c>
    </row>
    <row r="1072" spans="1:6" hidden="1" x14ac:dyDescent="0.2">
      <c r="A1072" s="102" t="s">
        <v>167</v>
      </c>
      <c r="B1072" s="102" t="s">
        <v>18</v>
      </c>
      <c r="C1072" s="102" t="s">
        <v>154</v>
      </c>
      <c r="D1072" s="103">
        <v>4618.29483869039</v>
      </c>
      <c r="E1072" s="103">
        <v>2327.1335707806002</v>
      </c>
      <c r="F1072" s="103">
        <v>2832.59663393745</v>
      </c>
    </row>
    <row r="1073" spans="1:6" hidden="1" x14ac:dyDescent="0.2">
      <c r="A1073" s="102" t="s">
        <v>167</v>
      </c>
      <c r="B1073" s="102" t="s">
        <v>18</v>
      </c>
      <c r="C1073" s="102" t="s">
        <v>155</v>
      </c>
      <c r="D1073" s="103">
        <v>219797.399624429</v>
      </c>
      <c r="E1073" s="103">
        <v>93108.106730389904</v>
      </c>
      <c r="F1073" s="103">
        <v>125798.45523223</v>
      </c>
    </row>
    <row r="1074" spans="1:6" hidden="1" x14ac:dyDescent="0.2">
      <c r="A1074" s="102" t="s">
        <v>167</v>
      </c>
      <c r="B1074" s="102" t="s">
        <v>18</v>
      </c>
      <c r="C1074" s="102" t="s">
        <v>156</v>
      </c>
      <c r="D1074" s="103">
        <v>234994.60037557001</v>
      </c>
      <c r="E1074" s="103">
        <v>100765.89326960999</v>
      </c>
      <c r="F1074" s="103">
        <v>135119.544767769</v>
      </c>
    </row>
    <row r="1075" spans="1:6" hidden="1" x14ac:dyDescent="0.2">
      <c r="A1075" s="102" t="s">
        <v>167</v>
      </c>
      <c r="B1075" s="102" t="s">
        <v>18</v>
      </c>
      <c r="C1075" s="102" t="s">
        <v>157</v>
      </c>
      <c r="D1075" s="104">
        <v>2.0309481427511402</v>
      </c>
      <c r="E1075" s="104">
        <v>2.40066596942405</v>
      </c>
      <c r="F1075" s="104">
        <v>2.17125428980557</v>
      </c>
    </row>
    <row r="1076" spans="1:6" hidden="1" x14ac:dyDescent="0.2">
      <c r="A1076" s="102" t="s">
        <v>167</v>
      </c>
      <c r="B1076" s="102" t="s">
        <v>18</v>
      </c>
      <c r="C1076" s="102" t="s">
        <v>158</v>
      </c>
      <c r="D1076" s="104">
        <v>0.62076796911886001</v>
      </c>
      <c r="E1076" s="104">
        <v>0.74494361275496002</v>
      </c>
      <c r="F1076" s="104">
        <v>0.66509864787024997</v>
      </c>
    </row>
    <row r="1077" spans="1:6" hidden="1" x14ac:dyDescent="0.2">
      <c r="A1077" s="95" t="s">
        <v>167</v>
      </c>
      <c r="B1077" s="95" t="s">
        <v>19</v>
      </c>
      <c r="C1077" s="95" t="s">
        <v>153</v>
      </c>
      <c r="D1077" s="96">
        <v>337816</v>
      </c>
      <c r="E1077" s="96">
        <v>132660</v>
      </c>
      <c r="F1077" s="96">
        <v>205156</v>
      </c>
    </row>
    <row r="1078" spans="1:6" hidden="1" x14ac:dyDescent="0.2">
      <c r="A1078" s="97" t="s">
        <v>167</v>
      </c>
      <c r="B1078" s="97" t="s">
        <v>19</v>
      </c>
      <c r="C1078" s="97" t="s">
        <v>154</v>
      </c>
      <c r="D1078" s="98">
        <v>6181.4421651020702</v>
      </c>
      <c r="E1078" s="98">
        <v>2780.41167610401</v>
      </c>
      <c r="F1078" s="98">
        <v>4055.1404217255499</v>
      </c>
    </row>
    <row r="1079" spans="1:6" hidden="1" x14ac:dyDescent="0.2">
      <c r="A1079" s="97" t="s">
        <v>167</v>
      </c>
      <c r="B1079" s="97" t="s">
        <v>19</v>
      </c>
      <c r="C1079" s="97" t="s">
        <v>155</v>
      </c>
      <c r="D1079" s="98">
        <v>327645.512753535</v>
      </c>
      <c r="E1079" s="98">
        <v>128085.316497922</v>
      </c>
      <c r="F1079" s="98">
        <v>198483.972204508</v>
      </c>
    </row>
    <row r="1080" spans="1:6" hidden="1" x14ac:dyDescent="0.2">
      <c r="A1080" s="97" t="s">
        <v>167</v>
      </c>
      <c r="B1080" s="97" t="s">
        <v>19</v>
      </c>
      <c r="C1080" s="97" t="s">
        <v>156</v>
      </c>
      <c r="D1080" s="98">
        <v>347986.48724646401</v>
      </c>
      <c r="E1080" s="98">
        <v>137234.68350207701</v>
      </c>
      <c r="F1080" s="98">
        <v>211828.02779549101</v>
      </c>
    </row>
    <row r="1081" spans="1:6" hidden="1" x14ac:dyDescent="0.2">
      <c r="A1081" s="97" t="s">
        <v>167</v>
      </c>
      <c r="B1081" s="97" t="s">
        <v>19</v>
      </c>
      <c r="C1081" s="97" t="s">
        <v>157</v>
      </c>
      <c r="D1081" s="99">
        <v>1.8298251607686</v>
      </c>
      <c r="E1081" s="99">
        <v>2.09589301681291</v>
      </c>
      <c r="F1081" s="99">
        <v>1.97661312451283</v>
      </c>
    </row>
    <row r="1082" spans="1:6" hidden="1" x14ac:dyDescent="0.2">
      <c r="A1082" s="97" t="s">
        <v>167</v>
      </c>
      <c r="B1082" s="97" t="s">
        <v>19</v>
      </c>
      <c r="C1082" s="97" t="s">
        <v>158</v>
      </c>
      <c r="D1082" s="99">
        <v>0.51536157588590004</v>
      </c>
      <c r="E1082" s="99">
        <v>0.61190216996652003</v>
      </c>
      <c r="F1082" s="99">
        <v>0.56757531244068005</v>
      </c>
    </row>
    <row r="1083" spans="1:6" hidden="1" x14ac:dyDescent="0.2">
      <c r="A1083" s="100" t="s">
        <v>167</v>
      </c>
      <c r="B1083" s="100" t="s">
        <v>20</v>
      </c>
      <c r="C1083" s="100" t="s">
        <v>153</v>
      </c>
      <c r="D1083" s="101">
        <v>9845</v>
      </c>
      <c r="E1083" s="101">
        <v>4650</v>
      </c>
      <c r="F1083" s="101">
        <v>5195</v>
      </c>
    </row>
    <row r="1084" spans="1:6" hidden="1" x14ac:dyDescent="0.2">
      <c r="A1084" s="102" t="s">
        <v>167</v>
      </c>
      <c r="B1084" s="102" t="s">
        <v>20</v>
      </c>
      <c r="C1084" s="102" t="s">
        <v>154</v>
      </c>
      <c r="D1084" s="103">
        <v>1481.4121750439899</v>
      </c>
      <c r="E1084" s="103">
        <v>731.09491633970299</v>
      </c>
      <c r="F1084" s="103">
        <v>812.859637747791</v>
      </c>
    </row>
    <row r="1085" spans="1:6" hidden="1" x14ac:dyDescent="0.2">
      <c r="A1085" s="102" t="s">
        <v>167</v>
      </c>
      <c r="B1085" s="102" t="s">
        <v>20</v>
      </c>
      <c r="C1085" s="102" t="s">
        <v>155</v>
      </c>
      <c r="D1085" s="103">
        <v>7407.5940952578503</v>
      </c>
      <c r="E1085" s="103">
        <v>3447.1105570531399</v>
      </c>
      <c r="F1085" s="103">
        <v>3857.58093854656</v>
      </c>
    </row>
    <row r="1086" spans="1:6" hidden="1" x14ac:dyDescent="0.2">
      <c r="A1086" s="102" t="s">
        <v>167</v>
      </c>
      <c r="B1086" s="102" t="s">
        <v>20</v>
      </c>
      <c r="C1086" s="102" t="s">
        <v>156</v>
      </c>
      <c r="D1086" s="103">
        <v>12282.4059047421</v>
      </c>
      <c r="E1086" s="103">
        <v>5852.8894429468501</v>
      </c>
      <c r="F1086" s="103">
        <v>6532.41906145343</v>
      </c>
    </row>
    <row r="1087" spans="1:6" hidden="1" x14ac:dyDescent="0.2">
      <c r="A1087" s="102" t="s">
        <v>167</v>
      </c>
      <c r="B1087" s="102" t="s">
        <v>20</v>
      </c>
      <c r="C1087" s="102" t="s">
        <v>157</v>
      </c>
      <c r="D1087" s="104">
        <v>15.047355764794199</v>
      </c>
      <c r="E1087" s="104">
        <v>15.722471319133399</v>
      </c>
      <c r="F1087" s="104">
        <v>15.646961265597501</v>
      </c>
    </row>
    <row r="1088" spans="1:6" hidden="1" x14ac:dyDescent="0.2">
      <c r="A1088" s="102" t="s">
        <v>167</v>
      </c>
      <c r="B1088" s="102" t="s">
        <v>20</v>
      </c>
      <c r="C1088" s="102" t="s">
        <v>158</v>
      </c>
      <c r="D1088" s="104">
        <v>1.06004915065151</v>
      </c>
      <c r="E1088" s="104">
        <v>1.0891514572887</v>
      </c>
      <c r="F1088" s="104">
        <v>1.1018211557150599</v>
      </c>
    </row>
    <row r="1089" spans="1:6" hidden="1" x14ac:dyDescent="0.2">
      <c r="A1089" s="95" t="s">
        <v>168</v>
      </c>
      <c r="B1089" s="95" t="s">
        <v>152</v>
      </c>
      <c r="C1089" s="95" t="s">
        <v>153</v>
      </c>
      <c r="D1089" s="96">
        <v>1754754</v>
      </c>
      <c r="E1089" s="96">
        <v>860382</v>
      </c>
      <c r="F1089" s="96">
        <v>894372</v>
      </c>
    </row>
    <row r="1090" spans="1:6" hidden="1" x14ac:dyDescent="0.2">
      <c r="A1090" s="97" t="s">
        <v>168</v>
      </c>
      <c r="B1090" s="97" t="s">
        <v>152</v>
      </c>
      <c r="C1090" s="97" t="s">
        <v>154</v>
      </c>
      <c r="D1090" s="98">
        <v>30819.3994041841</v>
      </c>
      <c r="E1090" s="98">
        <v>15085.052526142301</v>
      </c>
      <c r="F1090" s="98">
        <v>16043.472722304999</v>
      </c>
    </row>
    <row r="1091" spans="1:6" hidden="1" x14ac:dyDescent="0.2">
      <c r="A1091" s="97" t="s">
        <v>168</v>
      </c>
      <c r="B1091" s="97" t="s">
        <v>152</v>
      </c>
      <c r="C1091" s="97" t="s">
        <v>155</v>
      </c>
      <c r="D1091" s="98">
        <v>1704053.0063636201</v>
      </c>
      <c r="E1091" s="98">
        <v>835565.580247559</v>
      </c>
      <c r="F1091" s="98">
        <v>867978.88319291</v>
      </c>
    </row>
    <row r="1092" spans="1:6" hidden="1" x14ac:dyDescent="0.2">
      <c r="A1092" s="97" t="s">
        <v>168</v>
      </c>
      <c r="B1092" s="97" t="s">
        <v>152</v>
      </c>
      <c r="C1092" s="97" t="s">
        <v>156</v>
      </c>
      <c r="D1092" s="98">
        <v>1805454.9936363699</v>
      </c>
      <c r="E1092" s="98">
        <v>885198.41975243995</v>
      </c>
      <c r="F1092" s="98">
        <v>920765.11680708895</v>
      </c>
    </row>
    <row r="1093" spans="1:6" hidden="1" x14ac:dyDescent="0.2">
      <c r="A1093" s="97" t="s">
        <v>168</v>
      </c>
      <c r="B1093" s="97" t="s">
        <v>152</v>
      </c>
      <c r="C1093" s="97" t="s">
        <v>157</v>
      </c>
      <c r="D1093" s="99">
        <v>1.7563373215951701</v>
      </c>
      <c r="E1093" s="99">
        <v>1.75329708503226</v>
      </c>
      <c r="F1093" s="99">
        <v>1.79382546885468</v>
      </c>
    </row>
    <row r="1094" spans="1:6" hidden="1" x14ac:dyDescent="0.2">
      <c r="A1094" s="97" t="s">
        <v>168</v>
      </c>
      <c r="B1094" s="97" t="s">
        <v>152</v>
      </c>
      <c r="C1094" s="97" t="s">
        <v>158</v>
      </c>
      <c r="D1094" s="99">
        <v>5.50515671164381</v>
      </c>
      <c r="E1094" s="99">
        <v>2.2928095872771301</v>
      </c>
      <c r="F1094" s="99">
        <v>2.3566893520645098</v>
      </c>
    </row>
    <row r="1095" spans="1:6" hidden="1" x14ac:dyDescent="0.2">
      <c r="A1095" s="100" t="s">
        <v>168</v>
      </c>
      <c r="B1095" s="100" t="s">
        <v>4</v>
      </c>
      <c r="C1095" s="100" t="s">
        <v>153</v>
      </c>
      <c r="D1095" s="101">
        <v>174435</v>
      </c>
      <c r="E1095" s="101">
        <v>89052</v>
      </c>
      <c r="F1095" s="101">
        <v>85383</v>
      </c>
    </row>
    <row r="1096" spans="1:6" hidden="1" x14ac:dyDescent="0.2">
      <c r="A1096" s="102" t="s">
        <v>168</v>
      </c>
      <c r="B1096" s="102" t="s">
        <v>4</v>
      </c>
      <c r="C1096" s="102" t="s">
        <v>154</v>
      </c>
      <c r="D1096" s="103">
        <v>3729.5750268593802</v>
      </c>
      <c r="E1096" s="103">
        <v>2073.8079501930401</v>
      </c>
      <c r="F1096" s="103">
        <v>1987.0716042884501</v>
      </c>
    </row>
    <row r="1097" spans="1:6" hidden="1" x14ac:dyDescent="0.2">
      <c r="A1097" s="102" t="s">
        <v>168</v>
      </c>
      <c r="B1097" s="102" t="s">
        <v>4</v>
      </c>
      <c r="C1097" s="102" t="s">
        <v>155</v>
      </c>
      <c r="D1097" s="103">
        <v>168299.47616245499</v>
      </c>
      <c r="E1097" s="103">
        <v>85640.378562901795</v>
      </c>
      <c r="F1097" s="103">
        <v>82114.068524639093</v>
      </c>
    </row>
    <row r="1098" spans="1:6" hidden="1" x14ac:dyDescent="0.2">
      <c r="A1098" s="102" t="s">
        <v>168</v>
      </c>
      <c r="B1098" s="102" t="s">
        <v>4</v>
      </c>
      <c r="C1098" s="102" t="s">
        <v>156</v>
      </c>
      <c r="D1098" s="103">
        <v>180570.52383754399</v>
      </c>
      <c r="E1098" s="103">
        <v>92463.621437098205</v>
      </c>
      <c r="F1098" s="103">
        <v>88651.931475360805</v>
      </c>
    </row>
    <row r="1099" spans="1:6" hidden="1" x14ac:dyDescent="0.2">
      <c r="A1099" s="102" t="s">
        <v>168</v>
      </c>
      <c r="B1099" s="102" t="s">
        <v>4</v>
      </c>
      <c r="C1099" s="102" t="s">
        <v>157</v>
      </c>
      <c r="D1099" s="104">
        <v>2.1380887017280799</v>
      </c>
      <c r="E1099" s="104">
        <v>2.3287606681411299</v>
      </c>
      <c r="F1099" s="104">
        <v>2.3272450069550801</v>
      </c>
    </row>
    <row r="1100" spans="1:6" hidden="1" x14ac:dyDescent="0.2">
      <c r="A1100" s="102" t="s">
        <v>168</v>
      </c>
      <c r="B1100" s="102" t="s">
        <v>4</v>
      </c>
      <c r="C1100" s="102" t="s">
        <v>158</v>
      </c>
      <c r="D1100" s="104">
        <v>1.77388963021894</v>
      </c>
      <c r="E1100" s="104">
        <v>1.8508814242307801</v>
      </c>
      <c r="F1100" s="104">
        <v>1.85245611089159</v>
      </c>
    </row>
    <row r="1101" spans="1:6" hidden="1" x14ac:dyDescent="0.2">
      <c r="A1101" s="95" t="s">
        <v>168</v>
      </c>
      <c r="B1101" s="95" t="s">
        <v>5</v>
      </c>
      <c r="C1101" s="95" t="s">
        <v>153</v>
      </c>
      <c r="D1101" s="96">
        <v>171205</v>
      </c>
      <c r="E1101" s="96">
        <v>86260</v>
      </c>
      <c r="F1101" s="96">
        <v>84945</v>
      </c>
    </row>
    <row r="1102" spans="1:6" hidden="1" x14ac:dyDescent="0.2">
      <c r="A1102" s="97" t="s">
        <v>168</v>
      </c>
      <c r="B1102" s="97" t="s">
        <v>5</v>
      </c>
      <c r="C1102" s="97" t="s">
        <v>154</v>
      </c>
      <c r="D1102" s="98">
        <v>3440.7960897544299</v>
      </c>
      <c r="E1102" s="98">
        <v>1902.52328608434</v>
      </c>
      <c r="F1102" s="98">
        <v>1876.2307725575599</v>
      </c>
    </row>
    <row r="1103" spans="1:6" hidden="1" x14ac:dyDescent="0.2">
      <c r="A1103" s="97" t="s">
        <v>168</v>
      </c>
      <c r="B1103" s="97" t="s">
        <v>5</v>
      </c>
      <c r="C1103" s="97" t="s">
        <v>155</v>
      </c>
      <c r="D1103" s="98">
        <v>165544.546388855</v>
      </c>
      <c r="E1103" s="98">
        <v>83130.158962029396</v>
      </c>
      <c r="F1103" s="98">
        <v>81858.412775756398</v>
      </c>
    </row>
    <row r="1104" spans="1:6" hidden="1" x14ac:dyDescent="0.2">
      <c r="A1104" s="97" t="s">
        <v>168</v>
      </c>
      <c r="B1104" s="97" t="s">
        <v>5</v>
      </c>
      <c r="C1104" s="97" t="s">
        <v>156</v>
      </c>
      <c r="D1104" s="98">
        <v>176865.45361114401</v>
      </c>
      <c r="E1104" s="98">
        <v>89389.841037970502</v>
      </c>
      <c r="F1104" s="98">
        <v>88031.587224243602</v>
      </c>
    </row>
    <row r="1105" spans="1:6" hidden="1" x14ac:dyDescent="0.2">
      <c r="A1105" s="97" t="s">
        <v>168</v>
      </c>
      <c r="B1105" s="97" t="s">
        <v>5</v>
      </c>
      <c r="C1105" s="97" t="s">
        <v>157</v>
      </c>
      <c r="D1105" s="99">
        <v>2.0097521040591202</v>
      </c>
      <c r="E1105" s="99">
        <v>2.2055683817346798</v>
      </c>
      <c r="F1105" s="99">
        <v>2.2087595179911199</v>
      </c>
    </row>
    <row r="1106" spans="1:6" hidden="1" x14ac:dyDescent="0.2">
      <c r="A1106" s="97" t="s">
        <v>168</v>
      </c>
      <c r="B1106" s="97" t="s">
        <v>5</v>
      </c>
      <c r="C1106" s="97" t="s">
        <v>158</v>
      </c>
      <c r="D1106" s="99">
        <v>1.61201656379709</v>
      </c>
      <c r="E1106" s="99">
        <v>1.6992122885548899</v>
      </c>
      <c r="F1106" s="99">
        <v>1.71076785530312</v>
      </c>
    </row>
    <row r="1107" spans="1:6" hidden="1" x14ac:dyDescent="0.2">
      <c r="A1107" s="100" t="s">
        <v>168</v>
      </c>
      <c r="B1107" s="100" t="s">
        <v>6</v>
      </c>
      <c r="C1107" s="100" t="s">
        <v>153</v>
      </c>
      <c r="D1107" s="101">
        <v>170550</v>
      </c>
      <c r="E1107" s="101">
        <v>86324</v>
      </c>
      <c r="F1107" s="101">
        <v>84226</v>
      </c>
    </row>
    <row r="1108" spans="1:6" hidden="1" x14ac:dyDescent="0.2">
      <c r="A1108" s="102" t="s">
        <v>168</v>
      </c>
      <c r="B1108" s="102" t="s">
        <v>6</v>
      </c>
      <c r="C1108" s="102" t="s">
        <v>154</v>
      </c>
      <c r="D1108" s="103">
        <v>3377.7510676827201</v>
      </c>
      <c r="E1108" s="103">
        <v>1895.18330570589</v>
      </c>
      <c r="F1108" s="103">
        <v>1845.8818287935101</v>
      </c>
    </row>
    <row r="1109" spans="1:6" hidden="1" x14ac:dyDescent="0.2">
      <c r="A1109" s="102" t="s">
        <v>168</v>
      </c>
      <c r="B1109" s="102" t="s">
        <v>6</v>
      </c>
      <c r="C1109" s="102" t="s">
        <v>155</v>
      </c>
      <c r="D1109" s="103">
        <v>164993.26175400399</v>
      </c>
      <c r="E1109" s="103">
        <v>83206.233963672901</v>
      </c>
      <c r="F1109" s="103">
        <v>81189.339822824099</v>
      </c>
    </row>
    <row r="1110" spans="1:6" hidden="1" x14ac:dyDescent="0.2">
      <c r="A1110" s="102" t="s">
        <v>168</v>
      </c>
      <c r="B1110" s="102" t="s">
        <v>6</v>
      </c>
      <c r="C1110" s="102" t="s">
        <v>156</v>
      </c>
      <c r="D1110" s="103">
        <v>176106.73824599499</v>
      </c>
      <c r="E1110" s="103">
        <v>89441.766036326997</v>
      </c>
      <c r="F1110" s="103">
        <v>87262.660177175901</v>
      </c>
    </row>
    <row r="1111" spans="1:6" hidden="1" x14ac:dyDescent="0.2">
      <c r="A1111" s="102" t="s">
        <v>168</v>
      </c>
      <c r="B1111" s="102" t="s">
        <v>6</v>
      </c>
      <c r="C1111" s="102" t="s">
        <v>157</v>
      </c>
      <c r="D1111" s="104">
        <v>1.98050487697609</v>
      </c>
      <c r="E1111" s="104">
        <v>2.1954303620150699</v>
      </c>
      <c r="F1111" s="104">
        <v>2.1915819685055902</v>
      </c>
    </row>
    <row r="1112" spans="1:6" hidden="1" x14ac:dyDescent="0.2">
      <c r="A1112" s="102" t="s">
        <v>168</v>
      </c>
      <c r="B1112" s="102" t="s">
        <v>6</v>
      </c>
      <c r="C1112" s="102" t="s">
        <v>158</v>
      </c>
      <c r="D1112" s="104">
        <v>1.60945260235555</v>
      </c>
      <c r="E1112" s="104">
        <v>1.7310756080518399</v>
      </c>
      <c r="F1112" s="104">
        <v>1.72030034730118</v>
      </c>
    </row>
    <row r="1113" spans="1:6" hidden="1" x14ac:dyDescent="0.2">
      <c r="A1113" s="95" t="s">
        <v>168</v>
      </c>
      <c r="B1113" s="95" t="s">
        <v>7</v>
      </c>
      <c r="C1113" s="95" t="s">
        <v>153</v>
      </c>
      <c r="D1113" s="96">
        <v>167481</v>
      </c>
      <c r="E1113" s="96">
        <v>84746</v>
      </c>
      <c r="F1113" s="96">
        <v>82735</v>
      </c>
    </row>
    <row r="1114" spans="1:6" hidden="1" x14ac:dyDescent="0.2">
      <c r="A1114" s="97" t="s">
        <v>168</v>
      </c>
      <c r="B1114" s="97" t="s">
        <v>7</v>
      </c>
      <c r="C1114" s="97" t="s">
        <v>154</v>
      </c>
      <c r="D1114" s="98">
        <v>3356.8649358768598</v>
      </c>
      <c r="E1114" s="98">
        <v>1929.3856408199099</v>
      </c>
      <c r="F1114" s="98">
        <v>1751.9375701030899</v>
      </c>
    </row>
    <row r="1115" spans="1:6" hidden="1" x14ac:dyDescent="0.2">
      <c r="A1115" s="97" t="s">
        <v>168</v>
      </c>
      <c r="B1115" s="97" t="s">
        <v>7</v>
      </c>
      <c r="C1115" s="97" t="s">
        <v>155</v>
      </c>
      <c r="D1115" s="98">
        <v>161958.62152921801</v>
      </c>
      <c r="E1115" s="98">
        <v>81571.967702535796</v>
      </c>
      <c r="F1115" s="98">
        <v>79852.887521809695</v>
      </c>
    </row>
    <row r="1116" spans="1:6" hidden="1" x14ac:dyDescent="0.2">
      <c r="A1116" s="97" t="s">
        <v>168</v>
      </c>
      <c r="B1116" s="97" t="s">
        <v>7</v>
      </c>
      <c r="C1116" s="97" t="s">
        <v>156</v>
      </c>
      <c r="D1116" s="98">
        <v>173003.378470781</v>
      </c>
      <c r="E1116" s="98">
        <v>87920.032297464102</v>
      </c>
      <c r="F1116" s="98">
        <v>85617.112478190204</v>
      </c>
    </row>
    <row r="1117" spans="1:6" hidden="1" x14ac:dyDescent="0.2">
      <c r="A1117" s="97" t="s">
        <v>168</v>
      </c>
      <c r="B1117" s="97" t="s">
        <v>7</v>
      </c>
      <c r="C1117" s="97" t="s">
        <v>157</v>
      </c>
      <c r="D1117" s="99">
        <v>2.00432582554251</v>
      </c>
      <c r="E1117" s="99">
        <v>2.2766686814951802</v>
      </c>
      <c r="F1117" s="99">
        <v>2.11752894192675</v>
      </c>
    </row>
    <row r="1118" spans="1:6" hidden="1" x14ac:dyDescent="0.2">
      <c r="A1118" s="97" t="s">
        <v>168</v>
      </c>
      <c r="B1118" s="97" t="s">
        <v>7</v>
      </c>
      <c r="C1118" s="97" t="s">
        <v>158</v>
      </c>
      <c r="D1118" s="99">
        <v>1.67995364879213</v>
      </c>
      <c r="E1118" s="99">
        <v>1.9015086008465201</v>
      </c>
      <c r="F1118" s="99">
        <v>1.6537757415775001</v>
      </c>
    </row>
    <row r="1119" spans="1:6" hidden="1" x14ac:dyDescent="0.2">
      <c r="A1119" s="100" t="s">
        <v>168</v>
      </c>
      <c r="B1119" s="100" t="s">
        <v>8</v>
      </c>
      <c r="C1119" s="100" t="s">
        <v>153</v>
      </c>
      <c r="D1119" s="101">
        <v>157402</v>
      </c>
      <c r="E1119" s="101">
        <v>77268</v>
      </c>
      <c r="F1119" s="101">
        <v>80134</v>
      </c>
    </row>
    <row r="1120" spans="1:6" hidden="1" x14ac:dyDescent="0.2">
      <c r="A1120" s="102" t="s">
        <v>168</v>
      </c>
      <c r="B1120" s="102" t="s">
        <v>8</v>
      </c>
      <c r="C1120" s="102" t="s">
        <v>154</v>
      </c>
      <c r="D1120" s="103">
        <v>3541.9383260660702</v>
      </c>
      <c r="E1120" s="103">
        <v>1942.6988199610901</v>
      </c>
      <c r="F1120" s="103">
        <v>1957.1302856028001</v>
      </c>
    </row>
    <row r="1121" spans="1:6" hidden="1" x14ac:dyDescent="0.2">
      <c r="A1121" s="102" t="s">
        <v>168</v>
      </c>
      <c r="B1121" s="102" t="s">
        <v>8</v>
      </c>
      <c r="C1121" s="102" t="s">
        <v>155</v>
      </c>
      <c r="D1121" s="103">
        <v>151575.15729696001</v>
      </c>
      <c r="E1121" s="103">
        <v>74072.066191670398</v>
      </c>
      <c r="F1121" s="103">
        <v>76914.324987694694</v>
      </c>
    </row>
    <row r="1122" spans="1:6" hidden="1" x14ac:dyDescent="0.2">
      <c r="A1122" s="102" t="s">
        <v>168</v>
      </c>
      <c r="B1122" s="102" t="s">
        <v>8</v>
      </c>
      <c r="C1122" s="102" t="s">
        <v>156</v>
      </c>
      <c r="D1122" s="103">
        <v>163228.842703039</v>
      </c>
      <c r="E1122" s="103">
        <v>80463.933808329501</v>
      </c>
      <c r="F1122" s="103">
        <v>83353.675012305306</v>
      </c>
    </row>
    <row r="1123" spans="1:6" hidden="1" x14ac:dyDescent="0.2">
      <c r="A1123" s="102" t="s">
        <v>168</v>
      </c>
      <c r="B1123" s="102" t="s">
        <v>8</v>
      </c>
      <c r="C1123" s="102" t="s">
        <v>157</v>
      </c>
      <c r="D1123" s="104">
        <v>2.2502498863204199</v>
      </c>
      <c r="E1123" s="104">
        <v>2.5142346378333702</v>
      </c>
      <c r="F1123" s="104">
        <v>2.4423219677075898</v>
      </c>
    </row>
    <row r="1124" spans="1:6" hidden="1" x14ac:dyDescent="0.2">
      <c r="A1124" s="102" t="s">
        <v>168</v>
      </c>
      <c r="B1124" s="102" t="s">
        <v>8</v>
      </c>
      <c r="C1124" s="102" t="s">
        <v>158</v>
      </c>
      <c r="D1124" s="104">
        <v>1.9917640431548</v>
      </c>
      <c r="E1124" s="104">
        <v>2.21314616675236</v>
      </c>
      <c r="F1124" s="104">
        <v>2.0377317378303399</v>
      </c>
    </row>
    <row r="1125" spans="1:6" hidden="1" x14ac:dyDescent="0.2">
      <c r="A1125" s="95" t="s">
        <v>168</v>
      </c>
      <c r="B1125" s="95" t="s">
        <v>9</v>
      </c>
      <c r="C1125" s="95" t="s">
        <v>153</v>
      </c>
      <c r="D1125" s="96">
        <v>130670</v>
      </c>
      <c r="E1125" s="96">
        <v>63100</v>
      </c>
      <c r="F1125" s="96">
        <v>67570</v>
      </c>
    </row>
    <row r="1126" spans="1:6" hidden="1" x14ac:dyDescent="0.2">
      <c r="A1126" s="97" t="s">
        <v>168</v>
      </c>
      <c r="B1126" s="97" t="s">
        <v>9</v>
      </c>
      <c r="C1126" s="97" t="s">
        <v>154</v>
      </c>
      <c r="D1126" s="98">
        <v>2962.47004442354</v>
      </c>
      <c r="E1126" s="98">
        <v>1533.3150557653801</v>
      </c>
      <c r="F1126" s="98">
        <v>1677.14338658559</v>
      </c>
    </row>
    <row r="1127" spans="1:6" hidden="1" x14ac:dyDescent="0.2">
      <c r="A1127" s="97" t="s">
        <v>168</v>
      </c>
      <c r="B1127" s="97" t="s">
        <v>9</v>
      </c>
      <c r="C1127" s="97" t="s">
        <v>155</v>
      </c>
      <c r="D1127" s="98">
        <v>125796.440561009</v>
      </c>
      <c r="E1127" s="98">
        <v>60577.543417852299</v>
      </c>
      <c r="F1127" s="98">
        <v>64810.931432329402</v>
      </c>
    </row>
    <row r="1128" spans="1:6" hidden="1" x14ac:dyDescent="0.2">
      <c r="A1128" s="97" t="s">
        <v>168</v>
      </c>
      <c r="B1128" s="97" t="s">
        <v>9</v>
      </c>
      <c r="C1128" s="97" t="s">
        <v>156</v>
      </c>
      <c r="D1128" s="98">
        <v>135543.55943898999</v>
      </c>
      <c r="E1128" s="98">
        <v>65622.456582147599</v>
      </c>
      <c r="F1128" s="98">
        <v>70329.068567670503</v>
      </c>
    </row>
    <row r="1129" spans="1:6" hidden="1" x14ac:dyDescent="0.2">
      <c r="A1129" s="97" t="s">
        <v>168</v>
      </c>
      <c r="B1129" s="97" t="s">
        <v>9</v>
      </c>
      <c r="C1129" s="97" t="s">
        <v>157</v>
      </c>
      <c r="D1129" s="99">
        <v>2.2671386273999699</v>
      </c>
      <c r="E1129" s="99">
        <v>2.4299763165854</v>
      </c>
      <c r="F1129" s="99">
        <v>2.48208285716382</v>
      </c>
    </row>
    <row r="1130" spans="1:6" hidden="1" x14ac:dyDescent="0.2">
      <c r="A1130" s="97" t="s">
        <v>168</v>
      </c>
      <c r="B1130" s="97" t="s">
        <v>9</v>
      </c>
      <c r="C1130" s="97" t="s">
        <v>158</v>
      </c>
      <c r="D1130" s="99">
        <v>1.9717886592992</v>
      </c>
      <c r="E1130" s="99">
        <v>1.9890558578909401</v>
      </c>
      <c r="F1130" s="99">
        <v>2.11686933416531</v>
      </c>
    </row>
    <row r="1131" spans="1:6" hidden="1" x14ac:dyDescent="0.2">
      <c r="A1131" s="100" t="s">
        <v>168</v>
      </c>
      <c r="B1131" s="100" t="s">
        <v>10</v>
      </c>
      <c r="C1131" s="100" t="s">
        <v>153</v>
      </c>
      <c r="D1131" s="101">
        <v>121030</v>
      </c>
      <c r="E1131" s="101">
        <v>58116</v>
      </c>
      <c r="F1131" s="101">
        <v>62914</v>
      </c>
    </row>
    <row r="1132" spans="1:6" hidden="1" x14ac:dyDescent="0.2">
      <c r="A1132" s="102" t="s">
        <v>168</v>
      </c>
      <c r="B1132" s="102" t="s">
        <v>10</v>
      </c>
      <c r="C1132" s="102" t="s">
        <v>154</v>
      </c>
      <c r="D1132" s="103">
        <v>3003.5608258795401</v>
      </c>
      <c r="E1132" s="103">
        <v>1555.5646218833999</v>
      </c>
      <c r="F1132" s="103">
        <v>1680.4303342732401</v>
      </c>
    </row>
    <row r="1133" spans="1:6" hidden="1" x14ac:dyDescent="0.2">
      <c r="A1133" s="102" t="s">
        <v>168</v>
      </c>
      <c r="B1133" s="102" t="s">
        <v>10</v>
      </c>
      <c r="C1133" s="102" t="s">
        <v>155</v>
      </c>
      <c r="D1133" s="103">
        <v>116088.842116867</v>
      </c>
      <c r="E1133" s="103">
        <v>55556.940656865103</v>
      </c>
      <c r="F1133" s="103">
        <v>60149.524074722998</v>
      </c>
    </row>
    <row r="1134" spans="1:6" hidden="1" x14ac:dyDescent="0.2">
      <c r="A1134" s="102" t="s">
        <v>168</v>
      </c>
      <c r="B1134" s="102" t="s">
        <v>10</v>
      </c>
      <c r="C1134" s="102" t="s">
        <v>156</v>
      </c>
      <c r="D1134" s="103">
        <v>125971.15788313199</v>
      </c>
      <c r="E1134" s="103">
        <v>60675.059343134897</v>
      </c>
      <c r="F1134" s="103">
        <v>65678.475925277002</v>
      </c>
    </row>
    <row r="1135" spans="1:6" hidden="1" x14ac:dyDescent="0.2">
      <c r="A1135" s="102" t="s">
        <v>168</v>
      </c>
      <c r="B1135" s="102" t="s">
        <v>10</v>
      </c>
      <c r="C1135" s="102" t="s">
        <v>157</v>
      </c>
      <c r="D1135" s="104">
        <v>2.4816663850942202</v>
      </c>
      <c r="E1135" s="104">
        <v>2.6766546594456</v>
      </c>
      <c r="F1135" s="104">
        <v>2.6709958582720001</v>
      </c>
    </row>
    <row r="1136" spans="1:6" hidden="1" x14ac:dyDescent="0.2">
      <c r="A1136" s="102" t="s">
        <v>168</v>
      </c>
      <c r="B1136" s="102" t="s">
        <v>10</v>
      </c>
      <c r="C1136" s="102" t="s">
        <v>158</v>
      </c>
      <c r="D1136" s="104">
        <v>2.3009475415528402</v>
      </c>
      <c r="E1136" s="104">
        <v>2.3471141263318098</v>
      </c>
      <c r="F1136" s="104">
        <v>2.3614355701202601</v>
      </c>
    </row>
    <row r="1137" spans="1:6" hidden="1" x14ac:dyDescent="0.2">
      <c r="A1137" s="95" t="s">
        <v>168</v>
      </c>
      <c r="B1137" s="95" t="s">
        <v>11</v>
      </c>
      <c r="C1137" s="95" t="s">
        <v>153</v>
      </c>
      <c r="D1137" s="96">
        <v>119435</v>
      </c>
      <c r="E1137" s="96">
        <v>56513</v>
      </c>
      <c r="F1137" s="96">
        <v>62922</v>
      </c>
    </row>
    <row r="1138" spans="1:6" hidden="1" x14ac:dyDescent="0.2">
      <c r="A1138" s="97" t="s">
        <v>168</v>
      </c>
      <c r="B1138" s="97" t="s">
        <v>11</v>
      </c>
      <c r="C1138" s="97" t="s">
        <v>154</v>
      </c>
      <c r="D1138" s="98">
        <v>2622.7011652800602</v>
      </c>
      <c r="E1138" s="98">
        <v>1384.00650890212</v>
      </c>
      <c r="F1138" s="98">
        <v>1486.6876275668401</v>
      </c>
    </row>
    <row r="1139" spans="1:6" hidden="1" x14ac:dyDescent="0.2">
      <c r="A1139" s="97" t="s">
        <v>168</v>
      </c>
      <c r="B1139" s="97" t="s">
        <v>11</v>
      </c>
      <c r="C1139" s="97" t="s">
        <v>155</v>
      </c>
      <c r="D1139" s="98">
        <v>115120.39434052201</v>
      </c>
      <c r="E1139" s="98">
        <v>54236.170906730098</v>
      </c>
      <c r="F1139" s="98">
        <v>60476.250199492402</v>
      </c>
    </row>
    <row r="1140" spans="1:6" hidden="1" x14ac:dyDescent="0.2">
      <c r="A1140" s="97" t="s">
        <v>168</v>
      </c>
      <c r="B1140" s="97" t="s">
        <v>11</v>
      </c>
      <c r="C1140" s="97" t="s">
        <v>156</v>
      </c>
      <c r="D1140" s="98">
        <v>123749.60565947701</v>
      </c>
      <c r="E1140" s="98">
        <v>58789.829093269902</v>
      </c>
      <c r="F1140" s="98">
        <v>65367.749800507503</v>
      </c>
    </row>
    <row r="1141" spans="1:6" hidden="1" x14ac:dyDescent="0.2">
      <c r="A1141" s="97" t="s">
        <v>168</v>
      </c>
      <c r="B1141" s="97" t="s">
        <v>11</v>
      </c>
      <c r="C1141" s="97" t="s">
        <v>157</v>
      </c>
      <c r="D1141" s="99">
        <v>2.1959234439486401</v>
      </c>
      <c r="E1141" s="99">
        <v>2.4490055543009999</v>
      </c>
      <c r="F1141" s="99">
        <v>2.36274693678974</v>
      </c>
    </row>
    <row r="1142" spans="1:6" hidden="1" x14ac:dyDescent="0.2">
      <c r="A1142" s="97" t="s">
        <v>168</v>
      </c>
      <c r="B1142" s="97" t="s">
        <v>11</v>
      </c>
      <c r="C1142" s="97" t="s">
        <v>158</v>
      </c>
      <c r="D1142" s="99">
        <v>1.93020006829615</v>
      </c>
      <c r="E1142" s="99">
        <v>2.0932333475834999</v>
      </c>
      <c r="F1142" s="99">
        <v>1.97731008919686</v>
      </c>
    </row>
    <row r="1143" spans="1:6" hidden="1" x14ac:dyDescent="0.2">
      <c r="A1143" s="100" t="s">
        <v>168</v>
      </c>
      <c r="B1143" s="100" t="s">
        <v>12</v>
      </c>
      <c r="C1143" s="100" t="s">
        <v>153</v>
      </c>
      <c r="D1143" s="101">
        <v>114771</v>
      </c>
      <c r="E1143" s="101">
        <v>55616</v>
      </c>
      <c r="F1143" s="101">
        <v>59155</v>
      </c>
    </row>
    <row r="1144" spans="1:6" hidden="1" x14ac:dyDescent="0.2">
      <c r="A1144" s="102" t="s">
        <v>168</v>
      </c>
      <c r="B1144" s="102" t="s">
        <v>12</v>
      </c>
      <c r="C1144" s="102" t="s">
        <v>154</v>
      </c>
      <c r="D1144" s="103">
        <v>2674.3289528529999</v>
      </c>
      <c r="E1144" s="103">
        <v>1418.3080126590901</v>
      </c>
      <c r="F1144" s="103">
        <v>1496.4215038065099</v>
      </c>
    </row>
    <row r="1145" spans="1:6" hidden="1" x14ac:dyDescent="0.2">
      <c r="A1145" s="102" t="s">
        <v>168</v>
      </c>
      <c r="B1145" s="102" t="s">
        <v>12</v>
      </c>
      <c r="C1145" s="102" t="s">
        <v>155</v>
      </c>
      <c r="D1145" s="103">
        <v>110371.461467728</v>
      </c>
      <c r="E1145" s="103">
        <v>53282.741503259502</v>
      </c>
      <c r="F1145" s="103">
        <v>56693.236999792702</v>
      </c>
    </row>
    <row r="1146" spans="1:6" hidden="1" x14ac:dyDescent="0.2">
      <c r="A1146" s="102" t="s">
        <v>168</v>
      </c>
      <c r="B1146" s="102" t="s">
        <v>12</v>
      </c>
      <c r="C1146" s="102" t="s">
        <v>156</v>
      </c>
      <c r="D1146" s="103">
        <v>119170.53853227101</v>
      </c>
      <c r="E1146" s="103">
        <v>57949.258496740396</v>
      </c>
      <c r="F1146" s="103">
        <v>61616.763000207298</v>
      </c>
    </row>
    <row r="1147" spans="1:6" hidden="1" x14ac:dyDescent="0.2">
      <c r="A1147" s="102" t="s">
        <v>168</v>
      </c>
      <c r="B1147" s="102" t="s">
        <v>12</v>
      </c>
      <c r="C1147" s="102" t="s">
        <v>157</v>
      </c>
      <c r="D1147" s="104">
        <v>2.3301434620705601</v>
      </c>
      <c r="E1147" s="104">
        <v>2.55017982713444</v>
      </c>
      <c r="F1147" s="104">
        <v>2.5296619115992098</v>
      </c>
    </row>
    <row r="1148" spans="1:6" hidden="1" x14ac:dyDescent="0.2">
      <c r="A1148" s="102" t="s">
        <v>168</v>
      </c>
      <c r="B1148" s="102" t="s">
        <v>12</v>
      </c>
      <c r="C1148" s="102" t="s">
        <v>158</v>
      </c>
      <c r="D1148" s="104">
        <v>2.1002529475634701</v>
      </c>
      <c r="E1148" s="104">
        <v>2.1496889940494199</v>
      </c>
      <c r="F1148" s="104">
        <v>2.2066226167845402</v>
      </c>
    </row>
    <row r="1149" spans="1:6" hidden="1" x14ac:dyDescent="0.2">
      <c r="A1149" s="95" t="s">
        <v>168</v>
      </c>
      <c r="B1149" s="95" t="s">
        <v>13</v>
      </c>
      <c r="C1149" s="95" t="s">
        <v>153</v>
      </c>
      <c r="D1149" s="96">
        <v>94800</v>
      </c>
      <c r="E1149" s="96">
        <v>45134</v>
      </c>
      <c r="F1149" s="96">
        <v>49666</v>
      </c>
    </row>
    <row r="1150" spans="1:6" hidden="1" x14ac:dyDescent="0.2">
      <c r="A1150" s="97" t="s">
        <v>168</v>
      </c>
      <c r="B1150" s="97" t="s">
        <v>13</v>
      </c>
      <c r="C1150" s="97" t="s">
        <v>154</v>
      </c>
      <c r="D1150" s="98">
        <v>2308.87949842336</v>
      </c>
      <c r="E1150" s="98">
        <v>1227.78827654629</v>
      </c>
      <c r="F1150" s="98">
        <v>1365.5461812737301</v>
      </c>
    </row>
    <row r="1151" spans="1:6" hidden="1" x14ac:dyDescent="0.2">
      <c r="A1151" s="97" t="s">
        <v>168</v>
      </c>
      <c r="B1151" s="97" t="s">
        <v>13</v>
      </c>
      <c r="C1151" s="97" t="s">
        <v>155</v>
      </c>
      <c r="D1151" s="98">
        <v>91001.6623613751</v>
      </c>
      <c r="E1151" s="98">
        <v>43114.165519139096</v>
      </c>
      <c r="F1151" s="98">
        <v>47419.539991517799</v>
      </c>
    </row>
    <row r="1152" spans="1:6" hidden="1" x14ac:dyDescent="0.2">
      <c r="A1152" s="97" t="s">
        <v>168</v>
      </c>
      <c r="B1152" s="97" t="s">
        <v>13</v>
      </c>
      <c r="C1152" s="97" t="s">
        <v>156</v>
      </c>
      <c r="D1152" s="98">
        <v>98598.337638624798</v>
      </c>
      <c r="E1152" s="98">
        <v>47153.834480860802</v>
      </c>
      <c r="F1152" s="98">
        <v>51912.4600084821</v>
      </c>
    </row>
    <row r="1153" spans="1:6" hidden="1" x14ac:dyDescent="0.2">
      <c r="A1153" s="97" t="s">
        <v>168</v>
      </c>
      <c r="B1153" s="97" t="s">
        <v>13</v>
      </c>
      <c r="C1153" s="97" t="s">
        <v>157</v>
      </c>
      <c r="D1153" s="99">
        <v>2.4355268970710502</v>
      </c>
      <c r="E1153" s="99">
        <v>2.7203178901632898</v>
      </c>
      <c r="F1153" s="99">
        <v>2.7494587469772802</v>
      </c>
    </row>
    <row r="1154" spans="1:6" hidden="1" x14ac:dyDescent="0.2">
      <c r="A1154" s="97" t="s">
        <v>168</v>
      </c>
      <c r="B1154" s="97" t="s">
        <v>13</v>
      </c>
      <c r="C1154" s="97" t="s">
        <v>158</v>
      </c>
      <c r="D1154" s="99">
        <v>2.1936571398862799</v>
      </c>
      <c r="E1154" s="99">
        <v>2.4318619903840699</v>
      </c>
      <c r="F1154" s="99">
        <v>2.3123235513945</v>
      </c>
    </row>
    <row r="1155" spans="1:6" hidden="1" x14ac:dyDescent="0.2">
      <c r="A1155" s="100" t="s">
        <v>168</v>
      </c>
      <c r="B1155" s="100" t="s">
        <v>14</v>
      </c>
      <c r="C1155" s="100" t="s">
        <v>153</v>
      </c>
      <c r="D1155" s="101">
        <v>87377</v>
      </c>
      <c r="E1155" s="101">
        <v>41283</v>
      </c>
      <c r="F1155" s="101">
        <v>46094</v>
      </c>
    </row>
    <row r="1156" spans="1:6" hidden="1" x14ac:dyDescent="0.2">
      <c r="A1156" s="102" t="s">
        <v>168</v>
      </c>
      <c r="B1156" s="102" t="s">
        <v>14</v>
      </c>
      <c r="C1156" s="102" t="s">
        <v>154</v>
      </c>
      <c r="D1156" s="103">
        <v>2286.1319483193902</v>
      </c>
      <c r="E1156" s="103">
        <v>1194.05316366893</v>
      </c>
      <c r="F1156" s="103">
        <v>1286.1082302508</v>
      </c>
    </row>
    <row r="1157" spans="1:6" hidden="1" x14ac:dyDescent="0.2">
      <c r="A1157" s="102" t="s">
        <v>168</v>
      </c>
      <c r="B1157" s="102" t="s">
        <v>14</v>
      </c>
      <c r="C1157" s="102" t="s">
        <v>155</v>
      </c>
      <c r="D1157" s="103">
        <v>83616.084355812403</v>
      </c>
      <c r="E1157" s="103">
        <v>39318.663152979701</v>
      </c>
      <c r="F1157" s="103">
        <v>43978.2233639119</v>
      </c>
    </row>
    <row r="1158" spans="1:6" hidden="1" x14ac:dyDescent="0.2">
      <c r="A1158" s="102" t="s">
        <v>168</v>
      </c>
      <c r="B1158" s="102" t="s">
        <v>14</v>
      </c>
      <c r="C1158" s="102" t="s">
        <v>156</v>
      </c>
      <c r="D1158" s="103">
        <v>91137.915644187495</v>
      </c>
      <c r="E1158" s="103">
        <v>43247.336847020299</v>
      </c>
      <c r="F1158" s="103">
        <v>48209.776636087998</v>
      </c>
    </row>
    <row r="1159" spans="1:6" hidden="1" x14ac:dyDescent="0.2">
      <c r="A1159" s="102" t="s">
        <v>168</v>
      </c>
      <c r="B1159" s="102" t="s">
        <v>14</v>
      </c>
      <c r="C1159" s="102" t="s">
        <v>157</v>
      </c>
      <c r="D1159" s="104">
        <v>2.6164001377014401</v>
      </c>
      <c r="E1159" s="104">
        <v>2.8923604478088598</v>
      </c>
      <c r="F1159" s="104">
        <v>2.7901857730958501</v>
      </c>
    </row>
    <row r="1160" spans="1:6" hidden="1" x14ac:dyDescent="0.2">
      <c r="A1160" s="102" t="s">
        <v>168</v>
      </c>
      <c r="B1160" s="102" t="s">
        <v>14</v>
      </c>
      <c r="C1160" s="102" t="s">
        <v>158</v>
      </c>
      <c r="D1160" s="104">
        <v>2.44499554736666</v>
      </c>
      <c r="E1160" s="104">
        <v>2.57893054408233</v>
      </c>
      <c r="F1160" s="104">
        <v>2.4027188568116502</v>
      </c>
    </row>
    <row r="1161" spans="1:6" hidden="1" x14ac:dyDescent="0.2">
      <c r="A1161" s="95" t="s">
        <v>168</v>
      </c>
      <c r="B1161" s="95" t="s">
        <v>15</v>
      </c>
      <c r="C1161" s="95" t="s">
        <v>153</v>
      </c>
      <c r="D1161" s="96">
        <v>66706</v>
      </c>
      <c r="E1161" s="96">
        <v>31664</v>
      </c>
      <c r="F1161" s="96">
        <v>35042</v>
      </c>
    </row>
    <row r="1162" spans="1:6" hidden="1" x14ac:dyDescent="0.2">
      <c r="A1162" s="97" t="s">
        <v>168</v>
      </c>
      <c r="B1162" s="97" t="s">
        <v>15</v>
      </c>
      <c r="C1162" s="97" t="s">
        <v>154</v>
      </c>
      <c r="D1162" s="98">
        <v>1662.88468908749</v>
      </c>
      <c r="E1162" s="98">
        <v>867.35386605465305</v>
      </c>
      <c r="F1162" s="98">
        <v>1025.90018750586</v>
      </c>
    </row>
    <row r="1163" spans="1:6" hidden="1" x14ac:dyDescent="0.2">
      <c r="A1163" s="97" t="s">
        <v>168</v>
      </c>
      <c r="B1163" s="97" t="s">
        <v>15</v>
      </c>
      <c r="C1163" s="97" t="s">
        <v>155</v>
      </c>
      <c r="D1163" s="98">
        <v>63970.388415433903</v>
      </c>
      <c r="E1163" s="98">
        <v>30237.116164056199</v>
      </c>
      <c r="F1163" s="98">
        <v>33354.291612300804</v>
      </c>
    </row>
    <row r="1164" spans="1:6" hidden="1" x14ac:dyDescent="0.2">
      <c r="A1164" s="97" t="s">
        <v>168</v>
      </c>
      <c r="B1164" s="97" t="s">
        <v>15</v>
      </c>
      <c r="C1164" s="97" t="s">
        <v>156</v>
      </c>
      <c r="D1164" s="98">
        <v>69441.611584565995</v>
      </c>
      <c r="E1164" s="98">
        <v>33090.8838359437</v>
      </c>
      <c r="F1164" s="98">
        <v>36729.708387699102</v>
      </c>
    </row>
    <row r="1165" spans="1:6" hidden="1" x14ac:dyDescent="0.2">
      <c r="A1165" s="97" t="s">
        <v>168</v>
      </c>
      <c r="B1165" s="97" t="s">
        <v>15</v>
      </c>
      <c r="C1165" s="97" t="s">
        <v>157</v>
      </c>
      <c r="D1165" s="99">
        <v>2.4928562484446499</v>
      </c>
      <c r="E1165" s="99">
        <v>2.7392428816784098</v>
      </c>
      <c r="F1165" s="99">
        <v>2.9276302365899798</v>
      </c>
    </row>
    <row r="1166" spans="1:6" hidden="1" x14ac:dyDescent="0.2">
      <c r="A1166" s="97" t="s">
        <v>168</v>
      </c>
      <c r="B1166" s="97" t="s">
        <v>15</v>
      </c>
      <c r="C1166" s="97" t="s">
        <v>158</v>
      </c>
      <c r="D1166" s="99">
        <v>2.0823714342867401</v>
      </c>
      <c r="E1166" s="99">
        <v>2.1176850117451198</v>
      </c>
      <c r="F1166" s="99">
        <v>2.3441348505365198</v>
      </c>
    </row>
    <row r="1167" spans="1:6" hidden="1" x14ac:dyDescent="0.2">
      <c r="A1167" s="100" t="s">
        <v>168</v>
      </c>
      <c r="B1167" s="100" t="s">
        <v>16</v>
      </c>
      <c r="C1167" s="100" t="s">
        <v>153</v>
      </c>
      <c r="D1167" s="101">
        <v>53383</v>
      </c>
      <c r="E1167" s="101">
        <v>25161</v>
      </c>
      <c r="F1167" s="101">
        <v>28222</v>
      </c>
    </row>
    <row r="1168" spans="1:6" hidden="1" x14ac:dyDescent="0.2">
      <c r="A1168" s="102" t="s">
        <v>168</v>
      </c>
      <c r="B1168" s="102" t="s">
        <v>16</v>
      </c>
      <c r="C1168" s="102" t="s">
        <v>154</v>
      </c>
      <c r="D1168" s="103">
        <v>1545.5805943032301</v>
      </c>
      <c r="E1168" s="103">
        <v>823.60342147869903</v>
      </c>
      <c r="F1168" s="103">
        <v>950.35118631338503</v>
      </c>
    </row>
    <row r="1169" spans="1:6" hidden="1" x14ac:dyDescent="0.2">
      <c r="A1169" s="102" t="s">
        <v>168</v>
      </c>
      <c r="B1169" s="102" t="s">
        <v>16</v>
      </c>
      <c r="C1169" s="102" t="s">
        <v>155</v>
      </c>
      <c r="D1169" s="103">
        <v>50840.365380532399</v>
      </c>
      <c r="E1169" s="103">
        <v>23806.090019969</v>
      </c>
      <c r="F1169" s="103">
        <v>26658.577273369599</v>
      </c>
    </row>
    <row r="1170" spans="1:6" hidden="1" x14ac:dyDescent="0.2">
      <c r="A1170" s="102" t="s">
        <v>168</v>
      </c>
      <c r="B1170" s="102" t="s">
        <v>16</v>
      </c>
      <c r="C1170" s="102" t="s">
        <v>156</v>
      </c>
      <c r="D1170" s="103">
        <v>55925.634619467499</v>
      </c>
      <c r="E1170" s="103">
        <v>26515.909980030901</v>
      </c>
      <c r="F1170" s="103">
        <v>29785.422726630299</v>
      </c>
    </row>
    <row r="1171" spans="1:6" hidden="1" x14ac:dyDescent="0.2">
      <c r="A1171" s="102" t="s">
        <v>168</v>
      </c>
      <c r="B1171" s="102" t="s">
        <v>16</v>
      </c>
      <c r="C1171" s="102" t="s">
        <v>157</v>
      </c>
      <c r="D1171" s="104">
        <v>2.89526739655552</v>
      </c>
      <c r="E1171" s="104">
        <v>3.2733334186983698</v>
      </c>
      <c r="F1171" s="104">
        <v>3.3674126082963101</v>
      </c>
    </row>
    <row r="1172" spans="1:6" hidden="1" x14ac:dyDescent="0.2">
      <c r="A1172" s="102" t="s">
        <v>168</v>
      </c>
      <c r="B1172" s="102" t="s">
        <v>16</v>
      </c>
      <c r="C1172" s="102" t="s">
        <v>158</v>
      </c>
      <c r="D1172" s="104">
        <v>2.6687461364371599</v>
      </c>
      <c r="E1172" s="104">
        <v>2.7215405112359101</v>
      </c>
      <c r="F1172" s="104">
        <v>2.8943246451976599</v>
      </c>
    </row>
    <row r="1173" spans="1:6" hidden="1" x14ac:dyDescent="0.2">
      <c r="A1173" s="95" t="s">
        <v>168</v>
      </c>
      <c r="B1173" s="95" t="s">
        <v>17</v>
      </c>
      <c r="C1173" s="95" t="s">
        <v>153</v>
      </c>
      <c r="D1173" s="96">
        <v>42191</v>
      </c>
      <c r="E1173" s="96">
        <v>20385</v>
      </c>
      <c r="F1173" s="96">
        <v>21806</v>
      </c>
    </row>
    <row r="1174" spans="1:6" hidden="1" x14ac:dyDescent="0.2">
      <c r="A1174" s="97" t="s">
        <v>168</v>
      </c>
      <c r="B1174" s="97" t="s">
        <v>17</v>
      </c>
      <c r="C1174" s="97" t="s">
        <v>154</v>
      </c>
      <c r="D1174" s="98">
        <v>1143.16269400644</v>
      </c>
      <c r="E1174" s="98">
        <v>643.71783485491801</v>
      </c>
      <c r="F1174" s="98">
        <v>734.95959785866103</v>
      </c>
    </row>
    <row r="1175" spans="1:6" hidden="1" x14ac:dyDescent="0.2">
      <c r="A1175" s="97" t="s">
        <v>168</v>
      </c>
      <c r="B1175" s="97" t="s">
        <v>17</v>
      </c>
      <c r="C1175" s="97" t="s">
        <v>155</v>
      </c>
      <c r="D1175" s="98">
        <v>40310.383064087298</v>
      </c>
      <c r="E1175" s="98">
        <v>19326.019796635901</v>
      </c>
      <c r="F1175" s="98">
        <v>20596.917973275999</v>
      </c>
    </row>
    <row r="1176" spans="1:6" hidden="1" x14ac:dyDescent="0.2">
      <c r="A1176" s="97" t="s">
        <v>168</v>
      </c>
      <c r="B1176" s="97" t="s">
        <v>17</v>
      </c>
      <c r="C1176" s="97" t="s">
        <v>156</v>
      </c>
      <c r="D1176" s="98">
        <v>44071.6169359126</v>
      </c>
      <c r="E1176" s="98">
        <v>21443.980203364001</v>
      </c>
      <c r="F1176" s="98">
        <v>23015.0820267239</v>
      </c>
    </row>
    <row r="1177" spans="1:6" hidden="1" x14ac:dyDescent="0.2">
      <c r="A1177" s="97" t="s">
        <v>168</v>
      </c>
      <c r="B1177" s="97" t="s">
        <v>17</v>
      </c>
      <c r="C1177" s="97" t="s">
        <v>157</v>
      </c>
      <c r="D1177" s="99">
        <v>2.7094941907194499</v>
      </c>
      <c r="E1177" s="99">
        <v>3.1578014954864702</v>
      </c>
      <c r="F1177" s="99">
        <v>3.3704466562352602</v>
      </c>
    </row>
    <row r="1178" spans="1:6" hidden="1" x14ac:dyDescent="0.2">
      <c r="A1178" s="97" t="s">
        <v>168</v>
      </c>
      <c r="B1178" s="97" t="s">
        <v>17</v>
      </c>
      <c r="C1178" s="97" t="s">
        <v>158</v>
      </c>
      <c r="D1178" s="99">
        <v>2.19302749638286</v>
      </c>
      <c r="E1178" s="99">
        <v>2.29159595287754</v>
      </c>
      <c r="F1178" s="99">
        <v>2.5982622145105498</v>
      </c>
    </row>
    <row r="1179" spans="1:6" hidden="1" x14ac:dyDescent="0.2">
      <c r="A1179" s="100" t="s">
        <v>168</v>
      </c>
      <c r="B1179" s="100" t="s">
        <v>18</v>
      </c>
      <c r="C1179" s="100" t="s">
        <v>153</v>
      </c>
      <c r="D1179" s="101">
        <v>33099</v>
      </c>
      <c r="E1179" s="101">
        <v>15891</v>
      </c>
      <c r="F1179" s="101">
        <v>17208</v>
      </c>
    </row>
    <row r="1180" spans="1:6" hidden="1" x14ac:dyDescent="0.2">
      <c r="A1180" s="102" t="s">
        <v>168</v>
      </c>
      <c r="B1180" s="102" t="s">
        <v>18</v>
      </c>
      <c r="C1180" s="102" t="s">
        <v>154</v>
      </c>
      <c r="D1180" s="103">
        <v>990.18643875834096</v>
      </c>
      <c r="E1180" s="103">
        <v>521.31581300784103</v>
      </c>
      <c r="F1180" s="103">
        <v>642.93317241284603</v>
      </c>
    </row>
    <row r="1181" spans="1:6" hidden="1" x14ac:dyDescent="0.2">
      <c r="A1181" s="102" t="s">
        <v>168</v>
      </c>
      <c r="B1181" s="102" t="s">
        <v>18</v>
      </c>
      <c r="C1181" s="102" t="s">
        <v>155</v>
      </c>
      <c r="D1181" s="103">
        <v>31470.044299990499</v>
      </c>
      <c r="E1181" s="103">
        <v>15033.3833614919</v>
      </c>
      <c r="F1181" s="103">
        <v>16150.310644811099</v>
      </c>
    </row>
    <row r="1182" spans="1:6" hidden="1" x14ac:dyDescent="0.2">
      <c r="A1182" s="102" t="s">
        <v>168</v>
      </c>
      <c r="B1182" s="102" t="s">
        <v>18</v>
      </c>
      <c r="C1182" s="102" t="s">
        <v>156</v>
      </c>
      <c r="D1182" s="103">
        <v>34727.955700009399</v>
      </c>
      <c r="E1182" s="103">
        <v>16748.616638508</v>
      </c>
      <c r="F1182" s="103">
        <v>18265.689355188799</v>
      </c>
    </row>
    <row r="1183" spans="1:6" hidden="1" x14ac:dyDescent="0.2">
      <c r="A1183" s="102" t="s">
        <v>168</v>
      </c>
      <c r="B1183" s="102" t="s">
        <v>18</v>
      </c>
      <c r="C1183" s="102" t="s">
        <v>157</v>
      </c>
      <c r="D1183" s="104">
        <v>2.9915901953483202</v>
      </c>
      <c r="E1183" s="104">
        <v>3.28057273304286</v>
      </c>
      <c r="F1183" s="104">
        <v>3.7362457718087301</v>
      </c>
    </row>
    <row r="1184" spans="1:6" hidden="1" x14ac:dyDescent="0.2">
      <c r="A1184" s="102" t="s">
        <v>168</v>
      </c>
      <c r="B1184" s="102" t="s">
        <v>18</v>
      </c>
      <c r="C1184" s="102" t="s">
        <v>158</v>
      </c>
      <c r="D1184" s="104">
        <v>2.3486017955170402</v>
      </c>
      <c r="E1184" s="104">
        <v>2.13894636286697</v>
      </c>
      <c r="F1184" s="104">
        <v>2.7650275294319</v>
      </c>
    </row>
    <row r="1185" spans="1:6" hidden="1" x14ac:dyDescent="0.2">
      <c r="A1185" s="95" t="s">
        <v>168</v>
      </c>
      <c r="B1185" s="95" t="s">
        <v>19</v>
      </c>
      <c r="C1185" s="95" t="s">
        <v>153</v>
      </c>
      <c r="D1185" s="96">
        <v>49167</v>
      </c>
      <c r="E1185" s="96">
        <v>23324</v>
      </c>
      <c r="F1185" s="96">
        <v>25843</v>
      </c>
    </row>
    <row r="1186" spans="1:6" hidden="1" x14ac:dyDescent="0.2">
      <c r="A1186" s="97" t="s">
        <v>168</v>
      </c>
      <c r="B1186" s="97" t="s">
        <v>19</v>
      </c>
      <c r="C1186" s="97" t="s">
        <v>154</v>
      </c>
      <c r="D1186" s="98">
        <v>1497.48494173832</v>
      </c>
      <c r="E1186" s="98">
        <v>774.19554999689501</v>
      </c>
      <c r="F1186" s="98">
        <v>864.42475159590197</v>
      </c>
    </row>
    <row r="1187" spans="1:6" hidden="1" x14ac:dyDescent="0.2">
      <c r="A1187" s="97" t="s">
        <v>168</v>
      </c>
      <c r="B1187" s="97" t="s">
        <v>19</v>
      </c>
      <c r="C1187" s="97" t="s">
        <v>155</v>
      </c>
      <c r="D1187" s="98">
        <v>46703.487538062203</v>
      </c>
      <c r="E1187" s="98">
        <v>22050.3709088252</v>
      </c>
      <c r="F1187" s="98">
        <v>24420.934850221602</v>
      </c>
    </row>
    <row r="1188" spans="1:6" hidden="1" x14ac:dyDescent="0.2">
      <c r="A1188" s="97" t="s">
        <v>168</v>
      </c>
      <c r="B1188" s="97" t="s">
        <v>19</v>
      </c>
      <c r="C1188" s="97" t="s">
        <v>156</v>
      </c>
      <c r="D1188" s="98">
        <v>51630.512461937702</v>
      </c>
      <c r="E1188" s="98">
        <v>24597.6290911748</v>
      </c>
      <c r="F1188" s="98">
        <v>27265.0651497783</v>
      </c>
    </row>
    <row r="1189" spans="1:6" hidden="1" x14ac:dyDescent="0.2">
      <c r="A1189" s="97" t="s">
        <v>168</v>
      </c>
      <c r="B1189" s="97" t="s">
        <v>19</v>
      </c>
      <c r="C1189" s="97" t="s">
        <v>157</v>
      </c>
      <c r="D1189" s="99">
        <v>3.04571143600042</v>
      </c>
      <c r="E1189" s="99">
        <v>3.3193086520189299</v>
      </c>
      <c r="F1189" s="99">
        <v>3.3449086855082699</v>
      </c>
    </row>
    <row r="1190" spans="1:6" hidden="1" x14ac:dyDescent="0.2">
      <c r="A1190" s="97" t="s">
        <v>168</v>
      </c>
      <c r="B1190" s="97" t="s">
        <v>19</v>
      </c>
      <c r="C1190" s="97" t="s">
        <v>158</v>
      </c>
      <c r="D1190" s="99">
        <v>2.5007834986949402</v>
      </c>
      <c r="E1190" s="99">
        <v>2.3977649621836998</v>
      </c>
      <c r="F1190" s="99">
        <v>2.5353173796327901</v>
      </c>
    </row>
    <row r="1191" spans="1:6" hidden="1" x14ac:dyDescent="0.2">
      <c r="A1191" s="100" t="s">
        <v>168</v>
      </c>
      <c r="B1191" s="100" t="s">
        <v>20</v>
      </c>
      <c r="C1191" s="100" t="s">
        <v>153</v>
      </c>
      <c r="D1191" s="101">
        <v>1052</v>
      </c>
      <c r="E1191" s="101">
        <v>545</v>
      </c>
      <c r="F1191" s="101">
        <v>507</v>
      </c>
    </row>
    <row r="1192" spans="1:6" hidden="1" x14ac:dyDescent="0.2">
      <c r="A1192" s="102" t="s">
        <v>168</v>
      </c>
      <c r="B1192" s="102" t="s">
        <v>20</v>
      </c>
      <c r="C1192" s="102" t="s">
        <v>154</v>
      </c>
      <c r="D1192" s="103">
        <v>131.81562836160899</v>
      </c>
      <c r="E1192" s="103">
        <v>93.965075829288097</v>
      </c>
      <c r="F1192" s="103">
        <v>87.882493692948998</v>
      </c>
    </row>
    <row r="1193" spans="1:6" hidden="1" x14ac:dyDescent="0.2">
      <c r="A1193" s="102" t="s">
        <v>168</v>
      </c>
      <c r="B1193" s="102" t="s">
        <v>20</v>
      </c>
      <c r="C1193" s="102" t="s">
        <v>155</v>
      </c>
      <c r="D1193" s="103">
        <v>835.15011116570702</v>
      </c>
      <c r="E1193" s="103">
        <v>390.41805473939098</v>
      </c>
      <c r="F1193" s="103">
        <v>362.42451054804599</v>
      </c>
    </row>
    <row r="1194" spans="1:6" hidden="1" x14ac:dyDescent="0.2">
      <c r="A1194" s="102" t="s">
        <v>168</v>
      </c>
      <c r="B1194" s="102" t="s">
        <v>20</v>
      </c>
      <c r="C1194" s="102" t="s">
        <v>156</v>
      </c>
      <c r="D1194" s="103">
        <v>1268.8498888342899</v>
      </c>
      <c r="E1194" s="103">
        <v>699.58194526060799</v>
      </c>
      <c r="F1194" s="103">
        <v>651.57548945195299</v>
      </c>
    </row>
    <row r="1195" spans="1:6" hidden="1" x14ac:dyDescent="0.2">
      <c r="A1195" s="102" t="s">
        <v>168</v>
      </c>
      <c r="B1195" s="102" t="s">
        <v>20</v>
      </c>
      <c r="C1195" s="102" t="s">
        <v>157</v>
      </c>
      <c r="D1195" s="104">
        <v>12.530002695970399</v>
      </c>
      <c r="E1195" s="104">
        <v>17.241298317300501</v>
      </c>
      <c r="F1195" s="104">
        <v>17.333825185986001</v>
      </c>
    </row>
    <row r="1196" spans="1:6" hidden="1" x14ac:dyDescent="0.2">
      <c r="A1196" s="102" t="s">
        <v>168</v>
      </c>
      <c r="B1196" s="102" t="s">
        <v>20</v>
      </c>
      <c r="C1196" s="102" t="s">
        <v>158</v>
      </c>
      <c r="D1196" s="104">
        <v>2.66512993220605</v>
      </c>
      <c r="E1196" s="104">
        <v>2.8601185979303199</v>
      </c>
      <c r="F1196" s="104">
        <v>2.7301931255579999</v>
      </c>
    </row>
    <row r="1197" spans="1:6" hidden="1" x14ac:dyDescent="0.2">
      <c r="A1197" s="95" t="s">
        <v>169</v>
      </c>
      <c r="B1197" s="95" t="s">
        <v>152</v>
      </c>
      <c r="C1197" s="95" t="s">
        <v>153</v>
      </c>
      <c r="D1197" s="96">
        <v>5853677</v>
      </c>
      <c r="E1197" s="96">
        <v>2826369</v>
      </c>
      <c r="F1197" s="96">
        <v>3027308</v>
      </c>
    </row>
    <row r="1198" spans="1:6" hidden="1" x14ac:dyDescent="0.2">
      <c r="A1198" s="97" t="s">
        <v>169</v>
      </c>
      <c r="B1198" s="97" t="s">
        <v>152</v>
      </c>
      <c r="C1198" s="97" t="s">
        <v>154</v>
      </c>
      <c r="D1198" s="98">
        <v>88491.446675961197</v>
      </c>
      <c r="E1198" s="98">
        <v>43039.9163323869</v>
      </c>
      <c r="F1198" s="98">
        <v>45917.806497629397</v>
      </c>
    </row>
    <row r="1199" spans="1:6" hidden="1" x14ac:dyDescent="0.2">
      <c r="A1199" s="97" t="s">
        <v>169</v>
      </c>
      <c r="B1199" s="97" t="s">
        <v>152</v>
      </c>
      <c r="C1199" s="97" t="s">
        <v>155</v>
      </c>
      <c r="D1199" s="98">
        <v>5708103.5035620397</v>
      </c>
      <c r="E1199" s="98">
        <v>2755565.8733447702</v>
      </c>
      <c r="F1199" s="98">
        <v>2951770.5792467999</v>
      </c>
    </row>
    <row r="1200" spans="1:6" hidden="1" x14ac:dyDescent="0.2">
      <c r="A1200" s="97" t="s">
        <v>169</v>
      </c>
      <c r="B1200" s="97" t="s">
        <v>152</v>
      </c>
      <c r="C1200" s="97" t="s">
        <v>156</v>
      </c>
      <c r="D1200" s="98">
        <v>5999250.4964379501</v>
      </c>
      <c r="E1200" s="98">
        <v>2897172.1266552201</v>
      </c>
      <c r="F1200" s="98">
        <v>3102845.4207531898</v>
      </c>
    </row>
    <row r="1201" spans="1:6" hidden="1" x14ac:dyDescent="0.2">
      <c r="A1201" s="97" t="s">
        <v>169</v>
      </c>
      <c r="B1201" s="97" t="s">
        <v>152</v>
      </c>
      <c r="C1201" s="97" t="s">
        <v>157</v>
      </c>
      <c r="D1201" s="99">
        <v>1.51172411248453</v>
      </c>
      <c r="E1201" s="99">
        <v>1.52279891027629</v>
      </c>
      <c r="F1201" s="99">
        <v>1.5167867457698201</v>
      </c>
    </row>
    <row r="1202" spans="1:6" hidden="1" x14ac:dyDescent="0.2">
      <c r="A1202" s="97" t="s">
        <v>169</v>
      </c>
      <c r="B1202" s="97" t="s">
        <v>152</v>
      </c>
      <c r="C1202" s="97" t="s">
        <v>158</v>
      </c>
      <c r="D1202" s="99">
        <v>3.6080026808435899</v>
      </c>
      <c r="E1202" s="99">
        <v>1.8362341109710301</v>
      </c>
      <c r="F1202" s="99">
        <v>1.83613119139036</v>
      </c>
    </row>
    <row r="1203" spans="1:6" hidden="1" x14ac:dyDescent="0.2">
      <c r="A1203" s="100" t="s">
        <v>169</v>
      </c>
      <c r="B1203" s="100" t="s">
        <v>4</v>
      </c>
      <c r="C1203" s="100" t="s">
        <v>153</v>
      </c>
      <c r="D1203" s="101">
        <v>548371</v>
      </c>
      <c r="E1203" s="101">
        <v>278494</v>
      </c>
      <c r="F1203" s="101">
        <v>269877</v>
      </c>
    </row>
    <row r="1204" spans="1:6" hidden="1" x14ac:dyDescent="0.2">
      <c r="A1204" s="102" t="s">
        <v>169</v>
      </c>
      <c r="B1204" s="102" t="s">
        <v>4</v>
      </c>
      <c r="C1204" s="102" t="s">
        <v>154</v>
      </c>
      <c r="D1204" s="103">
        <v>9572.5185643983896</v>
      </c>
      <c r="E1204" s="103">
        <v>5098.9310926481303</v>
      </c>
      <c r="F1204" s="103">
        <v>4979.4254203912897</v>
      </c>
    </row>
    <row r="1205" spans="1:6" hidden="1" x14ac:dyDescent="0.2">
      <c r="A1205" s="102" t="s">
        <v>169</v>
      </c>
      <c r="B1205" s="102" t="s">
        <v>4</v>
      </c>
      <c r="C1205" s="102" t="s">
        <v>155</v>
      </c>
      <c r="D1205" s="103">
        <v>532623.65887855296</v>
      </c>
      <c r="E1205" s="103">
        <v>270105.966408787</v>
      </c>
      <c r="F1205" s="103">
        <v>261685.56008205199</v>
      </c>
    </row>
    <row r="1206" spans="1:6" hidden="1" x14ac:dyDescent="0.2">
      <c r="A1206" s="102" t="s">
        <v>169</v>
      </c>
      <c r="B1206" s="102" t="s">
        <v>4</v>
      </c>
      <c r="C1206" s="102" t="s">
        <v>156</v>
      </c>
      <c r="D1206" s="103">
        <v>564118.34112144704</v>
      </c>
      <c r="E1206" s="103">
        <v>286882.03359121201</v>
      </c>
      <c r="F1206" s="103">
        <v>278068.43991794699</v>
      </c>
    </row>
    <row r="1207" spans="1:6" hidden="1" x14ac:dyDescent="0.2">
      <c r="A1207" s="102" t="s">
        <v>169</v>
      </c>
      <c r="B1207" s="102" t="s">
        <v>4</v>
      </c>
      <c r="C1207" s="102" t="s">
        <v>157</v>
      </c>
      <c r="D1207" s="104">
        <v>1.7456281540049301</v>
      </c>
      <c r="E1207" s="104">
        <v>1.8308944151931901</v>
      </c>
      <c r="F1207" s="104">
        <v>1.8450721700594299</v>
      </c>
    </row>
    <row r="1208" spans="1:6" hidden="1" x14ac:dyDescent="0.2">
      <c r="A1208" s="102" t="s">
        <v>169</v>
      </c>
      <c r="B1208" s="102" t="s">
        <v>4</v>
      </c>
      <c r="C1208" s="102" t="s">
        <v>158</v>
      </c>
      <c r="D1208" s="104">
        <v>1.47753354146962</v>
      </c>
      <c r="E1208" s="104">
        <v>1.4914982138544599</v>
      </c>
      <c r="F1208" s="104">
        <v>1.5026231546072499</v>
      </c>
    </row>
    <row r="1209" spans="1:6" hidden="1" x14ac:dyDescent="0.2">
      <c r="A1209" s="95" t="s">
        <v>169</v>
      </c>
      <c r="B1209" s="95" t="s">
        <v>5</v>
      </c>
      <c r="C1209" s="95" t="s">
        <v>153</v>
      </c>
      <c r="D1209" s="96">
        <v>558183</v>
      </c>
      <c r="E1209" s="96">
        <v>282853</v>
      </c>
      <c r="F1209" s="96">
        <v>275330</v>
      </c>
    </row>
    <row r="1210" spans="1:6" hidden="1" x14ac:dyDescent="0.2">
      <c r="A1210" s="97" t="s">
        <v>169</v>
      </c>
      <c r="B1210" s="97" t="s">
        <v>5</v>
      </c>
      <c r="C1210" s="97" t="s">
        <v>154</v>
      </c>
      <c r="D1210" s="98">
        <v>9858.6239886402891</v>
      </c>
      <c r="E1210" s="98">
        <v>4918.8211902085995</v>
      </c>
      <c r="F1210" s="98">
        <v>5491.1711234475497</v>
      </c>
    </row>
    <row r="1211" spans="1:6" hidden="1" x14ac:dyDescent="0.2">
      <c r="A1211" s="97" t="s">
        <v>169</v>
      </c>
      <c r="B1211" s="97" t="s">
        <v>5</v>
      </c>
      <c r="C1211" s="97" t="s">
        <v>155</v>
      </c>
      <c r="D1211" s="98">
        <v>541964.99907445605</v>
      </c>
      <c r="E1211" s="98">
        <v>274761.25751065102</v>
      </c>
      <c r="F1211" s="98">
        <v>266296.70910007198</v>
      </c>
    </row>
    <row r="1212" spans="1:6" hidden="1" x14ac:dyDescent="0.2">
      <c r="A1212" s="97" t="s">
        <v>169</v>
      </c>
      <c r="B1212" s="97" t="s">
        <v>5</v>
      </c>
      <c r="C1212" s="97" t="s">
        <v>156</v>
      </c>
      <c r="D1212" s="98">
        <v>574401.00092554302</v>
      </c>
      <c r="E1212" s="98">
        <v>290944.74248934799</v>
      </c>
      <c r="F1212" s="98">
        <v>284363.29089992697</v>
      </c>
    </row>
    <row r="1213" spans="1:6" hidden="1" x14ac:dyDescent="0.2">
      <c r="A1213" s="97" t="s">
        <v>169</v>
      </c>
      <c r="B1213" s="97" t="s">
        <v>5</v>
      </c>
      <c r="C1213" s="97" t="s">
        <v>157</v>
      </c>
      <c r="D1213" s="99">
        <v>1.7661992551977199</v>
      </c>
      <c r="E1213" s="99">
        <v>1.7390026586985401</v>
      </c>
      <c r="F1213" s="99">
        <v>1.9943962239667099</v>
      </c>
    </row>
    <row r="1214" spans="1:6" hidden="1" x14ac:dyDescent="0.2">
      <c r="A1214" s="97" t="s">
        <v>169</v>
      </c>
      <c r="B1214" s="97" t="s">
        <v>5</v>
      </c>
      <c r="C1214" s="97" t="s">
        <v>158</v>
      </c>
      <c r="D1214" s="99">
        <v>1.5368613253457599</v>
      </c>
      <c r="E1214" s="99">
        <v>1.39053657942943</v>
      </c>
      <c r="F1214" s="99">
        <v>1.7415691382821701</v>
      </c>
    </row>
    <row r="1215" spans="1:6" hidden="1" x14ac:dyDescent="0.2">
      <c r="A1215" s="100" t="s">
        <v>169</v>
      </c>
      <c r="B1215" s="100" t="s">
        <v>6</v>
      </c>
      <c r="C1215" s="100" t="s">
        <v>153</v>
      </c>
      <c r="D1215" s="101">
        <v>584593</v>
      </c>
      <c r="E1215" s="101">
        <v>295526</v>
      </c>
      <c r="F1215" s="101">
        <v>289067</v>
      </c>
    </row>
    <row r="1216" spans="1:6" hidden="1" x14ac:dyDescent="0.2">
      <c r="A1216" s="102" t="s">
        <v>169</v>
      </c>
      <c r="B1216" s="102" t="s">
        <v>6</v>
      </c>
      <c r="C1216" s="102" t="s">
        <v>154</v>
      </c>
      <c r="D1216" s="103">
        <v>10136.367615986699</v>
      </c>
      <c r="E1216" s="103">
        <v>5680.5814669686997</v>
      </c>
      <c r="F1216" s="103">
        <v>5045.9330493477</v>
      </c>
    </row>
    <row r="1217" spans="1:6" hidden="1" x14ac:dyDescent="0.2">
      <c r="A1217" s="102" t="s">
        <v>169</v>
      </c>
      <c r="B1217" s="102" t="s">
        <v>6</v>
      </c>
      <c r="C1217" s="102" t="s">
        <v>155</v>
      </c>
      <c r="D1217" s="103">
        <v>567918.09490501403</v>
      </c>
      <c r="E1217" s="103">
        <v>286181.11824012297</v>
      </c>
      <c r="F1217" s="103">
        <v>280766.15122446598</v>
      </c>
    </row>
    <row r="1218" spans="1:6" hidden="1" x14ac:dyDescent="0.2">
      <c r="A1218" s="102" t="s">
        <v>169</v>
      </c>
      <c r="B1218" s="102" t="s">
        <v>6</v>
      </c>
      <c r="C1218" s="102" t="s">
        <v>156</v>
      </c>
      <c r="D1218" s="103">
        <v>601267.90509498504</v>
      </c>
      <c r="E1218" s="103">
        <v>304870.88175987598</v>
      </c>
      <c r="F1218" s="103">
        <v>297367.84877553303</v>
      </c>
    </row>
    <row r="1219" spans="1:6" hidden="1" x14ac:dyDescent="0.2">
      <c r="A1219" s="102" t="s">
        <v>169</v>
      </c>
      <c r="B1219" s="102" t="s">
        <v>6</v>
      </c>
      <c r="C1219" s="102" t="s">
        <v>157</v>
      </c>
      <c r="D1219" s="104">
        <v>1.73391874620235</v>
      </c>
      <c r="E1219" s="104">
        <v>1.92219346756925</v>
      </c>
      <c r="F1219" s="104">
        <v>1.7455929073009699</v>
      </c>
    </row>
    <row r="1220" spans="1:6" hidden="1" x14ac:dyDescent="0.2">
      <c r="A1220" s="102" t="s">
        <v>169</v>
      </c>
      <c r="B1220" s="102" t="s">
        <v>6</v>
      </c>
      <c r="C1220" s="102" t="s">
        <v>158</v>
      </c>
      <c r="D1220" s="104">
        <v>1.50656961291856</v>
      </c>
      <c r="E1220" s="104">
        <v>1.6740937988434299</v>
      </c>
      <c r="F1220" s="104">
        <v>1.4104522938161601</v>
      </c>
    </row>
    <row r="1221" spans="1:6" hidden="1" x14ac:dyDescent="0.2">
      <c r="A1221" s="95" t="s">
        <v>169</v>
      </c>
      <c r="B1221" s="95" t="s">
        <v>7</v>
      </c>
      <c r="C1221" s="95" t="s">
        <v>153</v>
      </c>
      <c r="D1221" s="96">
        <v>563828</v>
      </c>
      <c r="E1221" s="96">
        <v>284075</v>
      </c>
      <c r="F1221" s="96">
        <v>279753</v>
      </c>
    </row>
    <row r="1222" spans="1:6" hidden="1" x14ac:dyDescent="0.2">
      <c r="A1222" s="97" t="s">
        <v>169</v>
      </c>
      <c r="B1222" s="97" t="s">
        <v>7</v>
      </c>
      <c r="C1222" s="97" t="s">
        <v>154</v>
      </c>
      <c r="D1222" s="98">
        <v>9129.2720474956095</v>
      </c>
      <c r="E1222" s="98">
        <v>4829.28122609605</v>
      </c>
      <c r="F1222" s="98">
        <v>4845.9504010029796</v>
      </c>
    </row>
    <row r="1223" spans="1:6" hidden="1" x14ac:dyDescent="0.2">
      <c r="A1223" s="97" t="s">
        <v>169</v>
      </c>
      <c r="B1223" s="97" t="s">
        <v>7</v>
      </c>
      <c r="C1223" s="97" t="s">
        <v>155</v>
      </c>
      <c r="D1223" s="98">
        <v>548809.82477732899</v>
      </c>
      <c r="E1223" s="98">
        <v>276130.55587830598</v>
      </c>
      <c r="F1223" s="98">
        <v>271781.13413117599</v>
      </c>
    </row>
    <row r="1224" spans="1:6" hidden="1" x14ac:dyDescent="0.2">
      <c r="A1224" s="97" t="s">
        <v>169</v>
      </c>
      <c r="B1224" s="97" t="s">
        <v>7</v>
      </c>
      <c r="C1224" s="97" t="s">
        <v>156</v>
      </c>
      <c r="D1224" s="98">
        <v>578846.17522266996</v>
      </c>
      <c r="E1224" s="98">
        <v>292019.44412169303</v>
      </c>
      <c r="F1224" s="98">
        <v>287724.86586882302</v>
      </c>
    </row>
    <row r="1225" spans="1:6" hidden="1" x14ac:dyDescent="0.2">
      <c r="A1225" s="97" t="s">
        <v>169</v>
      </c>
      <c r="B1225" s="97" t="s">
        <v>7</v>
      </c>
      <c r="C1225" s="97" t="s">
        <v>157</v>
      </c>
      <c r="D1225" s="99">
        <v>1.6191590427392</v>
      </c>
      <c r="E1225" s="99">
        <v>1.7000021917085399</v>
      </c>
      <c r="F1225" s="99">
        <v>1.73222464138114</v>
      </c>
    </row>
    <row r="1226" spans="1:6" hidden="1" x14ac:dyDescent="0.2">
      <c r="A1226" s="97" t="s">
        <v>169</v>
      </c>
      <c r="B1226" s="97" t="s">
        <v>7</v>
      </c>
      <c r="C1226" s="97" t="s">
        <v>158</v>
      </c>
      <c r="D1226" s="99">
        <v>1.32816866781577</v>
      </c>
      <c r="E1226" s="99">
        <v>1.32325195932093</v>
      </c>
      <c r="F1226" s="99">
        <v>1.4051271984578999</v>
      </c>
    </row>
    <row r="1227" spans="1:6" hidden="1" x14ac:dyDescent="0.2">
      <c r="A1227" s="100" t="s">
        <v>169</v>
      </c>
      <c r="B1227" s="100" t="s">
        <v>8</v>
      </c>
      <c r="C1227" s="100" t="s">
        <v>153</v>
      </c>
      <c r="D1227" s="101">
        <v>546892</v>
      </c>
      <c r="E1227" s="101">
        <v>263492</v>
      </c>
      <c r="F1227" s="101">
        <v>283400</v>
      </c>
    </row>
    <row r="1228" spans="1:6" hidden="1" x14ac:dyDescent="0.2">
      <c r="A1228" s="102" t="s">
        <v>169</v>
      </c>
      <c r="B1228" s="102" t="s">
        <v>8</v>
      </c>
      <c r="C1228" s="102" t="s">
        <v>154</v>
      </c>
      <c r="D1228" s="103">
        <v>9518.3153965381298</v>
      </c>
      <c r="E1228" s="103">
        <v>4938.6479317797803</v>
      </c>
      <c r="F1228" s="103">
        <v>5092.9961874566698</v>
      </c>
    </row>
    <row r="1229" spans="1:6" hidden="1" x14ac:dyDescent="0.2">
      <c r="A1229" s="102" t="s">
        <v>169</v>
      </c>
      <c r="B1229" s="102" t="s">
        <v>8</v>
      </c>
      <c r="C1229" s="102" t="s">
        <v>155</v>
      </c>
      <c r="D1229" s="103">
        <v>531233.82619313302</v>
      </c>
      <c r="E1229" s="103">
        <v>255367.641385569</v>
      </c>
      <c r="F1229" s="103">
        <v>275021.72966763499</v>
      </c>
    </row>
    <row r="1230" spans="1:6" hidden="1" x14ac:dyDescent="0.2">
      <c r="A1230" s="102" t="s">
        <v>169</v>
      </c>
      <c r="B1230" s="102" t="s">
        <v>8</v>
      </c>
      <c r="C1230" s="102" t="s">
        <v>156</v>
      </c>
      <c r="D1230" s="103">
        <v>562550.17380686605</v>
      </c>
      <c r="E1230" s="103">
        <v>271616.35861443001</v>
      </c>
      <c r="F1230" s="103">
        <v>291778.27033236402</v>
      </c>
    </row>
    <row r="1231" spans="1:6" hidden="1" x14ac:dyDescent="0.2">
      <c r="A1231" s="102" t="s">
        <v>169</v>
      </c>
      <c r="B1231" s="102" t="s">
        <v>8</v>
      </c>
      <c r="C1231" s="102" t="s">
        <v>157</v>
      </c>
      <c r="D1231" s="104">
        <v>1.7404378554702</v>
      </c>
      <c r="E1231" s="104">
        <v>1.87430659442403</v>
      </c>
      <c r="F1231" s="104">
        <v>1.7971052178746201</v>
      </c>
    </row>
    <row r="1232" spans="1:6" hidden="1" x14ac:dyDescent="0.2">
      <c r="A1232" s="102" t="s">
        <v>169</v>
      </c>
      <c r="B1232" s="102" t="s">
        <v>8</v>
      </c>
      <c r="C1232" s="102" t="s">
        <v>158</v>
      </c>
      <c r="D1232" s="104">
        <v>1.45426551317187</v>
      </c>
      <c r="E1232" s="104">
        <v>1.5086268526392901</v>
      </c>
      <c r="F1232" s="104">
        <v>1.4676766367896199</v>
      </c>
    </row>
    <row r="1233" spans="1:6" hidden="1" x14ac:dyDescent="0.2">
      <c r="A1233" s="95" t="s">
        <v>169</v>
      </c>
      <c r="B1233" s="95" t="s">
        <v>9</v>
      </c>
      <c r="C1233" s="95" t="s">
        <v>153</v>
      </c>
      <c r="D1233" s="96">
        <v>459588</v>
      </c>
      <c r="E1233" s="96">
        <v>215059</v>
      </c>
      <c r="F1233" s="96">
        <v>244529</v>
      </c>
    </row>
    <row r="1234" spans="1:6" hidden="1" x14ac:dyDescent="0.2">
      <c r="A1234" s="97" t="s">
        <v>169</v>
      </c>
      <c r="B1234" s="97" t="s">
        <v>9</v>
      </c>
      <c r="C1234" s="97" t="s">
        <v>154</v>
      </c>
      <c r="D1234" s="98">
        <v>8052.3452376683699</v>
      </c>
      <c r="E1234" s="98">
        <v>4028.6589979610299</v>
      </c>
      <c r="F1234" s="98">
        <v>4419.1277401322404</v>
      </c>
    </row>
    <row r="1235" spans="1:6" hidden="1" x14ac:dyDescent="0.2">
      <c r="A1235" s="97" t="s">
        <v>169</v>
      </c>
      <c r="B1235" s="97" t="s">
        <v>9</v>
      </c>
      <c r="C1235" s="97" t="s">
        <v>155</v>
      </c>
      <c r="D1235" s="98">
        <v>446341.43103989097</v>
      </c>
      <c r="E1235" s="98">
        <v>208431.62528392201</v>
      </c>
      <c r="F1235" s="98">
        <v>237259.281846417</v>
      </c>
    </row>
    <row r="1236" spans="1:6" hidden="1" x14ac:dyDescent="0.2">
      <c r="A1236" s="97" t="s">
        <v>169</v>
      </c>
      <c r="B1236" s="97" t="s">
        <v>9</v>
      </c>
      <c r="C1236" s="97" t="s">
        <v>156</v>
      </c>
      <c r="D1236" s="98">
        <v>472834.56896010798</v>
      </c>
      <c r="E1236" s="98">
        <v>221686.374716077</v>
      </c>
      <c r="F1236" s="98">
        <v>251798.71815358201</v>
      </c>
    </row>
    <row r="1237" spans="1:6" hidden="1" x14ac:dyDescent="0.2">
      <c r="A1237" s="97" t="s">
        <v>169</v>
      </c>
      <c r="B1237" s="97" t="s">
        <v>9</v>
      </c>
      <c r="C1237" s="97" t="s">
        <v>157</v>
      </c>
      <c r="D1237" s="99">
        <v>1.75207908771951</v>
      </c>
      <c r="E1237" s="99">
        <v>1.8732808196639199</v>
      </c>
      <c r="F1237" s="99">
        <v>1.80719985773967</v>
      </c>
    </row>
    <row r="1238" spans="1:6" hidden="1" x14ac:dyDescent="0.2">
      <c r="A1238" s="97" t="s">
        <v>169</v>
      </c>
      <c r="B1238" s="97" t="s">
        <v>9</v>
      </c>
      <c r="C1238" s="97" t="s">
        <v>158</v>
      </c>
      <c r="D1238" s="99">
        <v>1.4510451809164999</v>
      </c>
      <c r="E1238" s="99">
        <v>1.4915582131338401</v>
      </c>
      <c r="F1238" s="99">
        <v>1.45800500845086</v>
      </c>
    </row>
    <row r="1239" spans="1:6" hidden="1" x14ac:dyDescent="0.2">
      <c r="A1239" s="100" t="s">
        <v>169</v>
      </c>
      <c r="B1239" s="100" t="s">
        <v>10</v>
      </c>
      <c r="C1239" s="100" t="s">
        <v>153</v>
      </c>
      <c r="D1239" s="101">
        <v>431789</v>
      </c>
      <c r="E1239" s="101">
        <v>201404</v>
      </c>
      <c r="F1239" s="101">
        <v>230385</v>
      </c>
    </row>
    <row r="1240" spans="1:6" hidden="1" x14ac:dyDescent="0.2">
      <c r="A1240" s="102" t="s">
        <v>169</v>
      </c>
      <c r="B1240" s="102" t="s">
        <v>10</v>
      </c>
      <c r="C1240" s="102" t="s">
        <v>154</v>
      </c>
      <c r="D1240" s="103">
        <v>8315.6218194339799</v>
      </c>
      <c r="E1240" s="103">
        <v>3994.2086041707398</v>
      </c>
      <c r="F1240" s="103">
        <v>4696.1047630460598</v>
      </c>
    </row>
    <row r="1241" spans="1:6" hidden="1" x14ac:dyDescent="0.2">
      <c r="A1241" s="102" t="s">
        <v>169</v>
      </c>
      <c r="B1241" s="102" t="s">
        <v>10</v>
      </c>
      <c r="C1241" s="102" t="s">
        <v>155</v>
      </c>
      <c r="D1241" s="103">
        <v>418109.325988753</v>
      </c>
      <c r="E1241" s="103">
        <v>194833.29815419501</v>
      </c>
      <c r="F1241" s="103">
        <v>222659.63878516</v>
      </c>
    </row>
    <row r="1242" spans="1:6" hidden="1" x14ac:dyDescent="0.2">
      <c r="A1242" s="102" t="s">
        <v>169</v>
      </c>
      <c r="B1242" s="102" t="s">
        <v>10</v>
      </c>
      <c r="C1242" s="102" t="s">
        <v>156</v>
      </c>
      <c r="D1242" s="103">
        <v>445468.67401124601</v>
      </c>
      <c r="E1242" s="103">
        <v>207974.70184580499</v>
      </c>
      <c r="F1242" s="103">
        <v>238110.36121483901</v>
      </c>
    </row>
    <row r="1243" spans="1:6" hidden="1" x14ac:dyDescent="0.2">
      <c r="A1243" s="102" t="s">
        <v>169</v>
      </c>
      <c r="B1243" s="102" t="s">
        <v>10</v>
      </c>
      <c r="C1243" s="102" t="s">
        <v>157</v>
      </c>
      <c r="D1243" s="104">
        <v>1.9258530947833199</v>
      </c>
      <c r="E1243" s="104">
        <v>1.9831823619047899</v>
      </c>
      <c r="F1243" s="104">
        <v>2.0383726210673698</v>
      </c>
    </row>
    <row r="1244" spans="1:6" hidden="1" x14ac:dyDescent="0.2">
      <c r="A1244" s="102" t="s">
        <v>169</v>
      </c>
      <c r="B1244" s="102" t="s">
        <v>10</v>
      </c>
      <c r="C1244" s="102" t="s">
        <v>158</v>
      </c>
      <c r="D1244" s="104">
        <v>1.71927813453682</v>
      </c>
      <c r="E1244" s="104">
        <v>1.65613316171486</v>
      </c>
      <c r="F1244" s="104">
        <v>1.80180700667148</v>
      </c>
    </row>
    <row r="1245" spans="1:6" hidden="1" x14ac:dyDescent="0.2">
      <c r="A1245" s="95" t="s">
        <v>169</v>
      </c>
      <c r="B1245" s="95" t="s">
        <v>11</v>
      </c>
      <c r="C1245" s="95" t="s">
        <v>153</v>
      </c>
      <c r="D1245" s="96">
        <v>417283</v>
      </c>
      <c r="E1245" s="96">
        <v>194920</v>
      </c>
      <c r="F1245" s="96">
        <v>222363</v>
      </c>
    </row>
    <row r="1246" spans="1:6" hidden="1" x14ac:dyDescent="0.2">
      <c r="A1246" s="97" t="s">
        <v>169</v>
      </c>
      <c r="B1246" s="97" t="s">
        <v>11</v>
      </c>
      <c r="C1246" s="97" t="s">
        <v>154</v>
      </c>
      <c r="D1246" s="98">
        <v>8326.4495911418308</v>
      </c>
      <c r="E1246" s="98">
        <v>4313.2441214187502</v>
      </c>
      <c r="F1246" s="98">
        <v>4346.9676224946998</v>
      </c>
    </row>
    <row r="1247" spans="1:6" hidden="1" x14ac:dyDescent="0.2">
      <c r="A1247" s="97" t="s">
        <v>169</v>
      </c>
      <c r="B1247" s="97" t="s">
        <v>11</v>
      </c>
      <c r="C1247" s="97" t="s">
        <v>155</v>
      </c>
      <c r="D1247" s="98">
        <v>403585.51368434</v>
      </c>
      <c r="E1247" s="98">
        <v>187824.46646166101</v>
      </c>
      <c r="F1247" s="98">
        <v>215211.98937152201</v>
      </c>
    </row>
    <row r="1248" spans="1:6" hidden="1" x14ac:dyDescent="0.2">
      <c r="A1248" s="97" t="s">
        <v>169</v>
      </c>
      <c r="B1248" s="97" t="s">
        <v>11</v>
      </c>
      <c r="C1248" s="97" t="s">
        <v>156</v>
      </c>
      <c r="D1248" s="98">
        <v>430980.48631565901</v>
      </c>
      <c r="E1248" s="98">
        <v>202015.533538338</v>
      </c>
      <c r="F1248" s="98">
        <v>229514.010628477</v>
      </c>
    </row>
    <row r="1249" spans="1:6" hidden="1" x14ac:dyDescent="0.2">
      <c r="A1249" s="97" t="s">
        <v>169</v>
      </c>
      <c r="B1249" s="97" t="s">
        <v>11</v>
      </c>
      <c r="C1249" s="97" t="s">
        <v>157</v>
      </c>
      <c r="D1249" s="99">
        <v>1.9953963116498401</v>
      </c>
      <c r="E1249" s="99">
        <v>2.2128278890923201</v>
      </c>
      <c r="F1249" s="99">
        <v>1.95489700287129</v>
      </c>
    </row>
    <row r="1250" spans="1:6" hidden="1" x14ac:dyDescent="0.2">
      <c r="A1250" s="97" t="s">
        <v>169</v>
      </c>
      <c r="B1250" s="97" t="s">
        <v>11</v>
      </c>
      <c r="C1250" s="97" t="s">
        <v>158</v>
      </c>
      <c r="D1250" s="99">
        <v>1.84063033976601</v>
      </c>
      <c r="E1250" s="99">
        <v>2.0134816253320098</v>
      </c>
      <c r="F1250" s="99">
        <v>1.68331412582992</v>
      </c>
    </row>
    <row r="1251" spans="1:6" hidden="1" x14ac:dyDescent="0.2">
      <c r="A1251" s="100" t="s">
        <v>169</v>
      </c>
      <c r="B1251" s="100" t="s">
        <v>12</v>
      </c>
      <c r="C1251" s="100" t="s">
        <v>153</v>
      </c>
      <c r="D1251" s="101">
        <v>384400</v>
      </c>
      <c r="E1251" s="101">
        <v>182817</v>
      </c>
      <c r="F1251" s="101">
        <v>201583</v>
      </c>
    </row>
    <row r="1252" spans="1:6" hidden="1" x14ac:dyDescent="0.2">
      <c r="A1252" s="102" t="s">
        <v>169</v>
      </c>
      <c r="B1252" s="102" t="s">
        <v>12</v>
      </c>
      <c r="C1252" s="102" t="s">
        <v>154</v>
      </c>
      <c r="D1252" s="103">
        <v>7762.0552490698901</v>
      </c>
      <c r="E1252" s="103">
        <v>4003.2361133301401</v>
      </c>
      <c r="F1252" s="103">
        <v>4071.4562496906901</v>
      </c>
    </row>
    <row r="1253" spans="1:6" hidden="1" x14ac:dyDescent="0.2">
      <c r="A1253" s="102" t="s">
        <v>169</v>
      </c>
      <c r="B1253" s="102" t="s">
        <v>12</v>
      </c>
      <c r="C1253" s="102" t="s">
        <v>155</v>
      </c>
      <c r="D1253" s="103">
        <v>371630.97469194501</v>
      </c>
      <c r="E1253" s="103">
        <v>176231.44738474899</v>
      </c>
      <c r="F1253" s="103">
        <v>194885.221354432</v>
      </c>
    </row>
    <row r="1254" spans="1:6" hidden="1" x14ac:dyDescent="0.2">
      <c r="A1254" s="102" t="s">
        <v>169</v>
      </c>
      <c r="B1254" s="102" t="s">
        <v>12</v>
      </c>
      <c r="C1254" s="102" t="s">
        <v>156</v>
      </c>
      <c r="D1254" s="103">
        <v>397169.025308054</v>
      </c>
      <c r="E1254" s="103">
        <v>189402.55261525</v>
      </c>
      <c r="F1254" s="103">
        <v>208280.77864556701</v>
      </c>
    </row>
    <row r="1255" spans="1:6" hidden="1" x14ac:dyDescent="0.2">
      <c r="A1255" s="102" t="s">
        <v>169</v>
      </c>
      <c r="B1255" s="102" t="s">
        <v>12</v>
      </c>
      <c r="C1255" s="102" t="s">
        <v>157</v>
      </c>
      <c r="D1255" s="104">
        <v>2.01926515324398</v>
      </c>
      <c r="E1255" s="104">
        <v>2.1897504681348798</v>
      </c>
      <c r="F1255" s="104">
        <v>2.0197418679604402</v>
      </c>
    </row>
    <row r="1256" spans="1:6" hidden="1" x14ac:dyDescent="0.2">
      <c r="A1256" s="102" t="s">
        <v>169</v>
      </c>
      <c r="B1256" s="102" t="s">
        <v>12</v>
      </c>
      <c r="C1256" s="102" t="s">
        <v>158</v>
      </c>
      <c r="D1256" s="104">
        <v>1.82387871108297</v>
      </c>
      <c r="E1256" s="104">
        <v>1.9446785114006899</v>
      </c>
      <c r="F1256" s="104">
        <v>1.7083106229076801</v>
      </c>
    </row>
    <row r="1257" spans="1:6" hidden="1" x14ac:dyDescent="0.2">
      <c r="A1257" s="95" t="s">
        <v>169</v>
      </c>
      <c r="B1257" s="95" t="s">
        <v>13</v>
      </c>
      <c r="C1257" s="95" t="s">
        <v>153</v>
      </c>
      <c r="D1257" s="96">
        <v>310565</v>
      </c>
      <c r="E1257" s="96">
        <v>143285</v>
      </c>
      <c r="F1257" s="96">
        <v>167280</v>
      </c>
    </row>
    <row r="1258" spans="1:6" hidden="1" x14ac:dyDescent="0.2">
      <c r="A1258" s="97" t="s">
        <v>169</v>
      </c>
      <c r="B1258" s="97" t="s">
        <v>13</v>
      </c>
      <c r="C1258" s="97" t="s">
        <v>154</v>
      </c>
      <c r="D1258" s="98">
        <v>5891.5240020863803</v>
      </c>
      <c r="E1258" s="98">
        <v>2896.0393261180802</v>
      </c>
      <c r="F1258" s="98">
        <v>3317.3837069381302</v>
      </c>
    </row>
    <row r="1259" spans="1:6" hidden="1" x14ac:dyDescent="0.2">
      <c r="A1259" s="97" t="s">
        <v>169</v>
      </c>
      <c r="B1259" s="97" t="s">
        <v>13</v>
      </c>
      <c r="C1259" s="97" t="s">
        <v>155</v>
      </c>
      <c r="D1259" s="98">
        <v>300873.10569215298</v>
      </c>
      <c r="E1259" s="98">
        <v>138520.84949324399</v>
      </c>
      <c r="F1259" s="98">
        <v>161822.71386235001</v>
      </c>
    </row>
    <row r="1260" spans="1:6" hidden="1" x14ac:dyDescent="0.2">
      <c r="A1260" s="97" t="s">
        <v>169</v>
      </c>
      <c r="B1260" s="97" t="s">
        <v>13</v>
      </c>
      <c r="C1260" s="97" t="s">
        <v>156</v>
      </c>
      <c r="D1260" s="98">
        <v>320256.89430784603</v>
      </c>
      <c r="E1260" s="98">
        <v>148049.15050675499</v>
      </c>
      <c r="F1260" s="98">
        <v>172737.286137649</v>
      </c>
    </row>
    <row r="1261" spans="1:6" hidden="1" x14ac:dyDescent="0.2">
      <c r="A1261" s="97" t="s">
        <v>169</v>
      </c>
      <c r="B1261" s="97" t="s">
        <v>13</v>
      </c>
      <c r="C1261" s="97" t="s">
        <v>157</v>
      </c>
      <c r="D1261" s="99">
        <v>1.8970341159133699</v>
      </c>
      <c r="E1261" s="99">
        <v>2.0211741118177602</v>
      </c>
      <c r="F1261" s="99">
        <v>1.9831322973087799</v>
      </c>
    </row>
    <row r="1262" spans="1:6" hidden="1" x14ac:dyDescent="0.2">
      <c r="A1262" s="97" t="s">
        <v>169</v>
      </c>
      <c r="B1262" s="97" t="s">
        <v>13</v>
      </c>
      <c r="C1262" s="97" t="s">
        <v>158</v>
      </c>
      <c r="D1262" s="99">
        <v>1.6548992100512301</v>
      </c>
      <c r="E1262" s="99">
        <v>1.6903332799848301</v>
      </c>
      <c r="F1262" s="99">
        <v>1.64749473553309</v>
      </c>
    </row>
    <row r="1263" spans="1:6" hidden="1" x14ac:dyDescent="0.2">
      <c r="A1263" s="100" t="s">
        <v>169</v>
      </c>
      <c r="B1263" s="100" t="s">
        <v>14</v>
      </c>
      <c r="C1263" s="100" t="s">
        <v>153</v>
      </c>
      <c r="D1263" s="101">
        <v>270839</v>
      </c>
      <c r="E1263" s="101">
        <v>125380</v>
      </c>
      <c r="F1263" s="101">
        <v>145459</v>
      </c>
    </row>
    <row r="1264" spans="1:6" hidden="1" x14ac:dyDescent="0.2">
      <c r="A1264" s="102" t="s">
        <v>169</v>
      </c>
      <c r="B1264" s="102" t="s">
        <v>14</v>
      </c>
      <c r="C1264" s="102" t="s">
        <v>154</v>
      </c>
      <c r="D1264" s="103">
        <v>4833.1202736672903</v>
      </c>
      <c r="E1264" s="103">
        <v>2466.0582687060601</v>
      </c>
      <c r="F1264" s="103">
        <v>2740.57888736321</v>
      </c>
    </row>
    <row r="1265" spans="1:6" hidden="1" x14ac:dyDescent="0.2">
      <c r="A1265" s="102" t="s">
        <v>169</v>
      </c>
      <c r="B1265" s="102" t="s">
        <v>14</v>
      </c>
      <c r="C1265" s="102" t="s">
        <v>155</v>
      </c>
      <c r="D1265" s="103">
        <v>262888.24042524397</v>
      </c>
      <c r="E1265" s="103">
        <v>121323.19295163199</v>
      </c>
      <c r="F1265" s="103">
        <v>140950.59081602001</v>
      </c>
    </row>
    <row r="1266" spans="1:6" hidden="1" x14ac:dyDescent="0.2">
      <c r="A1266" s="102" t="s">
        <v>169</v>
      </c>
      <c r="B1266" s="102" t="s">
        <v>14</v>
      </c>
      <c r="C1266" s="102" t="s">
        <v>156</v>
      </c>
      <c r="D1266" s="103">
        <v>278789.75957475603</v>
      </c>
      <c r="E1266" s="103">
        <v>129436.807048367</v>
      </c>
      <c r="F1266" s="103">
        <v>149967.40918397901</v>
      </c>
    </row>
    <row r="1267" spans="1:6" hidden="1" x14ac:dyDescent="0.2">
      <c r="A1267" s="102" t="s">
        <v>169</v>
      </c>
      <c r="B1267" s="102" t="s">
        <v>14</v>
      </c>
      <c r="C1267" s="102" t="s">
        <v>157</v>
      </c>
      <c r="D1267" s="104">
        <v>1.78449937921321</v>
      </c>
      <c r="E1267" s="104">
        <v>1.96686733825655</v>
      </c>
      <c r="F1267" s="104">
        <v>1.8840902847972401</v>
      </c>
    </row>
    <row r="1268" spans="1:6" hidden="1" x14ac:dyDescent="0.2">
      <c r="A1268" s="102" t="s">
        <v>169</v>
      </c>
      <c r="B1268" s="102" t="s">
        <v>14</v>
      </c>
      <c r="C1268" s="102" t="s">
        <v>158</v>
      </c>
      <c r="D1268" s="104">
        <v>1.4107421394390101</v>
      </c>
      <c r="E1268" s="104">
        <v>1.5051119709023499</v>
      </c>
      <c r="F1268" s="104">
        <v>1.44094783103438</v>
      </c>
    </row>
    <row r="1269" spans="1:6" hidden="1" x14ac:dyDescent="0.2">
      <c r="A1269" s="95" t="s">
        <v>169</v>
      </c>
      <c r="B1269" s="95" t="s">
        <v>15</v>
      </c>
      <c r="C1269" s="95" t="s">
        <v>153</v>
      </c>
      <c r="D1269" s="96">
        <v>215865</v>
      </c>
      <c r="E1269" s="96">
        <v>99009</v>
      </c>
      <c r="F1269" s="96">
        <v>116856</v>
      </c>
    </row>
    <row r="1270" spans="1:6" hidden="1" x14ac:dyDescent="0.2">
      <c r="A1270" s="97" t="s">
        <v>169</v>
      </c>
      <c r="B1270" s="97" t="s">
        <v>15</v>
      </c>
      <c r="C1270" s="97" t="s">
        <v>154</v>
      </c>
      <c r="D1270" s="98">
        <v>4222.0402595784399</v>
      </c>
      <c r="E1270" s="98">
        <v>2134.0648835198999</v>
      </c>
      <c r="F1270" s="98">
        <v>2407.2637774826499</v>
      </c>
    </row>
    <row r="1271" spans="1:6" hidden="1" x14ac:dyDescent="0.2">
      <c r="A1271" s="97" t="s">
        <v>169</v>
      </c>
      <c r="B1271" s="97" t="s">
        <v>15</v>
      </c>
      <c r="C1271" s="97" t="s">
        <v>155</v>
      </c>
      <c r="D1271" s="98">
        <v>208919.50203634601</v>
      </c>
      <c r="E1271" s="98">
        <v>95498.341078838494</v>
      </c>
      <c r="F1271" s="98">
        <v>112895.913256025</v>
      </c>
    </row>
    <row r="1272" spans="1:6" hidden="1" x14ac:dyDescent="0.2">
      <c r="A1272" s="97" t="s">
        <v>169</v>
      </c>
      <c r="B1272" s="97" t="s">
        <v>15</v>
      </c>
      <c r="C1272" s="97" t="s">
        <v>156</v>
      </c>
      <c r="D1272" s="98">
        <v>222810.497963653</v>
      </c>
      <c r="E1272" s="98">
        <v>102519.658921161</v>
      </c>
      <c r="F1272" s="98">
        <v>120816.086743974</v>
      </c>
    </row>
    <row r="1273" spans="1:6" hidden="1" x14ac:dyDescent="0.2">
      <c r="A1273" s="97" t="s">
        <v>169</v>
      </c>
      <c r="B1273" s="97" t="s">
        <v>15</v>
      </c>
      <c r="C1273" s="97" t="s">
        <v>157</v>
      </c>
      <c r="D1273" s="99">
        <v>1.9558706875030401</v>
      </c>
      <c r="E1273" s="99">
        <v>2.1554251467239398</v>
      </c>
      <c r="F1273" s="99">
        <v>2.0600258245042098</v>
      </c>
    </row>
    <row r="1274" spans="1:6" hidden="1" x14ac:dyDescent="0.2">
      <c r="A1274" s="97" t="s">
        <v>169</v>
      </c>
      <c r="B1274" s="97" t="s">
        <v>15</v>
      </c>
      <c r="C1274" s="97" t="s">
        <v>158</v>
      </c>
      <c r="D1274" s="99">
        <v>1.5254191910425801</v>
      </c>
      <c r="E1274" s="99">
        <v>1.6133752684645899</v>
      </c>
      <c r="F1274" s="99">
        <v>1.5380095567957299</v>
      </c>
    </row>
    <row r="1275" spans="1:6" hidden="1" x14ac:dyDescent="0.2">
      <c r="A1275" s="100" t="s">
        <v>169</v>
      </c>
      <c r="B1275" s="100" t="s">
        <v>16</v>
      </c>
      <c r="C1275" s="100" t="s">
        <v>153</v>
      </c>
      <c r="D1275" s="101">
        <v>171484</v>
      </c>
      <c r="E1275" s="101">
        <v>80599</v>
      </c>
      <c r="F1275" s="101">
        <v>90885</v>
      </c>
    </row>
    <row r="1276" spans="1:6" hidden="1" x14ac:dyDescent="0.2">
      <c r="A1276" s="102" t="s">
        <v>169</v>
      </c>
      <c r="B1276" s="102" t="s">
        <v>16</v>
      </c>
      <c r="C1276" s="102" t="s">
        <v>154</v>
      </c>
      <c r="D1276" s="103">
        <v>3210.88081743677</v>
      </c>
      <c r="E1276" s="103">
        <v>1687.48395323298</v>
      </c>
      <c r="F1276" s="103">
        <v>1880.5799608923101</v>
      </c>
    </row>
    <row r="1277" spans="1:6" hidden="1" x14ac:dyDescent="0.2">
      <c r="A1277" s="102" t="s">
        <v>169</v>
      </c>
      <c r="B1277" s="102" t="s">
        <v>16</v>
      </c>
      <c r="C1277" s="102" t="s">
        <v>155</v>
      </c>
      <c r="D1277" s="103">
        <v>166201.91721349701</v>
      </c>
      <c r="E1277" s="103">
        <v>77822.9922785464</v>
      </c>
      <c r="F1277" s="103">
        <v>87791.338290064203</v>
      </c>
    </row>
    <row r="1278" spans="1:6" hidden="1" x14ac:dyDescent="0.2">
      <c r="A1278" s="102" t="s">
        <v>169</v>
      </c>
      <c r="B1278" s="102" t="s">
        <v>16</v>
      </c>
      <c r="C1278" s="102" t="s">
        <v>156</v>
      </c>
      <c r="D1278" s="103">
        <v>176766.082786502</v>
      </c>
      <c r="E1278" s="103">
        <v>83375.007721453498</v>
      </c>
      <c r="F1278" s="103">
        <v>93978.661709935695</v>
      </c>
    </row>
    <row r="1279" spans="1:6" hidden="1" x14ac:dyDescent="0.2">
      <c r="A1279" s="102" t="s">
        <v>169</v>
      </c>
      <c r="B1279" s="102" t="s">
        <v>16</v>
      </c>
      <c r="C1279" s="102" t="s">
        <v>157</v>
      </c>
      <c r="D1279" s="104">
        <v>1.87240839812272</v>
      </c>
      <c r="E1279" s="104">
        <v>2.09367852359581</v>
      </c>
      <c r="F1279" s="104">
        <v>2.0691862913487502</v>
      </c>
    </row>
    <row r="1280" spans="1:6" hidden="1" x14ac:dyDescent="0.2">
      <c r="A1280" s="102" t="s">
        <v>169</v>
      </c>
      <c r="B1280" s="102" t="s">
        <v>16</v>
      </c>
      <c r="C1280" s="102" t="s">
        <v>158</v>
      </c>
      <c r="D1280" s="104">
        <v>1.3387033467049501</v>
      </c>
      <c r="E1280" s="104">
        <v>1.4633532608523101</v>
      </c>
      <c r="F1280" s="104">
        <v>1.41011959567203</v>
      </c>
    </row>
    <row r="1281" spans="1:6" hidden="1" x14ac:dyDescent="0.2">
      <c r="A1281" s="95" t="s">
        <v>169</v>
      </c>
      <c r="B1281" s="95" t="s">
        <v>17</v>
      </c>
      <c r="C1281" s="95" t="s">
        <v>153</v>
      </c>
      <c r="D1281" s="96">
        <v>131412</v>
      </c>
      <c r="E1281" s="96">
        <v>62019</v>
      </c>
      <c r="F1281" s="96">
        <v>69393</v>
      </c>
    </row>
    <row r="1282" spans="1:6" hidden="1" x14ac:dyDescent="0.2">
      <c r="A1282" s="97" t="s">
        <v>169</v>
      </c>
      <c r="B1282" s="97" t="s">
        <v>17</v>
      </c>
      <c r="C1282" s="97" t="s">
        <v>154</v>
      </c>
      <c r="D1282" s="98">
        <v>2517.6093623971501</v>
      </c>
      <c r="E1282" s="98">
        <v>1362.8730209335599</v>
      </c>
      <c r="F1282" s="98">
        <v>1491.3720376052599</v>
      </c>
    </row>
    <row r="1283" spans="1:6" hidden="1" x14ac:dyDescent="0.2">
      <c r="A1283" s="97" t="s">
        <v>169</v>
      </c>
      <c r="B1283" s="97" t="s">
        <v>17</v>
      </c>
      <c r="C1283" s="97" t="s">
        <v>155</v>
      </c>
      <c r="D1283" s="98">
        <v>127270.388450907</v>
      </c>
      <c r="E1283" s="98">
        <v>59776.995848064798</v>
      </c>
      <c r="F1283" s="98">
        <v>66939.607608315098</v>
      </c>
    </row>
    <row r="1284" spans="1:6" hidden="1" x14ac:dyDescent="0.2">
      <c r="A1284" s="97" t="s">
        <v>169</v>
      </c>
      <c r="B1284" s="97" t="s">
        <v>17</v>
      </c>
      <c r="C1284" s="97" t="s">
        <v>156</v>
      </c>
      <c r="D1284" s="98">
        <v>135553.61154909199</v>
      </c>
      <c r="E1284" s="98">
        <v>64261.0041519351</v>
      </c>
      <c r="F1284" s="98">
        <v>71846.392391684902</v>
      </c>
    </row>
    <row r="1285" spans="1:6" hidden="1" x14ac:dyDescent="0.2">
      <c r="A1285" s="97" t="s">
        <v>169</v>
      </c>
      <c r="B1285" s="97" t="s">
        <v>17</v>
      </c>
      <c r="C1285" s="97" t="s">
        <v>157</v>
      </c>
      <c r="D1285" s="99">
        <v>1.9158139000982799</v>
      </c>
      <c r="E1285" s="99">
        <v>2.1975088616932799</v>
      </c>
      <c r="F1285" s="99">
        <v>2.1491678376857299</v>
      </c>
    </row>
    <row r="1286" spans="1:6" hidden="1" x14ac:dyDescent="0.2">
      <c r="A1286" s="97" t="s">
        <v>169</v>
      </c>
      <c r="B1286" s="97" t="s">
        <v>17</v>
      </c>
      <c r="C1286" s="97" t="s">
        <v>158</v>
      </c>
      <c r="D1286" s="99">
        <v>1.2515977472506099</v>
      </c>
      <c r="E1286" s="99">
        <v>1.40746381501955</v>
      </c>
      <c r="F1286" s="99">
        <v>1.3226190349745299</v>
      </c>
    </row>
    <row r="1287" spans="1:6" hidden="1" x14ac:dyDescent="0.2">
      <c r="A1287" s="100" t="s">
        <v>169</v>
      </c>
      <c r="B1287" s="100" t="s">
        <v>18</v>
      </c>
      <c r="C1287" s="100" t="s">
        <v>153</v>
      </c>
      <c r="D1287" s="101">
        <v>97522</v>
      </c>
      <c r="E1287" s="101">
        <v>44640</v>
      </c>
      <c r="F1287" s="101">
        <v>52882</v>
      </c>
    </row>
    <row r="1288" spans="1:6" hidden="1" x14ac:dyDescent="0.2">
      <c r="A1288" s="102" t="s">
        <v>169</v>
      </c>
      <c r="B1288" s="102" t="s">
        <v>18</v>
      </c>
      <c r="C1288" s="102" t="s">
        <v>154</v>
      </c>
      <c r="D1288" s="103">
        <v>2082.4427372397599</v>
      </c>
      <c r="E1288" s="103">
        <v>1081.3347347582901</v>
      </c>
      <c r="F1288" s="103">
        <v>1321.72189869208</v>
      </c>
    </row>
    <row r="1289" spans="1:6" hidden="1" x14ac:dyDescent="0.2">
      <c r="A1289" s="102" t="s">
        <v>169</v>
      </c>
      <c r="B1289" s="102" t="s">
        <v>18</v>
      </c>
      <c r="C1289" s="102" t="s">
        <v>155</v>
      </c>
      <c r="D1289" s="103">
        <v>94096.262465141001</v>
      </c>
      <c r="E1289" s="103">
        <v>42861.142448546503</v>
      </c>
      <c r="F1289" s="103">
        <v>50707.691800295899</v>
      </c>
    </row>
    <row r="1290" spans="1:6" hidden="1" x14ac:dyDescent="0.2">
      <c r="A1290" s="102" t="s">
        <v>169</v>
      </c>
      <c r="B1290" s="102" t="s">
        <v>18</v>
      </c>
      <c r="C1290" s="102" t="s">
        <v>156</v>
      </c>
      <c r="D1290" s="103">
        <v>100947.737534859</v>
      </c>
      <c r="E1290" s="103">
        <v>46418.857551453402</v>
      </c>
      <c r="F1290" s="103">
        <v>55056.308199703999</v>
      </c>
    </row>
    <row r="1291" spans="1:6" hidden="1" x14ac:dyDescent="0.2">
      <c r="A1291" s="102" t="s">
        <v>169</v>
      </c>
      <c r="B1291" s="102" t="s">
        <v>18</v>
      </c>
      <c r="C1291" s="102" t="s">
        <v>157</v>
      </c>
      <c r="D1291" s="104">
        <v>2.1353568807446099</v>
      </c>
      <c r="E1291" s="104">
        <v>2.4223448359280702</v>
      </c>
      <c r="F1291" s="104">
        <v>2.4993795595705102</v>
      </c>
    </row>
    <row r="1292" spans="1:6" hidden="1" x14ac:dyDescent="0.2">
      <c r="A1292" s="102" t="s">
        <v>169</v>
      </c>
      <c r="B1292" s="102" t="s">
        <v>18</v>
      </c>
      <c r="C1292" s="102" t="s">
        <v>158</v>
      </c>
      <c r="D1292" s="104">
        <v>1.38365407808218</v>
      </c>
      <c r="E1292" s="104">
        <v>1.4388928149561699</v>
      </c>
      <c r="F1292" s="104">
        <v>1.59141602453244</v>
      </c>
    </row>
    <row r="1293" spans="1:6" hidden="1" x14ac:dyDescent="0.2">
      <c r="A1293" s="95" t="s">
        <v>169</v>
      </c>
      <c r="B1293" s="95" t="s">
        <v>19</v>
      </c>
      <c r="C1293" s="95" t="s">
        <v>153</v>
      </c>
      <c r="D1293" s="96">
        <v>158058</v>
      </c>
      <c r="E1293" s="96">
        <v>71261</v>
      </c>
      <c r="F1293" s="96">
        <v>86797</v>
      </c>
    </row>
    <row r="1294" spans="1:6" hidden="1" x14ac:dyDescent="0.2">
      <c r="A1294" s="97" t="s">
        <v>169</v>
      </c>
      <c r="B1294" s="97" t="s">
        <v>19</v>
      </c>
      <c r="C1294" s="97" t="s">
        <v>154</v>
      </c>
      <c r="D1294" s="98">
        <v>3135.7657098468599</v>
      </c>
      <c r="E1294" s="98">
        <v>1537.9438385005501</v>
      </c>
      <c r="F1294" s="98">
        <v>1898.48923961168</v>
      </c>
    </row>
    <row r="1295" spans="1:6" hidden="1" x14ac:dyDescent="0.2">
      <c r="A1295" s="97" t="s">
        <v>169</v>
      </c>
      <c r="B1295" s="97" t="s">
        <v>19</v>
      </c>
      <c r="C1295" s="97" t="s">
        <v>155</v>
      </c>
      <c r="D1295" s="98">
        <v>152899.485866264</v>
      </c>
      <c r="E1295" s="98">
        <v>68730.994329332694</v>
      </c>
      <c r="F1295" s="98">
        <v>83673.876501159204</v>
      </c>
    </row>
    <row r="1296" spans="1:6" hidden="1" x14ac:dyDescent="0.2">
      <c r="A1296" s="97" t="s">
        <v>169</v>
      </c>
      <c r="B1296" s="97" t="s">
        <v>19</v>
      </c>
      <c r="C1296" s="97" t="s">
        <v>156</v>
      </c>
      <c r="D1296" s="98">
        <v>163216.51413373501</v>
      </c>
      <c r="E1296" s="98">
        <v>73791.005670667204</v>
      </c>
      <c r="F1296" s="98">
        <v>89920.123498840694</v>
      </c>
    </row>
    <row r="1297" spans="1:6" hidden="1" x14ac:dyDescent="0.2">
      <c r="A1297" s="97" t="s">
        <v>169</v>
      </c>
      <c r="B1297" s="97" t="s">
        <v>19</v>
      </c>
      <c r="C1297" s="97" t="s">
        <v>157</v>
      </c>
      <c r="D1297" s="99">
        <v>1.9839335622662899</v>
      </c>
      <c r="E1297" s="99">
        <v>2.1581844746783601</v>
      </c>
      <c r="F1297" s="99">
        <v>2.1872751818745799</v>
      </c>
    </row>
    <row r="1298" spans="1:6" hidden="1" x14ac:dyDescent="0.2">
      <c r="A1298" s="97" t="s">
        <v>169</v>
      </c>
      <c r="B1298" s="97" t="s">
        <v>19</v>
      </c>
      <c r="C1298" s="97" t="s">
        <v>158</v>
      </c>
      <c r="D1298" s="99">
        <v>1.1674055846813201</v>
      </c>
      <c r="E1298" s="99">
        <v>1.22162701671595</v>
      </c>
      <c r="F1298" s="99">
        <v>1.2621260081894199</v>
      </c>
    </row>
    <row r="1299" spans="1:6" hidden="1" x14ac:dyDescent="0.2">
      <c r="A1299" s="100" t="s">
        <v>169</v>
      </c>
      <c r="B1299" s="100" t="s">
        <v>20</v>
      </c>
      <c r="C1299" s="100" t="s">
        <v>153</v>
      </c>
      <c r="D1299" s="101">
        <v>3005</v>
      </c>
      <c r="E1299" s="101">
        <v>1536</v>
      </c>
      <c r="F1299" s="101">
        <v>1469</v>
      </c>
    </row>
    <row r="1300" spans="1:6" hidden="1" x14ac:dyDescent="0.2">
      <c r="A1300" s="102" t="s">
        <v>169</v>
      </c>
      <c r="B1300" s="102" t="s">
        <v>20</v>
      </c>
      <c r="C1300" s="102" t="s">
        <v>154</v>
      </c>
      <c r="D1300" s="103">
        <v>245.11398147000901</v>
      </c>
      <c r="E1300" s="103">
        <v>170.35361363035099</v>
      </c>
      <c r="F1300" s="103">
        <v>138.39473809813001</v>
      </c>
    </row>
    <row r="1301" spans="1:6" hidden="1" x14ac:dyDescent="0.2">
      <c r="A1301" s="102" t="s">
        <v>169</v>
      </c>
      <c r="B1301" s="102" t="s">
        <v>20</v>
      </c>
      <c r="C1301" s="102" t="s">
        <v>155</v>
      </c>
      <c r="D1301" s="103">
        <v>2601.7734662641601</v>
      </c>
      <c r="E1301" s="103">
        <v>1255.7585518313399</v>
      </c>
      <c r="F1301" s="103">
        <v>1241.3327319155101</v>
      </c>
    </row>
    <row r="1302" spans="1:6" hidden="1" x14ac:dyDescent="0.2">
      <c r="A1302" s="102" t="s">
        <v>169</v>
      </c>
      <c r="B1302" s="102" t="s">
        <v>20</v>
      </c>
      <c r="C1302" s="102" t="s">
        <v>156</v>
      </c>
      <c r="D1302" s="103">
        <v>3408.2265337358299</v>
      </c>
      <c r="E1302" s="103">
        <v>1816.2414481686501</v>
      </c>
      <c r="F1302" s="103">
        <v>1696.6672680844799</v>
      </c>
    </row>
    <row r="1303" spans="1:6" hidden="1" x14ac:dyDescent="0.2">
      <c r="A1303" s="102" t="s">
        <v>169</v>
      </c>
      <c r="B1303" s="102" t="s">
        <v>20</v>
      </c>
      <c r="C1303" s="102" t="s">
        <v>157</v>
      </c>
      <c r="D1303" s="104">
        <v>8.1568712635610403</v>
      </c>
      <c r="E1303" s="104">
        <v>11.0907300540593</v>
      </c>
      <c r="F1303" s="104">
        <v>9.4210168889128791</v>
      </c>
    </row>
    <row r="1304" spans="1:6" hidden="1" x14ac:dyDescent="0.2">
      <c r="A1304" s="102" t="s">
        <v>169</v>
      </c>
      <c r="B1304" s="102" t="s">
        <v>20</v>
      </c>
      <c r="C1304" s="102" t="s">
        <v>158</v>
      </c>
      <c r="D1304" s="104">
        <v>1.64728713871925</v>
      </c>
      <c r="E1304" s="104">
        <v>2.1044566179453201</v>
      </c>
      <c r="F1304" s="104">
        <v>1.33105928207835</v>
      </c>
    </row>
    <row r="1305" spans="1:6" hidden="1" x14ac:dyDescent="0.2">
      <c r="A1305" s="95" t="s">
        <v>170</v>
      </c>
      <c r="B1305" s="95" t="s">
        <v>152</v>
      </c>
      <c r="C1305" s="95" t="s">
        <v>153</v>
      </c>
      <c r="D1305" s="96">
        <v>3533251</v>
      </c>
      <c r="E1305" s="96">
        <v>1699059</v>
      </c>
      <c r="F1305" s="96">
        <v>1834192</v>
      </c>
    </row>
    <row r="1306" spans="1:6" hidden="1" x14ac:dyDescent="0.2">
      <c r="A1306" s="97" t="s">
        <v>170</v>
      </c>
      <c r="B1306" s="97" t="s">
        <v>152</v>
      </c>
      <c r="C1306" s="97" t="s">
        <v>154</v>
      </c>
      <c r="D1306" s="98">
        <v>41347.290437742602</v>
      </c>
      <c r="E1306" s="98">
        <v>19894.045439042999</v>
      </c>
      <c r="F1306" s="98">
        <v>21815.540977365701</v>
      </c>
    </row>
    <row r="1307" spans="1:6" hidden="1" x14ac:dyDescent="0.2">
      <c r="A1307" s="97" t="s">
        <v>170</v>
      </c>
      <c r="B1307" s="97" t="s">
        <v>152</v>
      </c>
      <c r="C1307" s="97" t="s">
        <v>155</v>
      </c>
      <c r="D1307" s="98">
        <v>3465235.8818026199</v>
      </c>
      <c r="E1307" s="98">
        <v>1666333.8603926499</v>
      </c>
      <c r="F1307" s="98">
        <v>1798306.0548169799</v>
      </c>
    </row>
    <row r="1308" spans="1:6" hidden="1" x14ac:dyDescent="0.2">
      <c r="A1308" s="97" t="s">
        <v>170</v>
      </c>
      <c r="B1308" s="97" t="s">
        <v>152</v>
      </c>
      <c r="C1308" s="97" t="s">
        <v>156</v>
      </c>
      <c r="D1308" s="98">
        <v>3601266.1181973699</v>
      </c>
      <c r="E1308" s="98">
        <v>1731784.1396073401</v>
      </c>
      <c r="F1308" s="98">
        <v>1870077.9451830101</v>
      </c>
    </row>
    <row r="1309" spans="1:6" hidden="1" x14ac:dyDescent="0.2">
      <c r="A1309" s="97" t="s">
        <v>170</v>
      </c>
      <c r="B1309" s="97" t="s">
        <v>152</v>
      </c>
      <c r="C1309" s="97" t="s">
        <v>157</v>
      </c>
      <c r="D1309" s="99">
        <v>1.17023360179457</v>
      </c>
      <c r="E1309" s="99">
        <v>1.17088608688945</v>
      </c>
      <c r="F1309" s="99">
        <v>1.18938153570432</v>
      </c>
    </row>
    <row r="1310" spans="1:6" hidden="1" x14ac:dyDescent="0.2">
      <c r="A1310" s="97" t="s">
        <v>170</v>
      </c>
      <c r="B1310" s="97" t="s">
        <v>152</v>
      </c>
      <c r="C1310" s="97" t="s">
        <v>158</v>
      </c>
      <c r="D1310" s="99">
        <v>2.5094384146865498</v>
      </c>
      <c r="E1310" s="99">
        <v>1.47841948310017</v>
      </c>
      <c r="F1310" s="99">
        <v>1.5522218922236499</v>
      </c>
    </row>
    <row r="1311" spans="1:6" hidden="1" x14ac:dyDescent="0.2">
      <c r="A1311" s="100" t="s">
        <v>170</v>
      </c>
      <c r="B1311" s="100" t="s">
        <v>4</v>
      </c>
      <c r="C1311" s="100" t="s">
        <v>153</v>
      </c>
      <c r="D1311" s="101">
        <v>356150</v>
      </c>
      <c r="E1311" s="101">
        <v>180447</v>
      </c>
      <c r="F1311" s="101">
        <v>175703</v>
      </c>
    </row>
    <row r="1312" spans="1:6" hidden="1" x14ac:dyDescent="0.2">
      <c r="A1312" s="102" t="s">
        <v>170</v>
      </c>
      <c r="B1312" s="102" t="s">
        <v>4</v>
      </c>
      <c r="C1312" s="102" t="s">
        <v>154</v>
      </c>
      <c r="D1312" s="103">
        <v>4568.71583392299</v>
      </c>
      <c r="E1312" s="103">
        <v>2411.25127180964</v>
      </c>
      <c r="F1312" s="103">
        <v>2513.3923694789</v>
      </c>
    </row>
    <row r="1313" spans="1:6" hidden="1" x14ac:dyDescent="0.2">
      <c r="A1313" s="102" t="s">
        <v>170</v>
      </c>
      <c r="B1313" s="102" t="s">
        <v>4</v>
      </c>
      <c r="C1313" s="102" t="s">
        <v>155</v>
      </c>
      <c r="D1313" s="103">
        <v>348634.59223894199</v>
      </c>
      <c r="E1313" s="103">
        <v>176480.56015546701</v>
      </c>
      <c r="F1313" s="103">
        <v>171568.54095137399</v>
      </c>
    </row>
    <row r="1314" spans="1:6" hidden="1" x14ac:dyDescent="0.2">
      <c r="A1314" s="102" t="s">
        <v>170</v>
      </c>
      <c r="B1314" s="102" t="s">
        <v>4</v>
      </c>
      <c r="C1314" s="102" t="s">
        <v>156</v>
      </c>
      <c r="D1314" s="103">
        <v>363665.40776105702</v>
      </c>
      <c r="E1314" s="103">
        <v>184413.439844532</v>
      </c>
      <c r="F1314" s="103">
        <v>179837.45904862499</v>
      </c>
    </row>
    <row r="1315" spans="1:6" hidden="1" x14ac:dyDescent="0.2">
      <c r="A1315" s="102" t="s">
        <v>170</v>
      </c>
      <c r="B1315" s="102" t="s">
        <v>4</v>
      </c>
      <c r="C1315" s="102" t="s">
        <v>157</v>
      </c>
      <c r="D1315" s="104">
        <v>1.2828066359463699</v>
      </c>
      <c r="E1315" s="104">
        <v>1.33626564687118</v>
      </c>
      <c r="F1315" s="104">
        <v>1.43047777754443</v>
      </c>
    </row>
    <row r="1316" spans="1:6" hidden="1" x14ac:dyDescent="0.2">
      <c r="A1316" s="102" t="s">
        <v>170</v>
      </c>
      <c r="B1316" s="102" t="s">
        <v>4</v>
      </c>
      <c r="C1316" s="102" t="s">
        <v>158</v>
      </c>
      <c r="D1316" s="104">
        <v>1.0128209805783299</v>
      </c>
      <c r="E1316" s="104">
        <v>1.04239781833696</v>
      </c>
      <c r="F1316" s="104">
        <v>1.1692436315728501</v>
      </c>
    </row>
    <row r="1317" spans="1:6" hidden="1" x14ac:dyDescent="0.2">
      <c r="A1317" s="95" t="s">
        <v>170</v>
      </c>
      <c r="B1317" s="95" t="s">
        <v>5</v>
      </c>
      <c r="C1317" s="95" t="s">
        <v>153</v>
      </c>
      <c r="D1317" s="96">
        <v>363235</v>
      </c>
      <c r="E1317" s="96">
        <v>184761</v>
      </c>
      <c r="F1317" s="96">
        <v>178474</v>
      </c>
    </row>
    <row r="1318" spans="1:6" hidden="1" x14ac:dyDescent="0.2">
      <c r="A1318" s="97" t="s">
        <v>170</v>
      </c>
      <c r="B1318" s="97" t="s">
        <v>5</v>
      </c>
      <c r="C1318" s="97" t="s">
        <v>154</v>
      </c>
      <c r="D1318" s="98">
        <v>4601.4300890635895</v>
      </c>
      <c r="E1318" s="98">
        <v>2526.0351755474799</v>
      </c>
      <c r="F1318" s="98">
        <v>2495.0075160522501</v>
      </c>
    </row>
    <row r="1319" spans="1:6" hidden="1" x14ac:dyDescent="0.2">
      <c r="A1319" s="97" t="s">
        <v>170</v>
      </c>
      <c r="B1319" s="97" t="s">
        <v>5</v>
      </c>
      <c r="C1319" s="97" t="s">
        <v>155</v>
      </c>
      <c r="D1319" s="98">
        <v>355665.77821856597</v>
      </c>
      <c r="E1319" s="98">
        <v>180605.743894541</v>
      </c>
      <c r="F1319" s="98">
        <v>174369.78351299299</v>
      </c>
    </row>
    <row r="1320" spans="1:6" hidden="1" x14ac:dyDescent="0.2">
      <c r="A1320" s="97" t="s">
        <v>170</v>
      </c>
      <c r="B1320" s="97" t="s">
        <v>5</v>
      </c>
      <c r="C1320" s="97" t="s">
        <v>156</v>
      </c>
      <c r="D1320" s="98">
        <v>370804.22178143298</v>
      </c>
      <c r="E1320" s="98">
        <v>188916.25610545799</v>
      </c>
      <c r="F1320" s="98">
        <v>182578.21648700599</v>
      </c>
    </row>
    <row r="1321" spans="1:6" hidden="1" x14ac:dyDescent="0.2">
      <c r="A1321" s="97" t="s">
        <v>170</v>
      </c>
      <c r="B1321" s="97" t="s">
        <v>5</v>
      </c>
      <c r="C1321" s="97" t="s">
        <v>157</v>
      </c>
      <c r="D1321" s="99">
        <v>1.26679149560576</v>
      </c>
      <c r="E1321" s="99">
        <v>1.3671906817713</v>
      </c>
      <c r="F1321" s="99">
        <v>1.3979669397515799</v>
      </c>
    </row>
    <row r="1322" spans="1:6" hidden="1" x14ac:dyDescent="0.2">
      <c r="A1322" s="97" t="s">
        <v>170</v>
      </c>
      <c r="B1322" s="97" t="s">
        <v>5</v>
      </c>
      <c r="C1322" s="97" t="s">
        <v>158</v>
      </c>
      <c r="D1322" s="99">
        <v>1.02311887884236</v>
      </c>
      <c r="E1322" s="99">
        <v>1.1433554375922601</v>
      </c>
      <c r="F1322" s="99">
        <v>1.13748360089609</v>
      </c>
    </row>
    <row r="1323" spans="1:6" hidden="1" x14ac:dyDescent="0.2">
      <c r="A1323" s="100" t="s">
        <v>170</v>
      </c>
      <c r="B1323" s="100" t="s">
        <v>6</v>
      </c>
      <c r="C1323" s="100" t="s">
        <v>153</v>
      </c>
      <c r="D1323" s="101">
        <v>371834</v>
      </c>
      <c r="E1323" s="101">
        <v>188059</v>
      </c>
      <c r="F1323" s="101">
        <v>183775</v>
      </c>
    </row>
    <row r="1324" spans="1:6" hidden="1" x14ac:dyDescent="0.2">
      <c r="A1324" s="102" t="s">
        <v>170</v>
      </c>
      <c r="B1324" s="102" t="s">
        <v>6</v>
      </c>
      <c r="C1324" s="102" t="s">
        <v>154</v>
      </c>
      <c r="D1324" s="103">
        <v>4616.90324037562</v>
      </c>
      <c r="E1324" s="103">
        <v>2601.5966727361401</v>
      </c>
      <c r="F1324" s="103">
        <v>2482.5796369488198</v>
      </c>
    </row>
    <row r="1325" spans="1:6" hidden="1" x14ac:dyDescent="0.2">
      <c r="A1325" s="102" t="s">
        <v>170</v>
      </c>
      <c r="B1325" s="102" t="s">
        <v>6</v>
      </c>
      <c r="C1325" s="102" t="s">
        <v>155</v>
      </c>
      <c r="D1325" s="103">
        <v>364239.32532421098</v>
      </c>
      <c r="E1325" s="103">
        <v>183779.44737817801</v>
      </c>
      <c r="F1325" s="103">
        <v>179691.22702107299</v>
      </c>
    </row>
    <row r="1326" spans="1:6" hidden="1" x14ac:dyDescent="0.2">
      <c r="A1326" s="102" t="s">
        <v>170</v>
      </c>
      <c r="B1326" s="102" t="s">
        <v>6</v>
      </c>
      <c r="C1326" s="102" t="s">
        <v>156</v>
      </c>
      <c r="D1326" s="103">
        <v>379428.67467578797</v>
      </c>
      <c r="E1326" s="103">
        <v>192338.552621821</v>
      </c>
      <c r="F1326" s="103">
        <v>187858.77297892599</v>
      </c>
    </row>
    <row r="1327" spans="1:6" hidden="1" x14ac:dyDescent="0.2">
      <c r="A1327" s="102" t="s">
        <v>170</v>
      </c>
      <c r="B1327" s="102" t="s">
        <v>6</v>
      </c>
      <c r="C1327" s="102" t="s">
        <v>157</v>
      </c>
      <c r="D1327" s="104">
        <v>1.2416570943957801</v>
      </c>
      <c r="E1327" s="104">
        <v>1.38339386720983</v>
      </c>
      <c r="F1327" s="104">
        <v>1.35087995480823</v>
      </c>
    </row>
    <row r="1328" spans="1:6" hidden="1" x14ac:dyDescent="0.2">
      <c r="A1328" s="102" t="s">
        <v>170</v>
      </c>
      <c r="B1328" s="102" t="s">
        <v>6</v>
      </c>
      <c r="C1328" s="102" t="s">
        <v>158</v>
      </c>
      <c r="D1328" s="104">
        <v>0.95152425698348997</v>
      </c>
      <c r="E1328" s="104">
        <v>1.1171470940689401</v>
      </c>
      <c r="F1328" s="104">
        <v>1.0460952039525899</v>
      </c>
    </row>
    <row r="1329" spans="1:6" hidden="1" x14ac:dyDescent="0.2">
      <c r="A1329" s="95" t="s">
        <v>170</v>
      </c>
      <c r="B1329" s="95" t="s">
        <v>7</v>
      </c>
      <c r="C1329" s="95" t="s">
        <v>153</v>
      </c>
      <c r="D1329" s="96">
        <v>358436</v>
      </c>
      <c r="E1329" s="96">
        <v>177435</v>
      </c>
      <c r="F1329" s="96">
        <v>181001</v>
      </c>
    </row>
    <row r="1330" spans="1:6" hidden="1" x14ac:dyDescent="0.2">
      <c r="A1330" s="97" t="s">
        <v>170</v>
      </c>
      <c r="B1330" s="97" t="s">
        <v>7</v>
      </c>
      <c r="C1330" s="97" t="s">
        <v>154</v>
      </c>
      <c r="D1330" s="98">
        <v>4682.9083824216204</v>
      </c>
      <c r="E1330" s="98">
        <v>2470.70629651331</v>
      </c>
      <c r="F1330" s="98">
        <v>2626.40639908512</v>
      </c>
    </row>
    <row r="1331" spans="1:6" hidden="1" x14ac:dyDescent="0.2">
      <c r="A1331" s="97" t="s">
        <v>170</v>
      </c>
      <c r="B1331" s="97" t="s">
        <v>7</v>
      </c>
      <c r="C1331" s="97" t="s">
        <v>155</v>
      </c>
      <c r="D1331" s="98">
        <v>350732.74874058599</v>
      </c>
      <c r="E1331" s="98">
        <v>173370.75832879799</v>
      </c>
      <c r="F1331" s="98">
        <v>176680.636083116</v>
      </c>
    </row>
    <row r="1332" spans="1:6" hidden="1" x14ac:dyDescent="0.2">
      <c r="A1332" s="97" t="s">
        <v>170</v>
      </c>
      <c r="B1332" s="97" t="s">
        <v>7</v>
      </c>
      <c r="C1332" s="97" t="s">
        <v>156</v>
      </c>
      <c r="D1332" s="98">
        <v>366139.25125941302</v>
      </c>
      <c r="E1332" s="98">
        <v>181499.24167120099</v>
      </c>
      <c r="F1332" s="98">
        <v>185321.36391688301</v>
      </c>
    </row>
    <row r="1333" spans="1:6" hidden="1" x14ac:dyDescent="0.2">
      <c r="A1333" s="97" t="s">
        <v>170</v>
      </c>
      <c r="B1333" s="97" t="s">
        <v>7</v>
      </c>
      <c r="C1333" s="97" t="s">
        <v>157</v>
      </c>
      <c r="D1333" s="99">
        <v>1.3064838304248501</v>
      </c>
      <c r="E1333" s="99">
        <v>1.3924571231793601</v>
      </c>
      <c r="F1333" s="99">
        <v>1.4510452423385001</v>
      </c>
    </row>
    <row r="1334" spans="1:6" hidden="1" x14ac:dyDescent="0.2">
      <c r="A1334" s="97" t="s">
        <v>170</v>
      </c>
      <c r="B1334" s="97" t="s">
        <v>7</v>
      </c>
      <c r="C1334" s="97" t="s">
        <v>158</v>
      </c>
      <c r="D1334" s="99">
        <v>1.16619779415567</v>
      </c>
      <c r="E1334" s="99">
        <v>1.21837724100448</v>
      </c>
      <c r="F1334" s="99">
        <v>1.35732828546912</v>
      </c>
    </row>
    <row r="1335" spans="1:6" hidden="1" x14ac:dyDescent="0.2">
      <c r="A1335" s="100" t="s">
        <v>170</v>
      </c>
      <c r="B1335" s="100" t="s">
        <v>8</v>
      </c>
      <c r="C1335" s="100" t="s">
        <v>153</v>
      </c>
      <c r="D1335" s="101">
        <v>311433</v>
      </c>
      <c r="E1335" s="101">
        <v>148233</v>
      </c>
      <c r="F1335" s="101">
        <v>163200</v>
      </c>
    </row>
    <row r="1336" spans="1:6" hidden="1" x14ac:dyDescent="0.2">
      <c r="A1336" s="102" t="s">
        <v>170</v>
      </c>
      <c r="B1336" s="102" t="s">
        <v>8</v>
      </c>
      <c r="C1336" s="102" t="s">
        <v>154</v>
      </c>
      <c r="D1336" s="103">
        <v>4210.6622523251199</v>
      </c>
      <c r="E1336" s="103">
        <v>2178.5462445306098</v>
      </c>
      <c r="F1336" s="103">
        <v>2378.9732234121998</v>
      </c>
    </row>
    <row r="1337" spans="1:6" hidden="1" x14ac:dyDescent="0.2">
      <c r="A1337" s="102" t="s">
        <v>170</v>
      </c>
      <c r="B1337" s="102" t="s">
        <v>8</v>
      </c>
      <c r="C1337" s="102" t="s">
        <v>155</v>
      </c>
      <c r="D1337" s="103">
        <v>304506.58020926802</v>
      </c>
      <c r="E1337" s="103">
        <v>144649.353314776</v>
      </c>
      <c r="F1337" s="103">
        <v>159286.65662814301</v>
      </c>
    </row>
    <row r="1338" spans="1:6" hidden="1" x14ac:dyDescent="0.2">
      <c r="A1338" s="102" t="s">
        <v>170</v>
      </c>
      <c r="B1338" s="102" t="s">
        <v>8</v>
      </c>
      <c r="C1338" s="102" t="s">
        <v>156</v>
      </c>
      <c r="D1338" s="103">
        <v>318359.41979073099</v>
      </c>
      <c r="E1338" s="103">
        <v>151816.64668522301</v>
      </c>
      <c r="F1338" s="103">
        <v>167113.343371856</v>
      </c>
    </row>
    <row r="1339" spans="1:6" hidden="1" x14ac:dyDescent="0.2">
      <c r="A1339" s="102" t="s">
        <v>170</v>
      </c>
      <c r="B1339" s="102" t="s">
        <v>8</v>
      </c>
      <c r="C1339" s="102" t="s">
        <v>157</v>
      </c>
      <c r="D1339" s="104">
        <v>1.3520282861241799</v>
      </c>
      <c r="E1339" s="104">
        <v>1.46967695758071</v>
      </c>
      <c r="F1339" s="104">
        <v>1.4577041810123801</v>
      </c>
    </row>
    <row r="1340" spans="1:6" hidden="1" x14ac:dyDescent="0.2">
      <c r="A1340" s="102" t="s">
        <v>170</v>
      </c>
      <c r="B1340" s="102" t="s">
        <v>8</v>
      </c>
      <c r="C1340" s="102" t="s">
        <v>158</v>
      </c>
      <c r="D1340" s="104">
        <v>1.33090914746962</v>
      </c>
      <c r="E1340" s="104">
        <v>1.4425592690631299</v>
      </c>
      <c r="F1340" s="104">
        <v>1.4546027535056301</v>
      </c>
    </row>
    <row r="1341" spans="1:6" hidden="1" x14ac:dyDescent="0.2">
      <c r="A1341" s="95" t="s">
        <v>170</v>
      </c>
      <c r="B1341" s="95" t="s">
        <v>9</v>
      </c>
      <c r="C1341" s="95" t="s">
        <v>153</v>
      </c>
      <c r="D1341" s="96">
        <v>250403</v>
      </c>
      <c r="E1341" s="96">
        <v>116132</v>
      </c>
      <c r="F1341" s="96">
        <v>134271</v>
      </c>
    </row>
    <row r="1342" spans="1:6" hidden="1" x14ac:dyDescent="0.2">
      <c r="A1342" s="97" t="s">
        <v>170</v>
      </c>
      <c r="B1342" s="97" t="s">
        <v>9</v>
      </c>
      <c r="C1342" s="97" t="s">
        <v>154</v>
      </c>
      <c r="D1342" s="98">
        <v>3472.2724119199102</v>
      </c>
      <c r="E1342" s="98">
        <v>1807.1183914830999</v>
      </c>
      <c r="F1342" s="98">
        <v>2001.8019879701601</v>
      </c>
    </row>
    <row r="1343" spans="1:6" hidden="1" x14ac:dyDescent="0.2">
      <c r="A1343" s="97" t="s">
        <v>170</v>
      </c>
      <c r="B1343" s="97" t="s">
        <v>9</v>
      </c>
      <c r="C1343" s="97" t="s">
        <v>155</v>
      </c>
      <c r="D1343" s="98">
        <v>244691.210520933</v>
      </c>
      <c r="E1343" s="98">
        <v>113159.341581706</v>
      </c>
      <c r="F1343" s="98">
        <v>130978.092595957</v>
      </c>
    </row>
    <row r="1344" spans="1:6" hidden="1" x14ac:dyDescent="0.2">
      <c r="A1344" s="97" t="s">
        <v>170</v>
      </c>
      <c r="B1344" s="97" t="s">
        <v>9</v>
      </c>
      <c r="C1344" s="97" t="s">
        <v>156</v>
      </c>
      <c r="D1344" s="98">
        <v>256114.78947906601</v>
      </c>
      <c r="E1344" s="98">
        <v>119104.65841829299</v>
      </c>
      <c r="F1344" s="98">
        <v>137563.90740404199</v>
      </c>
    </row>
    <row r="1345" spans="1:6" hidden="1" x14ac:dyDescent="0.2">
      <c r="A1345" s="97" t="s">
        <v>170</v>
      </c>
      <c r="B1345" s="97" t="s">
        <v>9</v>
      </c>
      <c r="C1345" s="97" t="s">
        <v>157</v>
      </c>
      <c r="D1345" s="99">
        <v>1.38667364684924</v>
      </c>
      <c r="E1345" s="99">
        <v>1.5560899592559301</v>
      </c>
      <c r="F1345" s="99">
        <v>1.4908669690180001</v>
      </c>
    </row>
    <row r="1346" spans="1:6" hidden="1" x14ac:dyDescent="0.2">
      <c r="A1346" s="97" t="s">
        <v>170</v>
      </c>
      <c r="B1346" s="97" t="s">
        <v>9</v>
      </c>
      <c r="C1346" s="97" t="s">
        <v>158</v>
      </c>
      <c r="D1346" s="99">
        <v>1.41149884025045</v>
      </c>
      <c r="E1346" s="99">
        <v>1.5629251002423801</v>
      </c>
      <c r="F1346" s="99">
        <v>1.5557415965799299</v>
      </c>
    </row>
    <row r="1347" spans="1:6" hidden="1" x14ac:dyDescent="0.2">
      <c r="A1347" s="100" t="s">
        <v>170</v>
      </c>
      <c r="B1347" s="100" t="s">
        <v>10</v>
      </c>
      <c r="C1347" s="100" t="s">
        <v>153</v>
      </c>
      <c r="D1347" s="101">
        <v>235272</v>
      </c>
      <c r="E1347" s="101">
        <v>108823</v>
      </c>
      <c r="F1347" s="101">
        <v>126449</v>
      </c>
    </row>
    <row r="1348" spans="1:6" hidden="1" x14ac:dyDescent="0.2">
      <c r="A1348" s="102" t="s">
        <v>170</v>
      </c>
      <c r="B1348" s="102" t="s">
        <v>10</v>
      </c>
      <c r="C1348" s="102" t="s">
        <v>154</v>
      </c>
      <c r="D1348" s="103">
        <v>3472.61147924139</v>
      </c>
      <c r="E1348" s="103">
        <v>1802.8480418423401</v>
      </c>
      <c r="F1348" s="103">
        <v>1998.48021607225</v>
      </c>
    </row>
    <row r="1349" spans="1:6" hidden="1" x14ac:dyDescent="0.2">
      <c r="A1349" s="102" t="s">
        <v>170</v>
      </c>
      <c r="B1349" s="102" t="s">
        <v>10</v>
      </c>
      <c r="C1349" s="102" t="s">
        <v>155</v>
      </c>
      <c r="D1349" s="103">
        <v>229559.65276482099</v>
      </c>
      <c r="E1349" s="103">
        <v>105857.366185555</v>
      </c>
      <c r="F1349" s="103">
        <v>123161.55681636601</v>
      </c>
    </row>
    <row r="1350" spans="1:6" hidden="1" x14ac:dyDescent="0.2">
      <c r="A1350" s="102" t="s">
        <v>170</v>
      </c>
      <c r="B1350" s="102" t="s">
        <v>10</v>
      </c>
      <c r="C1350" s="102" t="s">
        <v>156</v>
      </c>
      <c r="D1350" s="103">
        <v>240984.34723517799</v>
      </c>
      <c r="E1350" s="103">
        <v>111788.63381444399</v>
      </c>
      <c r="F1350" s="103">
        <v>129736.443183633</v>
      </c>
    </row>
    <row r="1351" spans="1:6" hidden="1" x14ac:dyDescent="0.2">
      <c r="A1351" s="102" t="s">
        <v>170</v>
      </c>
      <c r="B1351" s="102" t="s">
        <v>10</v>
      </c>
      <c r="C1351" s="102" t="s">
        <v>157</v>
      </c>
      <c r="D1351" s="104">
        <v>1.4759986225481101</v>
      </c>
      <c r="E1351" s="104">
        <v>1.6566792331054501</v>
      </c>
      <c r="F1351" s="104">
        <v>1.5804634406537399</v>
      </c>
    </row>
    <row r="1352" spans="1:6" hidden="1" x14ac:dyDescent="0.2">
      <c r="A1352" s="102" t="s">
        <v>170</v>
      </c>
      <c r="B1352" s="102" t="s">
        <v>10</v>
      </c>
      <c r="C1352" s="102" t="s">
        <v>158</v>
      </c>
      <c r="D1352" s="104">
        <v>1.6477217021223201</v>
      </c>
      <c r="E1352" s="104">
        <v>1.83298672655499</v>
      </c>
      <c r="F1352" s="104">
        <v>1.7764240181261499</v>
      </c>
    </row>
    <row r="1353" spans="1:6" hidden="1" x14ac:dyDescent="0.2">
      <c r="A1353" s="95" t="s">
        <v>170</v>
      </c>
      <c r="B1353" s="95" t="s">
        <v>11</v>
      </c>
      <c r="C1353" s="95" t="s">
        <v>153</v>
      </c>
      <c r="D1353" s="96">
        <v>225168</v>
      </c>
      <c r="E1353" s="96">
        <v>104804</v>
      </c>
      <c r="F1353" s="96">
        <v>120364</v>
      </c>
    </row>
    <row r="1354" spans="1:6" hidden="1" x14ac:dyDescent="0.2">
      <c r="A1354" s="97" t="s">
        <v>170</v>
      </c>
      <c r="B1354" s="97" t="s">
        <v>11</v>
      </c>
      <c r="C1354" s="97" t="s">
        <v>154</v>
      </c>
      <c r="D1354" s="98">
        <v>3641.65613518089</v>
      </c>
      <c r="E1354" s="98">
        <v>1881.21148996132</v>
      </c>
      <c r="F1354" s="98">
        <v>2101.9548578556601</v>
      </c>
    </row>
    <row r="1355" spans="1:6" hidden="1" x14ac:dyDescent="0.2">
      <c r="A1355" s="97" t="s">
        <v>170</v>
      </c>
      <c r="B1355" s="97" t="s">
        <v>11</v>
      </c>
      <c r="C1355" s="97" t="s">
        <v>155</v>
      </c>
      <c r="D1355" s="98">
        <v>219177.57910793499</v>
      </c>
      <c r="E1355" s="98">
        <v>101709.460539508</v>
      </c>
      <c r="F1355" s="98">
        <v>116906.34397008699</v>
      </c>
    </row>
    <row r="1356" spans="1:6" hidden="1" x14ac:dyDescent="0.2">
      <c r="A1356" s="97" t="s">
        <v>170</v>
      </c>
      <c r="B1356" s="97" t="s">
        <v>11</v>
      </c>
      <c r="C1356" s="97" t="s">
        <v>156</v>
      </c>
      <c r="D1356" s="98">
        <v>231158.42089206399</v>
      </c>
      <c r="E1356" s="98">
        <v>107898.539460491</v>
      </c>
      <c r="F1356" s="98">
        <v>123821.656029912</v>
      </c>
    </row>
    <row r="1357" spans="1:6" hidden="1" x14ac:dyDescent="0.2">
      <c r="A1357" s="97" t="s">
        <v>170</v>
      </c>
      <c r="B1357" s="97" t="s">
        <v>11</v>
      </c>
      <c r="C1357" s="97" t="s">
        <v>157</v>
      </c>
      <c r="D1357" s="99">
        <v>1.61730624919211</v>
      </c>
      <c r="E1357" s="99">
        <v>1.79498062093176</v>
      </c>
      <c r="F1357" s="99">
        <v>1.7463318416267799</v>
      </c>
    </row>
    <row r="1358" spans="1:6" hidden="1" x14ac:dyDescent="0.2">
      <c r="A1358" s="97" t="s">
        <v>170</v>
      </c>
      <c r="B1358" s="97" t="s">
        <v>11</v>
      </c>
      <c r="C1358" s="97" t="s">
        <v>158</v>
      </c>
      <c r="D1358" s="99">
        <v>2.02321144150614</v>
      </c>
      <c r="E1358" s="99">
        <v>2.2448302202325099</v>
      </c>
      <c r="F1358" s="99">
        <v>2.1749937909170098</v>
      </c>
    </row>
    <row r="1359" spans="1:6" hidden="1" x14ac:dyDescent="0.2">
      <c r="A1359" s="100" t="s">
        <v>170</v>
      </c>
      <c r="B1359" s="100" t="s">
        <v>12</v>
      </c>
      <c r="C1359" s="100" t="s">
        <v>153</v>
      </c>
      <c r="D1359" s="101">
        <v>201606</v>
      </c>
      <c r="E1359" s="101">
        <v>93606</v>
      </c>
      <c r="F1359" s="101">
        <v>108000</v>
      </c>
    </row>
    <row r="1360" spans="1:6" hidden="1" x14ac:dyDescent="0.2">
      <c r="A1360" s="102" t="s">
        <v>170</v>
      </c>
      <c r="B1360" s="102" t="s">
        <v>12</v>
      </c>
      <c r="C1360" s="102" t="s">
        <v>154</v>
      </c>
      <c r="D1360" s="103">
        <v>3095.37270684031</v>
      </c>
      <c r="E1360" s="103">
        <v>1620.0504534097799</v>
      </c>
      <c r="F1360" s="103">
        <v>1812.81221420215</v>
      </c>
    </row>
    <row r="1361" spans="1:6" hidden="1" x14ac:dyDescent="0.2">
      <c r="A1361" s="102" t="s">
        <v>170</v>
      </c>
      <c r="B1361" s="102" t="s">
        <v>12</v>
      </c>
      <c r="C1361" s="102" t="s">
        <v>155</v>
      </c>
      <c r="D1361" s="103">
        <v>196514.19982901399</v>
      </c>
      <c r="E1361" s="103">
        <v>90941.063025706797</v>
      </c>
      <c r="F1361" s="103">
        <v>105017.975405081</v>
      </c>
    </row>
    <row r="1362" spans="1:6" hidden="1" x14ac:dyDescent="0.2">
      <c r="A1362" s="102" t="s">
        <v>170</v>
      </c>
      <c r="B1362" s="102" t="s">
        <v>12</v>
      </c>
      <c r="C1362" s="102" t="s">
        <v>156</v>
      </c>
      <c r="D1362" s="103">
        <v>206697.80017098499</v>
      </c>
      <c r="E1362" s="103">
        <v>96270.936974293101</v>
      </c>
      <c r="F1362" s="103">
        <v>110982.024594918</v>
      </c>
    </row>
    <row r="1363" spans="1:6" hidden="1" x14ac:dyDescent="0.2">
      <c r="A1363" s="102" t="s">
        <v>170</v>
      </c>
      <c r="B1363" s="102" t="s">
        <v>12</v>
      </c>
      <c r="C1363" s="102" t="s">
        <v>157</v>
      </c>
      <c r="D1363" s="104">
        <v>1.5353574332313</v>
      </c>
      <c r="E1363" s="104">
        <v>1.73071219089565</v>
      </c>
      <c r="F1363" s="104">
        <v>1.6785298279649601</v>
      </c>
    </row>
    <row r="1364" spans="1:6" hidden="1" x14ac:dyDescent="0.2">
      <c r="A1364" s="102" t="s">
        <v>170</v>
      </c>
      <c r="B1364" s="102" t="s">
        <v>12</v>
      </c>
      <c r="C1364" s="102" t="s">
        <v>158</v>
      </c>
      <c r="D1364" s="104">
        <v>1.82091375034381</v>
      </c>
      <c r="E1364" s="104">
        <v>2.0280677283890198</v>
      </c>
      <c r="F1364" s="104">
        <v>1.99646290351797</v>
      </c>
    </row>
    <row r="1365" spans="1:6" hidden="1" x14ac:dyDescent="0.2">
      <c r="A1365" s="95" t="s">
        <v>170</v>
      </c>
      <c r="B1365" s="95" t="s">
        <v>13</v>
      </c>
      <c r="C1365" s="95" t="s">
        <v>153</v>
      </c>
      <c r="D1365" s="96">
        <v>173292</v>
      </c>
      <c r="E1365" s="96">
        <v>79724</v>
      </c>
      <c r="F1365" s="96">
        <v>93568</v>
      </c>
    </row>
    <row r="1366" spans="1:6" hidden="1" x14ac:dyDescent="0.2">
      <c r="A1366" s="97" t="s">
        <v>170</v>
      </c>
      <c r="B1366" s="97" t="s">
        <v>13</v>
      </c>
      <c r="C1366" s="97" t="s">
        <v>154</v>
      </c>
      <c r="D1366" s="98">
        <v>2732.9634650652802</v>
      </c>
      <c r="E1366" s="98">
        <v>1473.4144687341</v>
      </c>
      <c r="F1366" s="98">
        <v>1578.8075997092401</v>
      </c>
    </row>
    <row r="1367" spans="1:6" hidden="1" x14ac:dyDescent="0.2">
      <c r="A1367" s="97" t="s">
        <v>170</v>
      </c>
      <c r="B1367" s="97" t="s">
        <v>13</v>
      </c>
      <c r="C1367" s="97" t="s">
        <v>155</v>
      </c>
      <c r="D1367" s="98">
        <v>168796.352736598</v>
      </c>
      <c r="E1367" s="98">
        <v>77300.275054938204</v>
      </c>
      <c r="F1367" s="98">
        <v>90970.906348438293</v>
      </c>
    </row>
    <row r="1368" spans="1:6" hidden="1" x14ac:dyDescent="0.2">
      <c r="A1368" s="97" t="s">
        <v>170</v>
      </c>
      <c r="B1368" s="97" t="s">
        <v>13</v>
      </c>
      <c r="C1368" s="97" t="s">
        <v>156</v>
      </c>
      <c r="D1368" s="98">
        <v>177787.64726340101</v>
      </c>
      <c r="E1368" s="98">
        <v>82147.724945061796</v>
      </c>
      <c r="F1368" s="98">
        <v>96165.093651561605</v>
      </c>
    </row>
    <row r="1369" spans="1:6" hidden="1" x14ac:dyDescent="0.2">
      <c r="A1369" s="97" t="s">
        <v>170</v>
      </c>
      <c r="B1369" s="97" t="s">
        <v>13</v>
      </c>
      <c r="C1369" s="97" t="s">
        <v>157</v>
      </c>
      <c r="D1369" s="99">
        <v>1.57708576568178</v>
      </c>
      <c r="E1369" s="99">
        <v>1.8481441833501799</v>
      </c>
      <c r="F1369" s="99">
        <v>1.6873371234922601</v>
      </c>
    </row>
    <row r="1370" spans="1:6" hidden="1" x14ac:dyDescent="0.2">
      <c r="A1370" s="97" t="s">
        <v>170</v>
      </c>
      <c r="B1370" s="97" t="s">
        <v>13</v>
      </c>
      <c r="C1370" s="97" t="s">
        <v>158</v>
      </c>
      <c r="D1370" s="99">
        <v>1.94025026344454</v>
      </c>
      <c r="E1370" s="99">
        <v>2.3252906862509102</v>
      </c>
      <c r="F1370" s="99">
        <v>2.00485991751744</v>
      </c>
    </row>
    <row r="1371" spans="1:6" hidden="1" x14ac:dyDescent="0.2">
      <c r="A1371" s="100" t="s">
        <v>170</v>
      </c>
      <c r="B1371" s="100" t="s">
        <v>14</v>
      </c>
      <c r="C1371" s="100" t="s">
        <v>153</v>
      </c>
      <c r="D1371" s="101">
        <v>163683</v>
      </c>
      <c r="E1371" s="101">
        <v>74386</v>
      </c>
      <c r="F1371" s="101">
        <v>89297</v>
      </c>
    </row>
    <row r="1372" spans="1:6" hidden="1" x14ac:dyDescent="0.2">
      <c r="A1372" s="102" t="s">
        <v>170</v>
      </c>
      <c r="B1372" s="102" t="s">
        <v>14</v>
      </c>
      <c r="C1372" s="102" t="s">
        <v>154</v>
      </c>
      <c r="D1372" s="103">
        <v>2566.64914649611</v>
      </c>
      <c r="E1372" s="103">
        <v>1326.25574825281</v>
      </c>
      <c r="F1372" s="103">
        <v>1586.4172325186501</v>
      </c>
    </row>
    <row r="1373" spans="1:6" hidden="1" x14ac:dyDescent="0.2">
      <c r="A1373" s="102" t="s">
        <v>170</v>
      </c>
      <c r="B1373" s="102" t="s">
        <v>14</v>
      </c>
      <c r="C1373" s="102" t="s">
        <v>155</v>
      </c>
      <c r="D1373" s="103">
        <v>159460.93506607201</v>
      </c>
      <c r="E1373" s="103">
        <v>72204.346969720107</v>
      </c>
      <c r="F1373" s="103">
        <v>86687.388718637405</v>
      </c>
    </row>
    <row r="1374" spans="1:6" hidden="1" x14ac:dyDescent="0.2">
      <c r="A1374" s="102" t="s">
        <v>170</v>
      </c>
      <c r="B1374" s="102" t="s">
        <v>14</v>
      </c>
      <c r="C1374" s="102" t="s">
        <v>156</v>
      </c>
      <c r="D1374" s="103">
        <v>167905.064933927</v>
      </c>
      <c r="E1374" s="103">
        <v>76567.653030279806</v>
      </c>
      <c r="F1374" s="103">
        <v>91906.611281362595</v>
      </c>
    </row>
    <row r="1375" spans="1:6" hidden="1" x14ac:dyDescent="0.2">
      <c r="A1375" s="102" t="s">
        <v>170</v>
      </c>
      <c r="B1375" s="102" t="s">
        <v>14</v>
      </c>
      <c r="C1375" s="102" t="s">
        <v>157</v>
      </c>
      <c r="D1375" s="104">
        <v>1.5680609143870201</v>
      </c>
      <c r="E1375" s="104">
        <v>1.78293731112415</v>
      </c>
      <c r="F1375" s="104">
        <v>1.77656274289018</v>
      </c>
    </row>
    <row r="1376" spans="1:6" hidden="1" x14ac:dyDescent="0.2">
      <c r="A1376" s="102" t="s">
        <v>170</v>
      </c>
      <c r="B1376" s="102" t="s">
        <v>14</v>
      </c>
      <c r="C1376" s="102" t="s">
        <v>158</v>
      </c>
      <c r="D1376" s="104">
        <v>1.8875795787331</v>
      </c>
      <c r="E1376" s="104">
        <v>2.09658344209259</v>
      </c>
      <c r="F1376" s="104">
        <v>2.1819678254160899</v>
      </c>
    </row>
    <row r="1377" spans="1:6" hidden="1" x14ac:dyDescent="0.2">
      <c r="A1377" s="95" t="s">
        <v>170</v>
      </c>
      <c r="B1377" s="95" t="s">
        <v>15</v>
      </c>
      <c r="C1377" s="95" t="s">
        <v>153</v>
      </c>
      <c r="D1377" s="96">
        <v>133625</v>
      </c>
      <c r="E1377" s="96">
        <v>62859</v>
      </c>
      <c r="F1377" s="96">
        <v>70766</v>
      </c>
    </row>
    <row r="1378" spans="1:6" hidden="1" x14ac:dyDescent="0.2">
      <c r="A1378" s="97" t="s">
        <v>170</v>
      </c>
      <c r="B1378" s="97" t="s">
        <v>15</v>
      </c>
      <c r="C1378" s="97" t="s">
        <v>154</v>
      </c>
      <c r="D1378" s="98">
        <v>2289.6132729536698</v>
      </c>
      <c r="E1378" s="98">
        <v>1212.78332804102</v>
      </c>
      <c r="F1378" s="98">
        <v>1370.3099489311501</v>
      </c>
    </row>
    <row r="1379" spans="1:6" hidden="1" x14ac:dyDescent="0.2">
      <c r="A1379" s="97" t="s">
        <v>170</v>
      </c>
      <c r="B1379" s="97" t="s">
        <v>15</v>
      </c>
      <c r="C1379" s="97" t="s">
        <v>155</v>
      </c>
      <c r="D1379" s="98">
        <v>129858.651208155</v>
      </c>
      <c r="E1379" s="98">
        <v>60864.005877501899</v>
      </c>
      <c r="F1379" s="98">
        <v>68511.879061073501</v>
      </c>
    </row>
    <row r="1380" spans="1:6" hidden="1" x14ac:dyDescent="0.2">
      <c r="A1380" s="97" t="s">
        <v>170</v>
      </c>
      <c r="B1380" s="97" t="s">
        <v>15</v>
      </c>
      <c r="C1380" s="97" t="s">
        <v>156</v>
      </c>
      <c r="D1380" s="98">
        <v>137391.34879184401</v>
      </c>
      <c r="E1380" s="98">
        <v>64853.994122497999</v>
      </c>
      <c r="F1380" s="98">
        <v>73020.120938926499</v>
      </c>
    </row>
    <row r="1381" spans="1:6" hidden="1" x14ac:dyDescent="0.2">
      <c r="A1381" s="97" t="s">
        <v>170</v>
      </c>
      <c r="B1381" s="97" t="s">
        <v>15</v>
      </c>
      <c r="C1381" s="97" t="s">
        <v>157</v>
      </c>
      <c r="D1381" s="99">
        <v>1.71346175712155</v>
      </c>
      <c r="E1381" s="99">
        <v>1.9293710177397401</v>
      </c>
      <c r="F1381" s="99">
        <v>1.9363959372172399</v>
      </c>
    </row>
    <row r="1382" spans="1:6" hidden="1" x14ac:dyDescent="0.2">
      <c r="A1382" s="97" t="s">
        <v>170</v>
      </c>
      <c r="B1382" s="97" t="s">
        <v>15</v>
      </c>
      <c r="C1382" s="97" t="s">
        <v>158</v>
      </c>
      <c r="D1382" s="99">
        <v>2.1340048925302502</v>
      </c>
      <c r="E1382" s="99">
        <v>2.2879213479288398</v>
      </c>
      <c r="F1382" s="99">
        <v>2.4232091394920201</v>
      </c>
    </row>
    <row r="1383" spans="1:6" hidden="1" x14ac:dyDescent="0.2">
      <c r="A1383" s="100" t="s">
        <v>170</v>
      </c>
      <c r="B1383" s="100" t="s">
        <v>16</v>
      </c>
      <c r="C1383" s="100" t="s">
        <v>153</v>
      </c>
      <c r="D1383" s="101">
        <v>111153</v>
      </c>
      <c r="E1383" s="101">
        <v>51771</v>
      </c>
      <c r="F1383" s="101">
        <v>59382</v>
      </c>
    </row>
    <row r="1384" spans="1:6" hidden="1" x14ac:dyDescent="0.2">
      <c r="A1384" s="102" t="s">
        <v>170</v>
      </c>
      <c r="B1384" s="102" t="s">
        <v>16</v>
      </c>
      <c r="C1384" s="102" t="s">
        <v>154</v>
      </c>
      <c r="D1384" s="103">
        <v>2084.4393477656699</v>
      </c>
      <c r="E1384" s="103">
        <v>1069.58972955587</v>
      </c>
      <c r="F1384" s="103">
        <v>1254.67649627371</v>
      </c>
    </row>
    <row r="1385" spans="1:6" hidden="1" x14ac:dyDescent="0.2">
      <c r="A1385" s="102" t="s">
        <v>170</v>
      </c>
      <c r="B1385" s="102" t="s">
        <v>16</v>
      </c>
      <c r="C1385" s="102" t="s">
        <v>155</v>
      </c>
      <c r="D1385" s="103">
        <v>107724.156486614</v>
      </c>
      <c r="E1385" s="103">
        <v>50011.555279239401</v>
      </c>
      <c r="F1385" s="103">
        <v>57318.092805838904</v>
      </c>
    </row>
    <row r="1386" spans="1:6" hidden="1" x14ac:dyDescent="0.2">
      <c r="A1386" s="102" t="s">
        <v>170</v>
      </c>
      <c r="B1386" s="102" t="s">
        <v>16</v>
      </c>
      <c r="C1386" s="102" t="s">
        <v>156</v>
      </c>
      <c r="D1386" s="103">
        <v>114581.843513386</v>
      </c>
      <c r="E1386" s="103">
        <v>53530.444720760599</v>
      </c>
      <c r="F1386" s="103">
        <v>61445.907194161096</v>
      </c>
    </row>
    <row r="1387" spans="1:6" hidden="1" x14ac:dyDescent="0.2">
      <c r="A1387" s="102" t="s">
        <v>170</v>
      </c>
      <c r="B1387" s="102" t="s">
        <v>16</v>
      </c>
      <c r="C1387" s="102" t="s">
        <v>157</v>
      </c>
      <c r="D1387" s="104">
        <v>1.8752884292512699</v>
      </c>
      <c r="E1387" s="104">
        <v>2.0660016796196201</v>
      </c>
      <c r="F1387" s="104">
        <v>2.1128902635036102</v>
      </c>
    </row>
    <row r="1388" spans="1:6" hidden="1" x14ac:dyDescent="0.2">
      <c r="A1388" s="102" t="s">
        <v>170</v>
      </c>
      <c r="B1388" s="102" t="s">
        <v>16</v>
      </c>
      <c r="C1388" s="102" t="s">
        <v>158</v>
      </c>
      <c r="D1388" s="104">
        <v>2.3862539293038201</v>
      </c>
      <c r="E1388" s="104">
        <v>2.4494976453107702</v>
      </c>
      <c r="F1388" s="104">
        <v>2.6243068197160802</v>
      </c>
    </row>
    <row r="1389" spans="1:6" hidden="1" x14ac:dyDescent="0.2">
      <c r="A1389" s="95" t="s">
        <v>170</v>
      </c>
      <c r="B1389" s="95" t="s">
        <v>17</v>
      </c>
      <c r="C1389" s="95" t="s">
        <v>153</v>
      </c>
      <c r="D1389" s="96">
        <v>88453</v>
      </c>
      <c r="E1389" s="96">
        <v>42228</v>
      </c>
      <c r="F1389" s="96">
        <v>46225</v>
      </c>
    </row>
    <row r="1390" spans="1:6" hidden="1" x14ac:dyDescent="0.2">
      <c r="A1390" s="97" t="s">
        <v>170</v>
      </c>
      <c r="B1390" s="97" t="s">
        <v>17</v>
      </c>
      <c r="C1390" s="97" t="s">
        <v>154</v>
      </c>
      <c r="D1390" s="98">
        <v>1625.1719905131099</v>
      </c>
      <c r="E1390" s="98">
        <v>929.28010842950505</v>
      </c>
      <c r="F1390" s="98">
        <v>943.61694957812699</v>
      </c>
    </row>
    <row r="1391" spans="1:6" hidden="1" x14ac:dyDescent="0.2">
      <c r="A1391" s="97" t="s">
        <v>170</v>
      </c>
      <c r="B1391" s="97" t="s">
        <v>17</v>
      </c>
      <c r="C1391" s="97" t="s">
        <v>155</v>
      </c>
      <c r="D1391" s="98">
        <v>85779.638242661793</v>
      </c>
      <c r="E1391" s="98">
        <v>40699.360620148203</v>
      </c>
      <c r="F1391" s="98">
        <v>44672.776923732403</v>
      </c>
    </row>
    <row r="1392" spans="1:6" hidden="1" x14ac:dyDescent="0.2">
      <c r="A1392" s="97" t="s">
        <v>170</v>
      </c>
      <c r="B1392" s="97" t="s">
        <v>17</v>
      </c>
      <c r="C1392" s="97" t="s">
        <v>156</v>
      </c>
      <c r="D1392" s="98">
        <v>91126.361757338105</v>
      </c>
      <c r="E1392" s="98">
        <v>43756.639379851702</v>
      </c>
      <c r="F1392" s="98">
        <v>47777.223076267597</v>
      </c>
    </row>
    <row r="1393" spans="1:6" hidden="1" x14ac:dyDescent="0.2">
      <c r="A1393" s="97" t="s">
        <v>170</v>
      </c>
      <c r="B1393" s="97" t="s">
        <v>17</v>
      </c>
      <c r="C1393" s="97" t="s">
        <v>157</v>
      </c>
      <c r="D1393" s="99">
        <v>1.8373282879191399</v>
      </c>
      <c r="E1393" s="99">
        <v>2.20062543437886</v>
      </c>
      <c r="F1393" s="99">
        <v>2.0413562997904302</v>
      </c>
    </row>
    <row r="1394" spans="1:6" hidden="1" x14ac:dyDescent="0.2">
      <c r="A1394" s="97" t="s">
        <v>170</v>
      </c>
      <c r="B1394" s="97" t="s">
        <v>17</v>
      </c>
      <c r="C1394" s="97" t="s">
        <v>158</v>
      </c>
      <c r="D1394" s="99">
        <v>2.12568059537301</v>
      </c>
      <c r="E1394" s="99">
        <v>2.4860033312365601</v>
      </c>
      <c r="F1394" s="99">
        <v>2.2340005014134201</v>
      </c>
    </row>
    <row r="1395" spans="1:6" hidden="1" x14ac:dyDescent="0.2">
      <c r="A1395" s="100" t="s">
        <v>170</v>
      </c>
      <c r="B1395" s="100" t="s">
        <v>18</v>
      </c>
      <c r="C1395" s="100" t="s">
        <v>153</v>
      </c>
      <c r="D1395" s="101">
        <v>70408</v>
      </c>
      <c r="E1395" s="101">
        <v>31650</v>
      </c>
      <c r="F1395" s="101">
        <v>38758</v>
      </c>
    </row>
    <row r="1396" spans="1:6" hidden="1" x14ac:dyDescent="0.2">
      <c r="A1396" s="102" t="s">
        <v>170</v>
      </c>
      <c r="B1396" s="102" t="s">
        <v>18</v>
      </c>
      <c r="C1396" s="102" t="s">
        <v>154</v>
      </c>
      <c r="D1396" s="103">
        <v>1342.4582404406799</v>
      </c>
      <c r="E1396" s="103">
        <v>646.67652233290301</v>
      </c>
      <c r="F1396" s="103">
        <v>905.33444256825101</v>
      </c>
    </row>
    <row r="1397" spans="1:6" hidden="1" x14ac:dyDescent="0.2">
      <c r="A1397" s="102" t="s">
        <v>170</v>
      </c>
      <c r="B1397" s="102" t="s">
        <v>18</v>
      </c>
      <c r="C1397" s="102" t="s">
        <v>155</v>
      </c>
      <c r="D1397" s="103">
        <v>68199.694330343205</v>
      </c>
      <c r="E1397" s="103">
        <v>30586.2354912187</v>
      </c>
      <c r="F1397" s="103">
        <v>37268.750560253698</v>
      </c>
    </row>
    <row r="1398" spans="1:6" hidden="1" x14ac:dyDescent="0.2">
      <c r="A1398" s="102" t="s">
        <v>170</v>
      </c>
      <c r="B1398" s="102" t="s">
        <v>18</v>
      </c>
      <c r="C1398" s="102" t="s">
        <v>156</v>
      </c>
      <c r="D1398" s="103">
        <v>72616.305669656795</v>
      </c>
      <c r="E1398" s="103">
        <v>32713.764508781202</v>
      </c>
      <c r="F1398" s="103">
        <v>40247.2494397462</v>
      </c>
    </row>
    <row r="1399" spans="1:6" hidden="1" x14ac:dyDescent="0.2">
      <c r="A1399" s="102" t="s">
        <v>170</v>
      </c>
      <c r="B1399" s="102" t="s">
        <v>18</v>
      </c>
      <c r="C1399" s="102" t="s">
        <v>157</v>
      </c>
      <c r="D1399" s="104">
        <v>1.9066842410531299</v>
      </c>
      <c r="E1399" s="104">
        <v>2.0432117609254399</v>
      </c>
      <c r="F1399" s="104">
        <v>2.3358647055272499</v>
      </c>
    </row>
    <row r="1400" spans="1:6" hidden="1" x14ac:dyDescent="0.2">
      <c r="A1400" s="102" t="s">
        <v>170</v>
      </c>
      <c r="B1400" s="102" t="s">
        <v>18</v>
      </c>
      <c r="C1400" s="102" t="s">
        <v>158</v>
      </c>
      <c r="D1400" s="104">
        <v>2.0123631087756602</v>
      </c>
      <c r="E1400" s="104">
        <v>1.8051009057981999</v>
      </c>
      <c r="F1400" s="104">
        <v>2.5616313283233301</v>
      </c>
    </row>
    <row r="1401" spans="1:6" hidden="1" x14ac:dyDescent="0.2">
      <c r="A1401" s="95" t="s">
        <v>170</v>
      </c>
      <c r="B1401" s="95" t="s">
        <v>19</v>
      </c>
      <c r="C1401" s="95" t="s">
        <v>153</v>
      </c>
      <c r="D1401" s="96">
        <v>116480</v>
      </c>
      <c r="E1401" s="96">
        <v>52976</v>
      </c>
      <c r="F1401" s="96">
        <v>63504</v>
      </c>
    </row>
    <row r="1402" spans="1:6" hidden="1" x14ac:dyDescent="0.2">
      <c r="A1402" s="97" t="s">
        <v>170</v>
      </c>
      <c r="B1402" s="97" t="s">
        <v>19</v>
      </c>
      <c r="C1402" s="97" t="s">
        <v>154</v>
      </c>
      <c r="D1402" s="98">
        <v>1934.0999949885299</v>
      </c>
      <c r="E1402" s="98">
        <v>952.42621228385804</v>
      </c>
      <c r="F1402" s="98">
        <v>1216.18685670129</v>
      </c>
    </row>
    <row r="1403" spans="1:6" hidden="1" x14ac:dyDescent="0.2">
      <c r="A1403" s="97" t="s">
        <v>170</v>
      </c>
      <c r="B1403" s="97" t="s">
        <v>19</v>
      </c>
      <c r="C1403" s="97" t="s">
        <v>155</v>
      </c>
      <c r="D1403" s="98">
        <v>113298.46045116799</v>
      </c>
      <c r="E1403" s="98">
        <v>51409.2859368305</v>
      </c>
      <c r="F1403" s="98">
        <v>61503.407169541497</v>
      </c>
    </row>
    <row r="1404" spans="1:6" hidden="1" x14ac:dyDescent="0.2">
      <c r="A1404" s="97" t="s">
        <v>170</v>
      </c>
      <c r="B1404" s="97" t="s">
        <v>19</v>
      </c>
      <c r="C1404" s="97" t="s">
        <v>156</v>
      </c>
      <c r="D1404" s="98">
        <v>119661.539548831</v>
      </c>
      <c r="E1404" s="98">
        <v>54542.7140631695</v>
      </c>
      <c r="F1404" s="98">
        <v>65504.592830458401</v>
      </c>
    </row>
    <row r="1405" spans="1:6" hidden="1" x14ac:dyDescent="0.2">
      <c r="A1405" s="97" t="s">
        <v>170</v>
      </c>
      <c r="B1405" s="97" t="s">
        <v>19</v>
      </c>
      <c r="C1405" s="97" t="s">
        <v>157</v>
      </c>
      <c r="D1405" s="99">
        <v>1.6604567264668</v>
      </c>
      <c r="E1405" s="99">
        <v>1.79784470757297</v>
      </c>
      <c r="F1405" s="99">
        <v>1.91513425406477</v>
      </c>
    </row>
    <row r="1406" spans="1:6" hidden="1" x14ac:dyDescent="0.2">
      <c r="A1406" s="97" t="s">
        <v>170</v>
      </c>
      <c r="B1406" s="97" t="s">
        <v>19</v>
      </c>
      <c r="C1406" s="97" t="s">
        <v>158</v>
      </c>
      <c r="D1406" s="99">
        <v>1.65072159162409</v>
      </c>
      <c r="E1406" s="99">
        <v>1.6780883529039401</v>
      </c>
      <c r="F1406" s="99">
        <v>1.92855767748407</v>
      </c>
    </row>
    <row r="1407" spans="1:6" hidden="1" x14ac:dyDescent="0.2">
      <c r="A1407" s="100" t="s">
        <v>170</v>
      </c>
      <c r="B1407" s="100" t="s">
        <v>20</v>
      </c>
      <c r="C1407" s="100" t="s">
        <v>153</v>
      </c>
      <c r="D1407" s="101">
        <v>2620</v>
      </c>
      <c r="E1407" s="101">
        <v>1165</v>
      </c>
      <c r="F1407" s="101">
        <v>1455</v>
      </c>
    </row>
    <row r="1408" spans="1:6" hidden="1" x14ac:dyDescent="0.2">
      <c r="A1408" s="102" t="s">
        <v>170</v>
      </c>
      <c r="B1408" s="102" t="s">
        <v>20</v>
      </c>
      <c r="C1408" s="102" t="s">
        <v>154</v>
      </c>
      <c r="D1408" s="103">
        <v>232.038882668181</v>
      </c>
      <c r="E1408" s="103">
        <v>130.30706306146999</v>
      </c>
      <c r="F1408" s="103">
        <v>144.655785519158</v>
      </c>
    </row>
    <row r="1409" spans="1:6" hidden="1" x14ac:dyDescent="0.2">
      <c r="A1409" s="102" t="s">
        <v>170</v>
      </c>
      <c r="B1409" s="102" t="s">
        <v>20</v>
      </c>
      <c r="C1409" s="102" t="s">
        <v>155</v>
      </c>
      <c r="D1409" s="103">
        <v>2238.3026296529201</v>
      </c>
      <c r="E1409" s="103">
        <v>950.64858296038301</v>
      </c>
      <c r="F1409" s="103">
        <v>1217.04534212866</v>
      </c>
    </row>
    <row r="1410" spans="1:6" hidden="1" x14ac:dyDescent="0.2">
      <c r="A1410" s="102" t="s">
        <v>170</v>
      </c>
      <c r="B1410" s="102" t="s">
        <v>20</v>
      </c>
      <c r="C1410" s="102" t="s">
        <v>156</v>
      </c>
      <c r="D1410" s="103">
        <v>3001.6973703470699</v>
      </c>
      <c r="E1410" s="103">
        <v>1379.3514170396099</v>
      </c>
      <c r="F1410" s="103">
        <v>1692.95465787133</v>
      </c>
    </row>
    <row r="1411" spans="1:6" hidden="1" x14ac:dyDescent="0.2">
      <c r="A1411" s="102" t="s">
        <v>170</v>
      </c>
      <c r="B1411" s="102" t="s">
        <v>20</v>
      </c>
      <c r="C1411" s="102" t="s">
        <v>157</v>
      </c>
      <c r="D1411" s="104">
        <v>8.8564459033657101</v>
      </c>
      <c r="E1411" s="104">
        <v>11.185155627594</v>
      </c>
      <c r="F1411" s="104">
        <v>9.9419783861964692</v>
      </c>
    </row>
    <row r="1412" spans="1:6" hidden="1" x14ac:dyDescent="0.2">
      <c r="A1412" s="102" t="s">
        <v>170</v>
      </c>
      <c r="B1412" s="102" t="s">
        <v>20</v>
      </c>
      <c r="C1412" s="102" t="s">
        <v>158</v>
      </c>
      <c r="D1412" s="104">
        <v>3.6145493470936598</v>
      </c>
      <c r="E1412" s="104">
        <v>3.3701120554481601</v>
      </c>
      <c r="F1412" s="104">
        <v>3.3387217161004701</v>
      </c>
    </row>
    <row r="1413" spans="1:6" hidden="1" x14ac:dyDescent="0.2">
      <c r="A1413" s="95" t="s">
        <v>171</v>
      </c>
      <c r="B1413" s="95" t="s">
        <v>152</v>
      </c>
      <c r="C1413" s="95" t="s">
        <v>153</v>
      </c>
      <c r="D1413" s="96">
        <v>2858359</v>
      </c>
      <c r="E1413" s="96">
        <v>1369025</v>
      </c>
      <c r="F1413" s="96">
        <v>1489334</v>
      </c>
    </row>
    <row r="1414" spans="1:6" hidden="1" x14ac:dyDescent="0.2">
      <c r="A1414" s="97" t="s">
        <v>171</v>
      </c>
      <c r="B1414" s="97" t="s">
        <v>152</v>
      </c>
      <c r="C1414" s="97" t="s">
        <v>154</v>
      </c>
      <c r="D1414" s="98">
        <v>26908.0101005201</v>
      </c>
      <c r="E1414" s="98">
        <v>13038.643732955101</v>
      </c>
      <c r="F1414" s="98">
        <v>14070.354757478501</v>
      </c>
    </row>
    <row r="1415" spans="1:6" hidden="1" x14ac:dyDescent="0.2">
      <c r="A1415" s="97" t="s">
        <v>171</v>
      </c>
      <c r="B1415" s="97" t="s">
        <v>152</v>
      </c>
      <c r="C1415" s="97" t="s">
        <v>155</v>
      </c>
      <c r="D1415" s="98">
        <v>2814094.7558607501</v>
      </c>
      <c r="E1415" s="98">
        <v>1347576.15605783</v>
      </c>
      <c r="F1415" s="98">
        <v>1466187.96966241</v>
      </c>
    </row>
    <row r="1416" spans="1:6" hidden="1" x14ac:dyDescent="0.2">
      <c r="A1416" s="97" t="s">
        <v>171</v>
      </c>
      <c r="B1416" s="97" t="s">
        <v>152</v>
      </c>
      <c r="C1416" s="97" t="s">
        <v>156</v>
      </c>
      <c r="D1416" s="98">
        <v>2902623.2441392401</v>
      </c>
      <c r="E1416" s="98">
        <v>1390473.84394216</v>
      </c>
      <c r="F1416" s="98">
        <v>1512480.03033758</v>
      </c>
    </row>
    <row r="1417" spans="1:6" hidden="1" x14ac:dyDescent="0.2">
      <c r="A1417" s="97" t="s">
        <v>171</v>
      </c>
      <c r="B1417" s="97" t="s">
        <v>152</v>
      </c>
      <c r="C1417" s="97" t="s">
        <v>157</v>
      </c>
      <c r="D1417" s="99">
        <v>0.94137965526792999</v>
      </c>
      <c r="E1417" s="99">
        <v>0.95240362542357004</v>
      </c>
      <c r="F1417" s="99">
        <v>0.94474139162058002</v>
      </c>
    </row>
    <row r="1418" spans="1:6" hidden="1" x14ac:dyDescent="0.2">
      <c r="A1418" s="97" t="s">
        <v>171</v>
      </c>
      <c r="B1418" s="97" t="s">
        <v>152</v>
      </c>
      <c r="C1418" s="97" t="s">
        <v>158</v>
      </c>
      <c r="D1418" s="99">
        <v>1.4929276778335601</v>
      </c>
      <c r="E1418" s="99">
        <v>0.80722634567965001</v>
      </c>
      <c r="F1418" s="99">
        <v>0.80657056748947997</v>
      </c>
    </row>
    <row r="1419" spans="1:6" hidden="1" x14ac:dyDescent="0.2">
      <c r="A1419" s="100" t="s">
        <v>171</v>
      </c>
      <c r="B1419" s="100" t="s">
        <v>4</v>
      </c>
      <c r="C1419" s="100" t="s">
        <v>153</v>
      </c>
      <c r="D1419" s="101">
        <v>247472</v>
      </c>
      <c r="E1419" s="101">
        <v>125038</v>
      </c>
      <c r="F1419" s="101">
        <v>122434</v>
      </c>
    </row>
    <row r="1420" spans="1:6" hidden="1" x14ac:dyDescent="0.2">
      <c r="A1420" s="102" t="s">
        <v>171</v>
      </c>
      <c r="B1420" s="102" t="s">
        <v>4</v>
      </c>
      <c r="C1420" s="102" t="s">
        <v>154</v>
      </c>
      <c r="D1420" s="103">
        <v>2773.7827840182199</v>
      </c>
      <c r="E1420" s="103">
        <v>1516.9817875705801</v>
      </c>
      <c r="F1420" s="103">
        <v>1510.4143617540301</v>
      </c>
    </row>
    <row r="1421" spans="1:6" hidden="1" x14ac:dyDescent="0.2">
      <c r="A1421" s="102" t="s">
        <v>171</v>
      </c>
      <c r="B1421" s="102" t="s">
        <v>4</v>
      </c>
      <c r="C1421" s="102" t="s">
        <v>155</v>
      </c>
      <c r="D1421" s="103">
        <v>242909.06881771001</v>
      </c>
      <c r="E1421" s="103">
        <v>122542.532964386</v>
      </c>
      <c r="F1421" s="103">
        <v>119949.336518369</v>
      </c>
    </row>
    <row r="1422" spans="1:6" hidden="1" x14ac:dyDescent="0.2">
      <c r="A1422" s="102" t="s">
        <v>171</v>
      </c>
      <c r="B1422" s="102" t="s">
        <v>4</v>
      </c>
      <c r="C1422" s="102" t="s">
        <v>156</v>
      </c>
      <c r="D1422" s="103">
        <v>252034.931182289</v>
      </c>
      <c r="E1422" s="103">
        <v>127533.46703561299</v>
      </c>
      <c r="F1422" s="103">
        <v>124918.66348163001</v>
      </c>
    </row>
    <row r="1423" spans="1:6" hidden="1" x14ac:dyDescent="0.2">
      <c r="A1423" s="102" t="s">
        <v>171</v>
      </c>
      <c r="B1423" s="102" t="s">
        <v>4</v>
      </c>
      <c r="C1423" s="102" t="s">
        <v>157</v>
      </c>
      <c r="D1423" s="104">
        <v>1.1208471196815</v>
      </c>
      <c r="E1423" s="104">
        <v>1.2132166122063499</v>
      </c>
      <c r="F1423" s="104">
        <v>1.2336559793472599</v>
      </c>
    </row>
    <row r="1424" spans="1:6" hidden="1" x14ac:dyDescent="0.2">
      <c r="A1424" s="102" t="s">
        <v>171</v>
      </c>
      <c r="B1424" s="102" t="s">
        <v>4</v>
      </c>
      <c r="C1424" s="102" t="s">
        <v>158</v>
      </c>
      <c r="D1424" s="104">
        <v>0.67230360682831003</v>
      </c>
      <c r="E1424" s="104">
        <v>0.72281812541898005</v>
      </c>
      <c r="F1424" s="104">
        <v>0.75279638989996001</v>
      </c>
    </row>
    <row r="1425" spans="1:6" hidden="1" x14ac:dyDescent="0.2">
      <c r="A1425" s="95" t="s">
        <v>171</v>
      </c>
      <c r="B1425" s="95" t="s">
        <v>5</v>
      </c>
      <c r="C1425" s="95" t="s">
        <v>153</v>
      </c>
      <c r="D1425" s="96">
        <v>275907</v>
      </c>
      <c r="E1425" s="96">
        <v>139475</v>
      </c>
      <c r="F1425" s="96">
        <v>136432</v>
      </c>
    </row>
    <row r="1426" spans="1:6" hidden="1" x14ac:dyDescent="0.2">
      <c r="A1426" s="97" t="s">
        <v>171</v>
      </c>
      <c r="B1426" s="97" t="s">
        <v>5</v>
      </c>
      <c r="C1426" s="97" t="s">
        <v>154</v>
      </c>
      <c r="D1426" s="98">
        <v>2941.4869268102302</v>
      </c>
      <c r="E1426" s="98">
        <v>1640.3722192897301</v>
      </c>
      <c r="F1426" s="98">
        <v>1599.22022709566</v>
      </c>
    </row>
    <row r="1427" spans="1:6" hidden="1" x14ac:dyDescent="0.2">
      <c r="A1427" s="97" t="s">
        <v>171</v>
      </c>
      <c r="B1427" s="97" t="s">
        <v>5</v>
      </c>
      <c r="C1427" s="97" t="s">
        <v>155</v>
      </c>
      <c r="D1427" s="98">
        <v>271068.19196572597</v>
      </c>
      <c r="E1427" s="98">
        <v>136776.553101748</v>
      </c>
      <c r="F1427" s="98">
        <v>133801.24899685499</v>
      </c>
    </row>
    <row r="1428" spans="1:6" hidden="1" x14ac:dyDescent="0.2">
      <c r="A1428" s="97" t="s">
        <v>171</v>
      </c>
      <c r="B1428" s="97" t="s">
        <v>5</v>
      </c>
      <c r="C1428" s="97" t="s">
        <v>156</v>
      </c>
      <c r="D1428" s="98">
        <v>280745.80803427403</v>
      </c>
      <c r="E1428" s="98">
        <v>142173.44689825099</v>
      </c>
      <c r="F1428" s="98">
        <v>139062.75100314501</v>
      </c>
    </row>
    <row r="1429" spans="1:6" hidden="1" x14ac:dyDescent="0.2">
      <c r="A1429" s="97" t="s">
        <v>171</v>
      </c>
      <c r="B1429" s="97" t="s">
        <v>5</v>
      </c>
      <c r="C1429" s="97" t="s">
        <v>157</v>
      </c>
      <c r="D1429" s="99">
        <v>1.06611536742823</v>
      </c>
      <c r="E1429" s="99">
        <v>1.17610483548286</v>
      </c>
      <c r="F1429" s="99">
        <v>1.1721738500466601</v>
      </c>
    </row>
    <row r="1430" spans="1:6" hidden="1" x14ac:dyDescent="0.2">
      <c r="A1430" s="97" t="s">
        <v>171</v>
      </c>
      <c r="B1430" s="97" t="s">
        <v>5</v>
      </c>
      <c r="C1430" s="97" t="s">
        <v>158</v>
      </c>
      <c r="D1430" s="99">
        <v>0.63280876707122002</v>
      </c>
      <c r="E1430" s="99">
        <v>0.71424390557037998</v>
      </c>
      <c r="F1430" s="99">
        <v>0.70177654104222997</v>
      </c>
    </row>
    <row r="1431" spans="1:6" hidden="1" x14ac:dyDescent="0.2">
      <c r="A1431" s="100" t="s">
        <v>171</v>
      </c>
      <c r="B1431" s="100" t="s">
        <v>6</v>
      </c>
      <c r="C1431" s="100" t="s">
        <v>153</v>
      </c>
      <c r="D1431" s="101">
        <v>280973</v>
      </c>
      <c r="E1431" s="101">
        <v>142671</v>
      </c>
      <c r="F1431" s="101">
        <v>138302</v>
      </c>
    </row>
    <row r="1432" spans="1:6" hidden="1" x14ac:dyDescent="0.2">
      <c r="A1432" s="102" t="s">
        <v>171</v>
      </c>
      <c r="B1432" s="102" t="s">
        <v>6</v>
      </c>
      <c r="C1432" s="102" t="s">
        <v>154</v>
      </c>
      <c r="D1432" s="103">
        <v>2984.2086796901799</v>
      </c>
      <c r="E1432" s="103">
        <v>1689.1992540359299</v>
      </c>
      <c r="F1432" s="103">
        <v>1602.62731675686</v>
      </c>
    </row>
    <row r="1433" spans="1:6" hidden="1" x14ac:dyDescent="0.2">
      <c r="A1433" s="102" t="s">
        <v>171</v>
      </c>
      <c r="B1433" s="102" t="s">
        <v>6</v>
      </c>
      <c r="C1433" s="102" t="s">
        <v>155</v>
      </c>
      <c r="D1433" s="103">
        <v>276063.91378118203</v>
      </c>
      <c r="E1433" s="103">
        <v>139892.23159976699</v>
      </c>
      <c r="F1433" s="103">
        <v>135665.644262502</v>
      </c>
    </row>
    <row r="1434" spans="1:6" hidden="1" x14ac:dyDescent="0.2">
      <c r="A1434" s="102" t="s">
        <v>171</v>
      </c>
      <c r="B1434" s="102" t="s">
        <v>6</v>
      </c>
      <c r="C1434" s="102" t="s">
        <v>156</v>
      </c>
      <c r="D1434" s="103">
        <v>285882.08621881698</v>
      </c>
      <c r="E1434" s="103">
        <v>145449.76840023199</v>
      </c>
      <c r="F1434" s="103">
        <v>140938.35573749701</v>
      </c>
    </row>
    <row r="1435" spans="1:6" hidden="1" x14ac:dyDescent="0.2">
      <c r="A1435" s="102" t="s">
        <v>171</v>
      </c>
      <c r="B1435" s="102" t="s">
        <v>6</v>
      </c>
      <c r="C1435" s="102" t="s">
        <v>157</v>
      </c>
      <c r="D1435" s="104">
        <v>1.06209802354325</v>
      </c>
      <c r="E1435" s="104">
        <v>1.1839822066404</v>
      </c>
      <c r="F1435" s="104">
        <v>1.15878824366738</v>
      </c>
    </row>
    <row r="1436" spans="1:6" hidden="1" x14ac:dyDescent="0.2">
      <c r="A1436" s="102" t="s">
        <v>171</v>
      </c>
      <c r="B1436" s="102" t="s">
        <v>6</v>
      </c>
      <c r="C1436" s="102" t="s">
        <v>158</v>
      </c>
      <c r="D1436" s="104">
        <v>0.62693912593954004</v>
      </c>
      <c r="E1436" s="104">
        <v>0.72732725056407999</v>
      </c>
      <c r="F1436" s="104">
        <v>0.68287606966068004</v>
      </c>
    </row>
    <row r="1437" spans="1:6" hidden="1" x14ac:dyDescent="0.2">
      <c r="A1437" s="95" t="s">
        <v>171</v>
      </c>
      <c r="B1437" s="95" t="s">
        <v>7</v>
      </c>
      <c r="C1437" s="95" t="s">
        <v>153</v>
      </c>
      <c r="D1437" s="96">
        <v>252974</v>
      </c>
      <c r="E1437" s="96">
        <v>128160</v>
      </c>
      <c r="F1437" s="96">
        <v>124814</v>
      </c>
    </row>
    <row r="1438" spans="1:6" hidden="1" x14ac:dyDescent="0.2">
      <c r="A1438" s="97" t="s">
        <v>171</v>
      </c>
      <c r="B1438" s="97" t="s">
        <v>7</v>
      </c>
      <c r="C1438" s="97" t="s">
        <v>154</v>
      </c>
      <c r="D1438" s="98">
        <v>2974.3857621094398</v>
      </c>
      <c r="E1438" s="98">
        <v>1670.9666258321099</v>
      </c>
      <c r="F1438" s="98">
        <v>1575.0468882094401</v>
      </c>
    </row>
    <row r="1439" spans="1:6" hidden="1" x14ac:dyDescent="0.2">
      <c r="A1439" s="97" t="s">
        <v>171</v>
      </c>
      <c r="B1439" s="97" t="s">
        <v>7</v>
      </c>
      <c r="C1439" s="97" t="s">
        <v>155</v>
      </c>
      <c r="D1439" s="98">
        <v>248081.07268777999</v>
      </c>
      <c r="E1439" s="98">
        <v>125411.22465771101</v>
      </c>
      <c r="F1439" s="98">
        <v>122223.014649169</v>
      </c>
    </row>
    <row r="1440" spans="1:6" hidden="1" x14ac:dyDescent="0.2">
      <c r="A1440" s="97" t="s">
        <v>171</v>
      </c>
      <c r="B1440" s="97" t="s">
        <v>7</v>
      </c>
      <c r="C1440" s="97" t="s">
        <v>156</v>
      </c>
      <c r="D1440" s="98">
        <v>257866.92731221899</v>
      </c>
      <c r="E1440" s="98">
        <v>130908.77534228801</v>
      </c>
      <c r="F1440" s="98">
        <v>127404.98535083</v>
      </c>
    </row>
    <row r="1441" spans="1:6" hidden="1" x14ac:dyDescent="0.2">
      <c r="A1441" s="97" t="s">
        <v>171</v>
      </c>
      <c r="B1441" s="97" t="s">
        <v>7</v>
      </c>
      <c r="C1441" s="97" t="s">
        <v>157</v>
      </c>
      <c r="D1441" s="99">
        <v>1.17576737613724</v>
      </c>
      <c r="E1441" s="99">
        <v>1.3038129102934699</v>
      </c>
      <c r="F1441" s="99">
        <v>1.26191524044533</v>
      </c>
    </row>
    <row r="1442" spans="1:6" hidden="1" x14ac:dyDescent="0.2">
      <c r="A1442" s="97" t="s">
        <v>171</v>
      </c>
      <c r="B1442" s="97" t="s">
        <v>7</v>
      </c>
      <c r="C1442" s="97" t="s">
        <v>158</v>
      </c>
      <c r="D1442" s="99">
        <v>0.78300197899165003</v>
      </c>
      <c r="E1442" s="99">
        <v>0.88187565986768002</v>
      </c>
      <c r="F1442" s="99">
        <v>0.83033378567308003</v>
      </c>
    </row>
    <row r="1443" spans="1:6" hidden="1" x14ac:dyDescent="0.2">
      <c r="A1443" s="100" t="s">
        <v>171</v>
      </c>
      <c r="B1443" s="100" t="s">
        <v>8</v>
      </c>
      <c r="C1443" s="100" t="s">
        <v>153</v>
      </c>
      <c r="D1443" s="101">
        <v>244185</v>
      </c>
      <c r="E1443" s="101">
        <v>116865</v>
      </c>
      <c r="F1443" s="101">
        <v>127320</v>
      </c>
    </row>
    <row r="1444" spans="1:6" hidden="1" x14ac:dyDescent="0.2">
      <c r="A1444" s="102" t="s">
        <v>171</v>
      </c>
      <c r="B1444" s="102" t="s">
        <v>8</v>
      </c>
      <c r="C1444" s="102" t="s">
        <v>154</v>
      </c>
      <c r="D1444" s="103">
        <v>2986.3222301355499</v>
      </c>
      <c r="E1444" s="103">
        <v>1561.4401396363201</v>
      </c>
      <c r="F1444" s="103">
        <v>1675.60272969316</v>
      </c>
    </row>
    <row r="1445" spans="1:6" hidden="1" x14ac:dyDescent="0.2">
      <c r="A1445" s="102" t="s">
        <v>171</v>
      </c>
      <c r="B1445" s="102" t="s">
        <v>8</v>
      </c>
      <c r="C1445" s="102" t="s">
        <v>155</v>
      </c>
      <c r="D1445" s="103">
        <v>239272.436946122</v>
      </c>
      <c r="E1445" s="103">
        <v>114296.398037555</v>
      </c>
      <c r="F1445" s="103">
        <v>124563.598169078</v>
      </c>
    </row>
    <row r="1446" spans="1:6" hidden="1" x14ac:dyDescent="0.2">
      <c r="A1446" s="102" t="s">
        <v>171</v>
      </c>
      <c r="B1446" s="102" t="s">
        <v>8</v>
      </c>
      <c r="C1446" s="102" t="s">
        <v>156</v>
      </c>
      <c r="D1446" s="103">
        <v>249097.56305387701</v>
      </c>
      <c r="E1446" s="103">
        <v>119433.60196244399</v>
      </c>
      <c r="F1446" s="103">
        <v>130076.40183092099</v>
      </c>
    </row>
    <row r="1447" spans="1:6" hidden="1" x14ac:dyDescent="0.2">
      <c r="A1447" s="102" t="s">
        <v>171</v>
      </c>
      <c r="B1447" s="102" t="s">
        <v>8</v>
      </c>
      <c r="C1447" s="102" t="s">
        <v>157</v>
      </c>
      <c r="D1447" s="104">
        <v>1.22297529747345</v>
      </c>
      <c r="E1447" s="104">
        <v>1.33610588254509</v>
      </c>
      <c r="F1447" s="104">
        <v>1.3160561810345199</v>
      </c>
    </row>
    <row r="1448" spans="1:6" hidden="1" x14ac:dyDescent="0.2">
      <c r="A1448" s="102" t="s">
        <v>171</v>
      </c>
      <c r="B1448" s="102" t="s">
        <v>8</v>
      </c>
      <c r="C1448" s="102" t="s">
        <v>158</v>
      </c>
      <c r="D1448" s="104">
        <v>0.84661483541060001</v>
      </c>
      <c r="E1448" s="104">
        <v>0.92476353954074997</v>
      </c>
      <c r="F1448" s="104">
        <v>0.91423747263725996</v>
      </c>
    </row>
    <row r="1449" spans="1:6" hidden="1" x14ac:dyDescent="0.2">
      <c r="A1449" s="95" t="s">
        <v>171</v>
      </c>
      <c r="B1449" s="95" t="s">
        <v>9</v>
      </c>
      <c r="C1449" s="95" t="s">
        <v>153</v>
      </c>
      <c r="D1449" s="96">
        <v>206604</v>
      </c>
      <c r="E1449" s="96">
        <v>93964</v>
      </c>
      <c r="F1449" s="96">
        <v>112640</v>
      </c>
    </row>
    <row r="1450" spans="1:6" hidden="1" x14ac:dyDescent="0.2">
      <c r="A1450" s="97" t="s">
        <v>171</v>
      </c>
      <c r="B1450" s="97" t="s">
        <v>9</v>
      </c>
      <c r="C1450" s="97" t="s">
        <v>154</v>
      </c>
      <c r="D1450" s="98">
        <v>2606.7819383425799</v>
      </c>
      <c r="E1450" s="98">
        <v>1324.4691457317299</v>
      </c>
      <c r="F1450" s="98">
        <v>1486.8199679197901</v>
      </c>
    </row>
    <row r="1451" spans="1:6" hidden="1" x14ac:dyDescent="0.2">
      <c r="A1451" s="97" t="s">
        <v>171</v>
      </c>
      <c r="B1451" s="97" t="s">
        <v>9</v>
      </c>
      <c r="C1451" s="97" t="s">
        <v>155</v>
      </c>
      <c r="D1451" s="98">
        <v>202315.78873110501</v>
      </c>
      <c r="E1451" s="98">
        <v>91785.220320545603</v>
      </c>
      <c r="F1451" s="98">
        <v>110194.149793862</v>
      </c>
    </row>
    <row r="1452" spans="1:6" hidden="1" x14ac:dyDescent="0.2">
      <c r="A1452" s="97" t="s">
        <v>171</v>
      </c>
      <c r="B1452" s="97" t="s">
        <v>9</v>
      </c>
      <c r="C1452" s="97" t="s">
        <v>156</v>
      </c>
      <c r="D1452" s="98">
        <v>210892.211268894</v>
      </c>
      <c r="E1452" s="98">
        <v>96142.779679454296</v>
      </c>
      <c r="F1452" s="98">
        <v>115085.85020613699</v>
      </c>
    </row>
    <row r="1453" spans="1:6" hidden="1" x14ac:dyDescent="0.2">
      <c r="A1453" s="97" t="s">
        <v>171</v>
      </c>
      <c r="B1453" s="97" t="s">
        <v>9</v>
      </c>
      <c r="C1453" s="97" t="s">
        <v>157</v>
      </c>
      <c r="D1453" s="99">
        <v>1.26172868789693</v>
      </c>
      <c r="E1453" s="99">
        <v>1.40954955699176</v>
      </c>
      <c r="F1453" s="99">
        <v>1.3199751135651601</v>
      </c>
    </row>
    <row r="1454" spans="1:6" hidden="1" x14ac:dyDescent="0.2">
      <c r="A1454" s="97" t="s">
        <v>171</v>
      </c>
      <c r="B1454" s="97" t="s">
        <v>9</v>
      </c>
      <c r="C1454" s="97" t="s">
        <v>158</v>
      </c>
      <c r="D1454" s="99">
        <v>0.89136595384064998</v>
      </c>
      <c r="E1454" s="99">
        <v>1.0004759593994601</v>
      </c>
      <c r="F1454" s="99">
        <v>0.91811791861305003</v>
      </c>
    </row>
    <row r="1455" spans="1:6" hidden="1" x14ac:dyDescent="0.2">
      <c r="A1455" s="100" t="s">
        <v>171</v>
      </c>
      <c r="B1455" s="100" t="s">
        <v>10</v>
      </c>
      <c r="C1455" s="100" t="s">
        <v>153</v>
      </c>
      <c r="D1455" s="101">
        <v>211989</v>
      </c>
      <c r="E1455" s="101">
        <v>95985</v>
      </c>
      <c r="F1455" s="101">
        <v>116004</v>
      </c>
    </row>
    <row r="1456" spans="1:6" hidden="1" x14ac:dyDescent="0.2">
      <c r="A1456" s="102" t="s">
        <v>171</v>
      </c>
      <c r="B1456" s="102" t="s">
        <v>10</v>
      </c>
      <c r="C1456" s="102" t="s">
        <v>154</v>
      </c>
      <c r="D1456" s="103">
        <v>2528.6186327607302</v>
      </c>
      <c r="E1456" s="103">
        <v>1283.83216816957</v>
      </c>
      <c r="F1456" s="103">
        <v>1465.4056168658601</v>
      </c>
    </row>
    <row r="1457" spans="1:6" hidden="1" x14ac:dyDescent="0.2">
      <c r="A1457" s="102" t="s">
        <v>171</v>
      </c>
      <c r="B1457" s="102" t="s">
        <v>10</v>
      </c>
      <c r="C1457" s="102" t="s">
        <v>155</v>
      </c>
      <c r="D1457" s="103">
        <v>207829.36901734999</v>
      </c>
      <c r="E1457" s="103">
        <v>93873.069005720507</v>
      </c>
      <c r="F1457" s="103">
        <v>113593.376853002</v>
      </c>
    </row>
    <row r="1458" spans="1:6" hidden="1" x14ac:dyDescent="0.2">
      <c r="A1458" s="102" t="s">
        <v>171</v>
      </c>
      <c r="B1458" s="102" t="s">
        <v>10</v>
      </c>
      <c r="C1458" s="102" t="s">
        <v>156</v>
      </c>
      <c r="D1458" s="103">
        <v>216148.63098264899</v>
      </c>
      <c r="E1458" s="103">
        <v>98096.930994279406</v>
      </c>
      <c r="F1458" s="103">
        <v>118414.623146998</v>
      </c>
    </row>
    <row r="1459" spans="1:6" hidden="1" x14ac:dyDescent="0.2">
      <c r="A1459" s="102" t="s">
        <v>171</v>
      </c>
      <c r="B1459" s="102" t="s">
        <v>10</v>
      </c>
      <c r="C1459" s="102" t="s">
        <v>157</v>
      </c>
      <c r="D1459" s="104">
        <v>1.19280652899949</v>
      </c>
      <c r="E1459" s="104">
        <v>1.3375341648899</v>
      </c>
      <c r="F1459" s="104">
        <v>1.26323714429318</v>
      </c>
    </row>
    <row r="1460" spans="1:6" hidden="1" x14ac:dyDescent="0.2">
      <c r="A1460" s="102" t="s">
        <v>171</v>
      </c>
      <c r="B1460" s="102" t="s">
        <v>10</v>
      </c>
      <c r="C1460" s="102" t="s">
        <v>158</v>
      </c>
      <c r="D1460" s="104">
        <v>0.82665259754489995</v>
      </c>
      <c r="E1460" s="104">
        <v>0.94095701895622996</v>
      </c>
      <c r="F1460" s="104">
        <v>0.86972007134019003</v>
      </c>
    </row>
    <row r="1461" spans="1:6" hidden="1" x14ac:dyDescent="0.2">
      <c r="A1461" s="95" t="s">
        <v>171</v>
      </c>
      <c r="B1461" s="95" t="s">
        <v>11</v>
      </c>
      <c r="C1461" s="95" t="s">
        <v>153</v>
      </c>
      <c r="D1461" s="96">
        <v>201292</v>
      </c>
      <c r="E1461" s="96">
        <v>91909</v>
      </c>
      <c r="F1461" s="96">
        <v>109383</v>
      </c>
    </row>
    <row r="1462" spans="1:6" hidden="1" x14ac:dyDescent="0.2">
      <c r="A1462" s="97" t="s">
        <v>171</v>
      </c>
      <c r="B1462" s="97" t="s">
        <v>11</v>
      </c>
      <c r="C1462" s="97" t="s">
        <v>154</v>
      </c>
      <c r="D1462" s="98">
        <v>2366.2656226245199</v>
      </c>
      <c r="E1462" s="98">
        <v>1191.2082984594099</v>
      </c>
      <c r="F1462" s="98">
        <v>1368.07055905023</v>
      </c>
    </row>
    <row r="1463" spans="1:6" hidden="1" x14ac:dyDescent="0.2">
      <c r="A1463" s="97" t="s">
        <v>171</v>
      </c>
      <c r="B1463" s="97" t="s">
        <v>11</v>
      </c>
      <c r="C1463" s="97" t="s">
        <v>155</v>
      </c>
      <c r="D1463" s="98">
        <v>197399.443143254</v>
      </c>
      <c r="E1463" s="98">
        <v>89949.437224947993</v>
      </c>
      <c r="F1463" s="98">
        <v>107132.495076027</v>
      </c>
    </row>
    <row r="1464" spans="1:6" hidden="1" x14ac:dyDescent="0.2">
      <c r="A1464" s="97" t="s">
        <v>171</v>
      </c>
      <c r="B1464" s="97" t="s">
        <v>11</v>
      </c>
      <c r="C1464" s="97" t="s">
        <v>156</v>
      </c>
      <c r="D1464" s="98">
        <v>205184.55685674501</v>
      </c>
      <c r="E1464" s="98">
        <v>93868.562775051905</v>
      </c>
      <c r="F1464" s="98">
        <v>111633.504923972</v>
      </c>
    </row>
    <row r="1465" spans="1:6" hidden="1" x14ac:dyDescent="0.2">
      <c r="A1465" s="97" t="s">
        <v>171</v>
      </c>
      <c r="B1465" s="97" t="s">
        <v>11</v>
      </c>
      <c r="C1465" s="97" t="s">
        <v>157</v>
      </c>
      <c r="D1465" s="99">
        <v>1.1755388304674399</v>
      </c>
      <c r="E1465" s="99">
        <v>1.29607361461816</v>
      </c>
      <c r="F1465" s="99">
        <v>1.25071588734103</v>
      </c>
    </row>
    <row r="1466" spans="1:6" hidden="1" x14ac:dyDescent="0.2">
      <c r="A1466" s="97" t="s">
        <v>171</v>
      </c>
      <c r="B1466" s="97" t="s">
        <v>11</v>
      </c>
      <c r="C1466" s="97" t="s">
        <v>158</v>
      </c>
      <c r="D1466" s="99">
        <v>0.80000371499822998</v>
      </c>
      <c r="E1466" s="99">
        <v>0.87200154324546997</v>
      </c>
      <c r="F1466" s="99">
        <v>0.85635636068145005</v>
      </c>
    </row>
    <row r="1467" spans="1:6" hidden="1" x14ac:dyDescent="0.2">
      <c r="A1467" s="100" t="s">
        <v>171</v>
      </c>
      <c r="B1467" s="100" t="s">
        <v>12</v>
      </c>
      <c r="C1467" s="100" t="s">
        <v>153</v>
      </c>
      <c r="D1467" s="101">
        <v>194610</v>
      </c>
      <c r="E1467" s="101">
        <v>90176</v>
      </c>
      <c r="F1467" s="101">
        <v>104434</v>
      </c>
    </row>
    <row r="1468" spans="1:6" hidden="1" x14ac:dyDescent="0.2">
      <c r="A1468" s="102" t="s">
        <v>171</v>
      </c>
      <c r="B1468" s="102" t="s">
        <v>12</v>
      </c>
      <c r="C1468" s="102" t="s">
        <v>154</v>
      </c>
      <c r="D1468" s="103">
        <v>2299.9799288066301</v>
      </c>
      <c r="E1468" s="103">
        <v>1153.71568083791</v>
      </c>
      <c r="F1468" s="103">
        <v>1362.89022360794</v>
      </c>
    </row>
    <row r="1469" spans="1:6" hidden="1" x14ac:dyDescent="0.2">
      <c r="A1469" s="102" t="s">
        <v>171</v>
      </c>
      <c r="B1469" s="102" t="s">
        <v>12</v>
      </c>
      <c r="C1469" s="102" t="s">
        <v>155</v>
      </c>
      <c r="D1469" s="103">
        <v>190826.48450763401</v>
      </c>
      <c r="E1469" s="103">
        <v>88278.113371701998</v>
      </c>
      <c r="F1469" s="103">
        <v>102192.01683709001</v>
      </c>
    </row>
    <row r="1470" spans="1:6" hidden="1" x14ac:dyDescent="0.2">
      <c r="A1470" s="102" t="s">
        <v>171</v>
      </c>
      <c r="B1470" s="102" t="s">
        <v>12</v>
      </c>
      <c r="C1470" s="102" t="s">
        <v>156</v>
      </c>
      <c r="D1470" s="103">
        <v>198393.515492365</v>
      </c>
      <c r="E1470" s="103">
        <v>92073.8866282979</v>
      </c>
      <c r="F1470" s="103">
        <v>106675.983162909</v>
      </c>
    </row>
    <row r="1471" spans="1:6" hidden="1" x14ac:dyDescent="0.2">
      <c r="A1471" s="102" t="s">
        <v>171</v>
      </c>
      <c r="B1471" s="102" t="s">
        <v>12</v>
      </c>
      <c r="C1471" s="102" t="s">
        <v>157</v>
      </c>
      <c r="D1471" s="104">
        <v>1.18184056770291</v>
      </c>
      <c r="E1471" s="104">
        <v>1.2794043657269301</v>
      </c>
      <c r="F1471" s="104">
        <v>1.30502539748352</v>
      </c>
    </row>
    <row r="1472" spans="1:6" hidden="1" x14ac:dyDescent="0.2">
      <c r="A1472" s="102" t="s">
        <v>171</v>
      </c>
      <c r="B1472" s="102" t="s">
        <v>12</v>
      </c>
      <c r="C1472" s="102" t="s">
        <v>158</v>
      </c>
      <c r="D1472" s="104">
        <v>0.81869148201690001</v>
      </c>
      <c r="E1472" s="104">
        <v>0.86966440482012997</v>
      </c>
      <c r="F1472" s="104">
        <v>0.92704022830705002</v>
      </c>
    </row>
    <row r="1473" spans="1:6" hidden="1" x14ac:dyDescent="0.2">
      <c r="A1473" s="95" t="s">
        <v>171</v>
      </c>
      <c r="B1473" s="95" t="s">
        <v>13</v>
      </c>
      <c r="C1473" s="95" t="s">
        <v>153</v>
      </c>
      <c r="D1473" s="96">
        <v>161899</v>
      </c>
      <c r="E1473" s="96">
        <v>74461</v>
      </c>
      <c r="F1473" s="96">
        <v>87438</v>
      </c>
    </row>
    <row r="1474" spans="1:6" hidden="1" x14ac:dyDescent="0.2">
      <c r="A1474" s="97" t="s">
        <v>171</v>
      </c>
      <c r="B1474" s="97" t="s">
        <v>13</v>
      </c>
      <c r="C1474" s="97" t="s">
        <v>154</v>
      </c>
      <c r="D1474" s="98">
        <v>2025.5079318427699</v>
      </c>
      <c r="E1474" s="98">
        <v>1040.3318409804799</v>
      </c>
      <c r="F1474" s="98">
        <v>1209.76237034974</v>
      </c>
    </row>
    <row r="1475" spans="1:6" hidden="1" x14ac:dyDescent="0.2">
      <c r="A1475" s="97" t="s">
        <v>171</v>
      </c>
      <c r="B1475" s="97" t="s">
        <v>13</v>
      </c>
      <c r="C1475" s="97" t="s">
        <v>155</v>
      </c>
      <c r="D1475" s="98">
        <v>158566.9967316</v>
      </c>
      <c r="E1475" s="98">
        <v>72749.632179675697</v>
      </c>
      <c r="F1475" s="98">
        <v>85447.915385359694</v>
      </c>
    </row>
    <row r="1476" spans="1:6" hidden="1" x14ac:dyDescent="0.2">
      <c r="A1476" s="97" t="s">
        <v>171</v>
      </c>
      <c r="B1476" s="97" t="s">
        <v>13</v>
      </c>
      <c r="C1476" s="97" t="s">
        <v>156</v>
      </c>
      <c r="D1476" s="98">
        <v>165231.00326839901</v>
      </c>
      <c r="E1476" s="98">
        <v>76172.367820324202</v>
      </c>
      <c r="F1476" s="98">
        <v>89428.084614640306</v>
      </c>
    </row>
    <row r="1477" spans="1:6" hidden="1" x14ac:dyDescent="0.2">
      <c r="A1477" s="97" t="s">
        <v>171</v>
      </c>
      <c r="B1477" s="97" t="s">
        <v>13</v>
      </c>
      <c r="C1477" s="97" t="s">
        <v>157</v>
      </c>
      <c r="D1477" s="99">
        <v>1.25109354093772</v>
      </c>
      <c r="E1477" s="99">
        <v>1.3971499724426</v>
      </c>
      <c r="F1477" s="99">
        <v>1.3835659213954401</v>
      </c>
    </row>
    <row r="1478" spans="1:6" hidden="1" x14ac:dyDescent="0.2">
      <c r="A1478" s="97" t="s">
        <v>171</v>
      </c>
      <c r="B1478" s="97" t="s">
        <v>13</v>
      </c>
      <c r="C1478" s="97" t="s">
        <v>158</v>
      </c>
      <c r="D1478" s="99">
        <v>0.89271430232040005</v>
      </c>
      <c r="E1478" s="99">
        <v>0.99623217820999999</v>
      </c>
      <c r="F1478" s="99">
        <v>0.99655155517223004</v>
      </c>
    </row>
    <row r="1479" spans="1:6" hidden="1" x14ac:dyDescent="0.2">
      <c r="A1479" s="100" t="s">
        <v>171</v>
      </c>
      <c r="B1479" s="100" t="s">
        <v>14</v>
      </c>
      <c r="C1479" s="100" t="s">
        <v>153</v>
      </c>
      <c r="D1479" s="101">
        <v>148389</v>
      </c>
      <c r="E1479" s="101">
        <v>68414</v>
      </c>
      <c r="F1479" s="101">
        <v>79975</v>
      </c>
    </row>
    <row r="1480" spans="1:6" hidden="1" x14ac:dyDescent="0.2">
      <c r="A1480" s="102" t="s">
        <v>171</v>
      </c>
      <c r="B1480" s="102" t="s">
        <v>14</v>
      </c>
      <c r="C1480" s="102" t="s">
        <v>154</v>
      </c>
      <c r="D1480" s="103">
        <v>1962.66802611244</v>
      </c>
      <c r="E1480" s="103">
        <v>1083.8079775757899</v>
      </c>
      <c r="F1480" s="103">
        <v>1119.4839595649501</v>
      </c>
    </row>
    <row r="1481" spans="1:6" hidden="1" x14ac:dyDescent="0.2">
      <c r="A1481" s="102" t="s">
        <v>171</v>
      </c>
      <c r="B1481" s="102" t="s">
        <v>14</v>
      </c>
      <c r="C1481" s="102" t="s">
        <v>155</v>
      </c>
      <c r="D1481" s="103">
        <v>145160.36970189901</v>
      </c>
      <c r="E1481" s="103">
        <v>66631.113018009899</v>
      </c>
      <c r="F1481" s="103">
        <v>78133.425275186193</v>
      </c>
    </row>
    <row r="1482" spans="1:6" hidden="1" x14ac:dyDescent="0.2">
      <c r="A1482" s="102" t="s">
        <v>171</v>
      </c>
      <c r="B1482" s="102" t="s">
        <v>14</v>
      </c>
      <c r="C1482" s="102" t="s">
        <v>156</v>
      </c>
      <c r="D1482" s="103">
        <v>151617.6302981</v>
      </c>
      <c r="E1482" s="103">
        <v>70196.886981990101</v>
      </c>
      <c r="F1482" s="103">
        <v>81816.574724813705</v>
      </c>
    </row>
    <row r="1483" spans="1:6" hidden="1" x14ac:dyDescent="0.2">
      <c r="A1483" s="102" t="s">
        <v>171</v>
      </c>
      <c r="B1483" s="102" t="s">
        <v>14</v>
      </c>
      <c r="C1483" s="102" t="s">
        <v>157</v>
      </c>
      <c r="D1483" s="104">
        <v>1.32265061838306</v>
      </c>
      <c r="E1483" s="104">
        <v>1.5841903376148101</v>
      </c>
      <c r="F1483" s="104">
        <v>1.39979238457636</v>
      </c>
    </row>
    <row r="1484" spans="1:6" hidden="1" x14ac:dyDescent="0.2">
      <c r="A1484" s="102" t="s">
        <v>171</v>
      </c>
      <c r="B1484" s="102" t="s">
        <v>14</v>
      </c>
      <c r="C1484" s="102" t="s">
        <v>158</v>
      </c>
      <c r="D1484" s="104">
        <v>0.98859231852990004</v>
      </c>
      <c r="E1484" s="104">
        <v>1.23123052856946</v>
      </c>
      <c r="F1484" s="104">
        <v>1.01880828032145</v>
      </c>
    </row>
    <row r="1485" spans="1:6" hidden="1" x14ac:dyDescent="0.2">
      <c r="A1485" s="95" t="s">
        <v>171</v>
      </c>
      <c r="B1485" s="95" t="s">
        <v>15</v>
      </c>
      <c r="C1485" s="95" t="s">
        <v>153</v>
      </c>
      <c r="D1485" s="96">
        <v>116149</v>
      </c>
      <c r="E1485" s="96">
        <v>54600</v>
      </c>
      <c r="F1485" s="96">
        <v>61549</v>
      </c>
    </row>
    <row r="1486" spans="1:6" hidden="1" x14ac:dyDescent="0.2">
      <c r="A1486" s="97" t="s">
        <v>171</v>
      </c>
      <c r="B1486" s="97" t="s">
        <v>15</v>
      </c>
      <c r="C1486" s="97" t="s">
        <v>154</v>
      </c>
      <c r="D1486" s="98">
        <v>1493.8043524447201</v>
      </c>
      <c r="E1486" s="98">
        <v>785.16663952518297</v>
      </c>
      <c r="F1486" s="98">
        <v>938.97921191033902</v>
      </c>
    </row>
    <row r="1487" spans="1:6" hidden="1" x14ac:dyDescent="0.2">
      <c r="A1487" s="97" t="s">
        <v>171</v>
      </c>
      <c r="B1487" s="97" t="s">
        <v>15</v>
      </c>
      <c r="C1487" s="97" t="s">
        <v>155</v>
      </c>
      <c r="D1487" s="98">
        <v>113691.66033400899</v>
      </c>
      <c r="E1487" s="98">
        <v>53308.384317825803</v>
      </c>
      <c r="F1487" s="98">
        <v>60004.359392150996</v>
      </c>
    </row>
    <row r="1488" spans="1:6" hidden="1" x14ac:dyDescent="0.2">
      <c r="A1488" s="97" t="s">
        <v>171</v>
      </c>
      <c r="B1488" s="97" t="s">
        <v>15</v>
      </c>
      <c r="C1488" s="97" t="s">
        <v>156</v>
      </c>
      <c r="D1488" s="98">
        <v>118606.33966599</v>
      </c>
      <c r="E1488" s="98">
        <v>55891.615682174102</v>
      </c>
      <c r="F1488" s="98">
        <v>63093.640607848902</v>
      </c>
    </row>
    <row r="1489" spans="1:6" hidden="1" x14ac:dyDescent="0.2">
      <c r="A1489" s="97" t="s">
        <v>171</v>
      </c>
      <c r="B1489" s="97" t="s">
        <v>15</v>
      </c>
      <c r="C1489" s="97" t="s">
        <v>157</v>
      </c>
      <c r="D1489" s="99">
        <v>1.2861103861804399</v>
      </c>
      <c r="E1489" s="99">
        <v>1.4380341383245101</v>
      </c>
      <c r="F1489" s="99">
        <v>1.5255799637855001</v>
      </c>
    </row>
    <row r="1490" spans="1:6" hidden="1" x14ac:dyDescent="0.2">
      <c r="A1490" s="97" t="s">
        <v>171</v>
      </c>
      <c r="B1490" s="97" t="s">
        <v>15</v>
      </c>
      <c r="C1490" s="97" t="s">
        <v>158</v>
      </c>
      <c r="D1490" s="99">
        <v>0.86781256465486001</v>
      </c>
      <c r="E1490" s="99">
        <v>0.93045037178344003</v>
      </c>
      <c r="F1490" s="99">
        <v>1.0959212707680199</v>
      </c>
    </row>
    <row r="1491" spans="1:6" hidden="1" x14ac:dyDescent="0.2">
      <c r="A1491" s="100" t="s">
        <v>171</v>
      </c>
      <c r="B1491" s="100" t="s">
        <v>16</v>
      </c>
      <c r="C1491" s="100" t="s">
        <v>153</v>
      </c>
      <c r="D1491" s="101">
        <v>93750</v>
      </c>
      <c r="E1491" s="101">
        <v>44694</v>
      </c>
      <c r="F1491" s="101">
        <v>49056</v>
      </c>
    </row>
    <row r="1492" spans="1:6" hidden="1" x14ac:dyDescent="0.2">
      <c r="A1492" s="102" t="s">
        <v>171</v>
      </c>
      <c r="B1492" s="102" t="s">
        <v>16</v>
      </c>
      <c r="C1492" s="102" t="s">
        <v>154</v>
      </c>
      <c r="D1492" s="103">
        <v>1375.50115427473</v>
      </c>
      <c r="E1492" s="103">
        <v>725.61265267544502</v>
      </c>
      <c r="F1492" s="103">
        <v>855.64768841277805</v>
      </c>
    </row>
    <row r="1493" spans="1:6" hidden="1" x14ac:dyDescent="0.2">
      <c r="A1493" s="102" t="s">
        <v>171</v>
      </c>
      <c r="B1493" s="102" t="s">
        <v>16</v>
      </c>
      <c r="C1493" s="102" t="s">
        <v>155</v>
      </c>
      <c r="D1493" s="103">
        <v>91487.271590162898</v>
      </c>
      <c r="E1493" s="103">
        <v>43500.351882262403</v>
      </c>
      <c r="F1493" s="103">
        <v>47648.441505871502</v>
      </c>
    </row>
    <row r="1494" spans="1:6" hidden="1" x14ac:dyDescent="0.2">
      <c r="A1494" s="102" t="s">
        <v>171</v>
      </c>
      <c r="B1494" s="102" t="s">
        <v>16</v>
      </c>
      <c r="C1494" s="102" t="s">
        <v>156</v>
      </c>
      <c r="D1494" s="103">
        <v>96012.728409837</v>
      </c>
      <c r="E1494" s="103">
        <v>45887.648117737597</v>
      </c>
      <c r="F1494" s="103">
        <v>50463.558494128498</v>
      </c>
    </row>
    <row r="1495" spans="1:6" hidden="1" x14ac:dyDescent="0.2">
      <c r="A1495" s="102" t="s">
        <v>171</v>
      </c>
      <c r="B1495" s="102" t="s">
        <v>16</v>
      </c>
      <c r="C1495" s="102" t="s">
        <v>157</v>
      </c>
      <c r="D1495" s="104">
        <v>1.46720123122638</v>
      </c>
      <c r="E1495" s="104">
        <v>1.6235124461346999</v>
      </c>
      <c r="F1495" s="104">
        <v>1.7442263707044501</v>
      </c>
    </row>
    <row r="1496" spans="1:6" hidden="1" x14ac:dyDescent="0.2">
      <c r="A1496" s="102" t="s">
        <v>171</v>
      </c>
      <c r="B1496" s="102" t="s">
        <v>16</v>
      </c>
      <c r="C1496" s="102" t="s">
        <v>158</v>
      </c>
      <c r="D1496" s="104">
        <v>1.06846270813274</v>
      </c>
      <c r="E1496" s="104">
        <v>1.1188201733480101</v>
      </c>
      <c r="F1496" s="104">
        <v>1.2942208107183999</v>
      </c>
    </row>
    <row r="1497" spans="1:6" hidden="1" x14ac:dyDescent="0.2">
      <c r="A1497" s="95" t="s">
        <v>171</v>
      </c>
      <c r="B1497" s="95" t="s">
        <v>17</v>
      </c>
      <c r="C1497" s="95" t="s">
        <v>153</v>
      </c>
      <c r="D1497" s="96">
        <v>74311</v>
      </c>
      <c r="E1497" s="96">
        <v>34469</v>
      </c>
      <c r="F1497" s="96">
        <v>39842</v>
      </c>
    </row>
    <row r="1498" spans="1:6" hidden="1" x14ac:dyDescent="0.2">
      <c r="A1498" s="97" t="s">
        <v>171</v>
      </c>
      <c r="B1498" s="97" t="s">
        <v>17</v>
      </c>
      <c r="C1498" s="97" t="s">
        <v>154</v>
      </c>
      <c r="D1498" s="98">
        <v>1072.8847338148501</v>
      </c>
      <c r="E1498" s="98">
        <v>561.95197885564596</v>
      </c>
      <c r="F1498" s="98">
        <v>698.18079057352702</v>
      </c>
    </row>
    <row r="1499" spans="1:6" hidden="1" x14ac:dyDescent="0.2">
      <c r="A1499" s="97" t="s">
        <v>171</v>
      </c>
      <c r="B1499" s="97" t="s">
        <v>17</v>
      </c>
      <c r="C1499" s="97" t="s">
        <v>155</v>
      </c>
      <c r="D1499" s="98">
        <v>72546.081984381599</v>
      </c>
      <c r="E1499" s="98">
        <v>33544.577142506103</v>
      </c>
      <c r="F1499" s="98">
        <v>38693.477873992597</v>
      </c>
    </row>
    <row r="1500" spans="1:6" hidden="1" x14ac:dyDescent="0.2">
      <c r="A1500" s="97" t="s">
        <v>171</v>
      </c>
      <c r="B1500" s="97" t="s">
        <v>17</v>
      </c>
      <c r="C1500" s="97" t="s">
        <v>156</v>
      </c>
      <c r="D1500" s="98">
        <v>76075.918015618299</v>
      </c>
      <c r="E1500" s="98">
        <v>35393.422857493897</v>
      </c>
      <c r="F1500" s="98">
        <v>40990.522126007301</v>
      </c>
    </row>
    <row r="1501" spans="1:6" hidden="1" x14ac:dyDescent="0.2">
      <c r="A1501" s="97" t="s">
        <v>171</v>
      </c>
      <c r="B1501" s="97" t="s">
        <v>17</v>
      </c>
      <c r="C1501" s="97" t="s">
        <v>157</v>
      </c>
      <c r="D1501" s="99">
        <v>1.4437764716056201</v>
      </c>
      <c r="E1501" s="99">
        <v>1.6303112328632801</v>
      </c>
      <c r="F1501" s="99">
        <v>1.75237385315377</v>
      </c>
    </row>
    <row r="1502" spans="1:6" hidden="1" x14ac:dyDescent="0.2">
      <c r="A1502" s="97" t="s">
        <v>171</v>
      </c>
      <c r="B1502" s="97" t="s">
        <v>17</v>
      </c>
      <c r="C1502" s="97" t="s">
        <v>158</v>
      </c>
      <c r="D1502" s="99">
        <v>0.95904787921156998</v>
      </c>
      <c r="E1502" s="99">
        <v>0.99134841874012003</v>
      </c>
      <c r="F1502" s="99">
        <v>1.2185900880145799</v>
      </c>
    </row>
    <row r="1503" spans="1:6" hidden="1" x14ac:dyDescent="0.2">
      <c r="A1503" s="100" t="s">
        <v>171</v>
      </c>
      <c r="B1503" s="100" t="s">
        <v>18</v>
      </c>
      <c r="C1503" s="100" t="s">
        <v>153</v>
      </c>
      <c r="D1503" s="101">
        <v>56610</v>
      </c>
      <c r="E1503" s="101">
        <v>26514</v>
      </c>
      <c r="F1503" s="101">
        <v>30096</v>
      </c>
    </row>
    <row r="1504" spans="1:6" hidden="1" x14ac:dyDescent="0.2">
      <c r="A1504" s="102" t="s">
        <v>171</v>
      </c>
      <c r="B1504" s="102" t="s">
        <v>18</v>
      </c>
      <c r="C1504" s="102" t="s">
        <v>154</v>
      </c>
      <c r="D1504" s="103">
        <v>886.95965016318701</v>
      </c>
      <c r="E1504" s="103">
        <v>469.87504708677102</v>
      </c>
      <c r="F1504" s="103">
        <v>593.36071344415404</v>
      </c>
    </row>
    <row r="1505" spans="1:6" hidden="1" x14ac:dyDescent="0.2">
      <c r="A1505" s="102" t="s">
        <v>171</v>
      </c>
      <c r="B1505" s="102" t="s">
        <v>18</v>
      </c>
      <c r="C1505" s="102" t="s">
        <v>155</v>
      </c>
      <c r="D1505" s="103">
        <v>55150.932668383299</v>
      </c>
      <c r="E1505" s="103">
        <v>25741.0456372845</v>
      </c>
      <c r="F1505" s="103">
        <v>29119.9091116581</v>
      </c>
    </row>
    <row r="1506" spans="1:6" hidden="1" x14ac:dyDescent="0.2">
      <c r="A1506" s="102" t="s">
        <v>171</v>
      </c>
      <c r="B1506" s="102" t="s">
        <v>18</v>
      </c>
      <c r="C1506" s="102" t="s">
        <v>156</v>
      </c>
      <c r="D1506" s="103">
        <v>58069.067331616701</v>
      </c>
      <c r="E1506" s="103">
        <v>27286.954362715402</v>
      </c>
      <c r="F1506" s="103">
        <v>31072.090888341801</v>
      </c>
    </row>
    <row r="1507" spans="1:6" hidden="1" x14ac:dyDescent="0.2">
      <c r="A1507" s="102" t="s">
        <v>171</v>
      </c>
      <c r="B1507" s="102" t="s">
        <v>18</v>
      </c>
      <c r="C1507" s="102" t="s">
        <v>157</v>
      </c>
      <c r="D1507" s="104">
        <v>1.5667897017544301</v>
      </c>
      <c r="E1507" s="104">
        <v>1.7721771407059299</v>
      </c>
      <c r="F1507" s="104">
        <v>1.97156005264538</v>
      </c>
    </row>
    <row r="1508" spans="1:6" hidden="1" x14ac:dyDescent="0.2">
      <c r="A1508" s="102" t="s">
        <v>171</v>
      </c>
      <c r="B1508" s="102" t="s">
        <v>18</v>
      </c>
      <c r="C1508" s="102" t="s">
        <v>158</v>
      </c>
      <c r="D1508" s="104">
        <v>1.02077745586053</v>
      </c>
      <c r="E1508" s="104">
        <v>1.0113950656042401</v>
      </c>
      <c r="F1508" s="104">
        <v>1.35966379597559</v>
      </c>
    </row>
    <row r="1509" spans="1:6" hidden="1" x14ac:dyDescent="0.2">
      <c r="A1509" s="95" t="s">
        <v>171</v>
      </c>
      <c r="B1509" s="95" t="s">
        <v>19</v>
      </c>
      <c r="C1509" s="95" t="s">
        <v>153</v>
      </c>
      <c r="D1509" s="96">
        <v>86827</v>
      </c>
      <c r="E1509" s="96">
        <v>39463</v>
      </c>
      <c r="F1509" s="96">
        <v>47364</v>
      </c>
    </row>
    <row r="1510" spans="1:6" hidden="1" x14ac:dyDescent="0.2">
      <c r="A1510" s="97" t="s">
        <v>171</v>
      </c>
      <c r="B1510" s="97" t="s">
        <v>19</v>
      </c>
      <c r="C1510" s="97" t="s">
        <v>154</v>
      </c>
      <c r="D1510" s="98">
        <v>1222.0343169656501</v>
      </c>
      <c r="E1510" s="98">
        <v>617.20274681543003</v>
      </c>
      <c r="F1510" s="98">
        <v>781.52772041070602</v>
      </c>
    </row>
    <row r="1511" spans="1:6" hidden="1" x14ac:dyDescent="0.2">
      <c r="A1511" s="97" t="s">
        <v>171</v>
      </c>
      <c r="B1511" s="97" t="s">
        <v>19</v>
      </c>
      <c r="C1511" s="97" t="s">
        <v>155</v>
      </c>
      <c r="D1511" s="98">
        <v>84816.727774345607</v>
      </c>
      <c r="E1511" s="98">
        <v>38447.688463903803</v>
      </c>
      <c r="F1511" s="98">
        <v>46078.370416518497</v>
      </c>
    </row>
    <row r="1512" spans="1:6" hidden="1" x14ac:dyDescent="0.2">
      <c r="A1512" s="97" t="s">
        <v>171</v>
      </c>
      <c r="B1512" s="97" t="s">
        <v>19</v>
      </c>
      <c r="C1512" s="97" t="s">
        <v>156</v>
      </c>
      <c r="D1512" s="98">
        <v>88837.272225654306</v>
      </c>
      <c r="E1512" s="98">
        <v>40478.311536096102</v>
      </c>
      <c r="F1512" s="98">
        <v>48649.629583481401</v>
      </c>
    </row>
    <row r="1513" spans="1:6" hidden="1" x14ac:dyDescent="0.2">
      <c r="A1513" s="97" t="s">
        <v>171</v>
      </c>
      <c r="B1513" s="97" t="s">
        <v>19</v>
      </c>
      <c r="C1513" s="97" t="s">
        <v>157</v>
      </c>
      <c r="D1513" s="99">
        <v>1.40743584019447</v>
      </c>
      <c r="E1513" s="99">
        <v>1.5640036155777</v>
      </c>
      <c r="F1513" s="99">
        <v>1.6500458584805</v>
      </c>
    </row>
    <row r="1514" spans="1:6" hidden="1" x14ac:dyDescent="0.2">
      <c r="A1514" s="97" t="s">
        <v>171</v>
      </c>
      <c r="B1514" s="97" t="s">
        <v>19</v>
      </c>
      <c r="C1514" s="97" t="s">
        <v>158</v>
      </c>
      <c r="D1514" s="99">
        <v>0.86311008703103997</v>
      </c>
      <c r="E1514" s="99">
        <v>0.88464357459406995</v>
      </c>
      <c r="F1514" s="99">
        <v>1.05980920320765</v>
      </c>
    </row>
    <row r="1515" spans="1:6" hidden="1" x14ac:dyDescent="0.2">
      <c r="A1515" s="100" t="s">
        <v>171</v>
      </c>
      <c r="B1515" s="100" t="s">
        <v>20</v>
      </c>
      <c r="C1515" s="100" t="s">
        <v>153</v>
      </c>
      <c r="D1515" s="101">
        <v>4418</v>
      </c>
      <c r="E1515" s="101">
        <v>2167</v>
      </c>
      <c r="F1515" s="101">
        <v>2251</v>
      </c>
    </row>
    <row r="1516" spans="1:6" hidden="1" x14ac:dyDescent="0.2">
      <c r="A1516" s="102" t="s">
        <v>171</v>
      </c>
      <c r="B1516" s="102" t="s">
        <v>20</v>
      </c>
      <c r="C1516" s="102" t="s">
        <v>154</v>
      </c>
      <c r="D1516" s="103">
        <v>206.70220325163601</v>
      </c>
      <c r="E1516" s="103">
        <v>136.36188743078301</v>
      </c>
      <c r="F1516" s="103">
        <v>123.315398738897</v>
      </c>
    </row>
    <row r="1517" spans="1:6" hidden="1" x14ac:dyDescent="0.2">
      <c r="A1517" s="102" t="s">
        <v>171</v>
      </c>
      <c r="B1517" s="102" t="s">
        <v>20</v>
      </c>
      <c r="C1517" s="102" t="s">
        <v>155</v>
      </c>
      <c r="D1517" s="103">
        <v>4077.9705160407502</v>
      </c>
      <c r="E1517" s="103">
        <v>1942.6818191320799</v>
      </c>
      <c r="F1517" s="103">
        <v>2048.1435681971402</v>
      </c>
    </row>
    <row r="1518" spans="1:6" hidden="1" x14ac:dyDescent="0.2">
      <c r="A1518" s="102" t="s">
        <v>171</v>
      </c>
      <c r="B1518" s="102" t="s">
        <v>20</v>
      </c>
      <c r="C1518" s="102" t="s">
        <v>156</v>
      </c>
      <c r="D1518" s="103">
        <v>4758.0294839592398</v>
      </c>
      <c r="E1518" s="103">
        <v>2391.3181808679101</v>
      </c>
      <c r="F1518" s="103">
        <v>2453.8564318028498</v>
      </c>
    </row>
    <row r="1519" spans="1:6" hidden="1" x14ac:dyDescent="0.2">
      <c r="A1519" s="102" t="s">
        <v>171</v>
      </c>
      <c r="B1519" s="102" t="s">
        <v>20</v>
      </c>
      <c r="C1519" s="102" t="s">
        <v>157</v>
      </c>
      <c r="D1519" s="104">
        <v>4.6786374660850303</v>
      </c>
      <c r="E1519" s="104">
        <v>6.2926574725788296</v>
      </c>
      <c r="F1519" s="104">
        <v>5.4782496107906304</v>
      </c>
    </row>
    <row r="1520" spans="1:6" hidden="1" x14ac:dyDescent="0.2">
      <c r="A1520" s="102" t="s">
        <v>171</v>
      </c>
      <c r="B1520" s="102" t="s">
        <v>20</v>
      </c>
      <c r="C1520" s="102" t="s">
        <v>158</v>
      </c>
      <c r="D1520" s="104">
        <v>1.1757724982890601</v>
      </c>
      <c r="E1520" s="104">
        <v>1.34422525850041</v>
      </c>
      <c r="F1520" s="104">
        <v>1.2487330560191201</v>
      </c>
    </row>
    <row r="1521" spans="1:6" hidden="1" x14ac:dyDescent="0.2">
      <c r="A1521" s="95" t="s">
        <v>172</v>
      </c>
      <c r="B1521" s="95" t="s">
        <v>152</v>
      </c>
      <c r="C1521" s="95" t="s">
        <v>153</v>
      </c>
      <c r="D1521" s="96">
        <v>7844830</v>
      </c>
      <c r="E1521" s="96">
        <v>3835069</v>
      </c>
      <c r="F1521" s="96">
        <v>4009761</v>
      </c>
    </row>
    <row r="1522" spans="1:6" hidden="1" x14ac:dyDescent="0.2">
      <c r="A1522" s="97" t="s">
        <v>172</v>
      </c>
      <c r="B1522" s="97" t="s">
        <v>152</v>
      </c>
      <c r="C1522" s="97" t="s">
        <v>154</v>
      </c>
      <c r="D1522" s="98">
        <v>99526.026328031396</v>
      </c>
      <c r="E1522" s="98">
        <v>48838.050871205996</v>
      </c>
      <c r="F1522" s="98">
        <v>51127.170106216399</v>
      </c>
    </row>
    <row r="1523" spans="1:6" hidden="1" x14ac:dyDescent="0.2">
      <c r="A1523" s="97" t="s">
        <v>172</v>
      </c>
      <c r="B1523" s="97" t="s">
        <v>152</v>
      </c>
      <c r="C1523" s="97" t="s">
        <v>155</v>
      </c>
      <c r="D1523" s="98">
        <v>7681114.2747544898</v>
      </c>
      <c r="E1523" s="98">
        <v>3754732.6577089499</v>
      </c>
      <c r="F1523" s="98">
        <v>3925659.16209378</v>
      </c>
    </row>
    <row r="1524" spans="1:6" hidden="1" x14ac:dyDescent="0.2">
      <c r="A1524" s="97" t="s">
        <v>172</v>
      </c>
      <c r="B1524" s="97" t="s">
        <v>152</v>
      </c>
      <c r="C1524" s="97" t="s">
        <v>156</v>
      </c>
      <c r="D1524" s="98">
        <v>8008545.7252455102</v>
      </c>
      <c r="E1524" s="98">
        <v>3915405.3422910399</v>
      </c>
      <c r="F1524" s="98">
        <v>4093862.8379062102</v>
      </c>
    </row>
    <row r="1525" spans="1:6" hidden="1" x14ac:dyDescent="0.2">
      <c r="A1525" s="97" t="s">
        <v>172</v>
      </c>
      <c r="B1525" s="97" t="s">
        <v>152</v>
      </c>
      <c r="C1525" s="97" t="s">
        <v>157</v>
      </c>
      <c r="D1525" s="99">
        <v>1.2686830221691401</v>
      </c>
      <c r="E1525" s="99">
        <v>1.2734595093649099</v>
      </c>
      <c r="F1525" s="99">
        <v>1.2750677685332401</v>
      </c>
    </row>
    <row r="1526" spans="1:6" hidden="1" x14ac:dyDescent="0.2">
      <c r="A1526" s="97" t="s">
        <v>172</v>
      </c>
      <c r="B1526" s="97" t="s">
        <v>152</v>
      </c>
      <c r="C1526" s="97" t="s">
        <v>158</v>
      </c>
      <c r="D1526" s="99">
        <v>4.0663004684681301</v>
      </c>
      <c r="E1526" s="99">
        <v>2.2786834923595398</v>
      </c>
      <c r="F1526" s="99">
        <v>2.3017328063664202</v>
      </c>
    </row>
    <row r="1527" spans="1:6" hidden="1" x14ac:dyDescent="0.2">
      <c r="A1527" s="100" t="s">
        <v>172</v>
      </c>
      <c r="B1527" s="100" t="s">
        <v>4</v>
      </c>
      <c r="C1527" s="100" t="s">
        <v>153</v>
      </c>
      <c r="D1527" s="101">
        <v>709346</v>
      </c>
      <c r="E1527" s="101">
        <v>358751</v>
      </c>
      <c r="F1527" s="101">
        <v>350595</v>
      </c>
    </row>
    <row r="1528" spans="1:6" hidden="1" x14ac:dyDescent="0.2">
      <c r="A1528" s="102" t="s">
        <v>172</v>
      </c>
      <c r="B1528" s="102" t="s">
        <v>4</v>
      </c>
      <c r="C1528" s="102" t="s">
        <v>154</v>
      </c>
      <c r="D1528" s="103">
        <v>9833.4253969215097</v>
      </c>
      <c r="E1528" s="103">
        <v>5221.3962257865296</v>
      </c>
      <c r="F1528" s="103">
        <v>5142.1939498277097</v>
      </c>
    </row>
    <row r="1529" spans="1:6" hidden="1" x14ac:dyDescent="0.2">
      <c r="A1529" s="102" t="s">
        <v>172</v>
      </c>
      <c r="B1529" s="102" t="s">
        <v>4</v>
      </c>
      <c r="C1529" s="102" t="s">
        <v>155</v>
      </c>
      <c r="D1529" s="103">
        <v>693170.46853450604</v>
      </c>
      <c r="E1529" s="103">
        <v>350162.04391045001</v>
      </c>
      <c r="F1529" s="103">
        <v>342136.32800324599</v>
      </c>
    </row>
    <row r="1530" spans="1:6" hidden="1" x14ac:dyDescent="0.2">
      <c r="A1530" s="102" t="s">
        <v>172</v>
      </c>
      <c r="B1530" s="102" t="s">
        <v>4</v>
      </c>
      <c r="C1530" s="102" t="s">
        <v>156</v>
      </c>
      <c r="D1530" s="103">
        <v>725521.53146549303</v>
      </c>
      <c r="E1530" s="103">
        <v>367339.956089549</v>
      </c>
      <c r="F1530" s="103">
        <v>359053.67199675401</v>
      </c>
    </row>
    <row r="1531" spans="1:6" hidden="1" x14ac:dyDescent="0.2">
      <c r="A1531" s="102" t="s">
        <v>172</v>
      </c>
      <c r="B1531" s="102" t="s">
        <v>4</v>
      </c>
      <c r="C1531" s="102" t="s">
        <v>157</v>
      </c>
      <c r="D1531" s="104">
        <v>1.3862664196205401</v>
      </c>
      <c r="E1531" s="104">
        <v>1.4554373996968699</v>
      </c>
      <c r="F1531" s="104">
        <v>1.46670487309508</v>
      </c>
    </row>
    <row r="1532" spans="1:6" hidden="1" x14ac:dyDescent="0.2">
      <c r="A1532" s="102" t="s">
        <v>172</v>
      </c>
      <c r="B1532" s="102" t="s">
        <v>4</v>
      </c>
      <c r="C1532" s="102" t="s">
        <v>158</v>
      </c>
      <c r="D1532" s="104">
        <v>1.6834945536791199</v>
      </c>
      <c r="E1532" s="104">
        <v>1.68807491797902</v>
      </c>
      <c r="F1532" s="104">
        <v>1.6935772196004399</v>
      </c>
    </row>
    <row r="1533" spans="1:6" hidden="1" x14ac:dyDescent="0.2">
      <c r="A1533" s="95" t="s">
        <v>172</v>
      </c>
      <c r="B1533" s="95" t="s">
        <v>5</v>
      </c>
      <c r="C1533" s="95" t="s">
        <v>153</v>
      </c>
      <c r="D1533" s="96">
        <v>730081</v>
      </c>
      <c r="E1533" s="96">
        <v>370068</v>
      </c>
      <c r="F1533" s="96">
        <v>360013</v>
      </c>
    </row>
    <row r="1534" spans="1:6" hidden="1" x14ac:dyDescent="0.2">
      <c r="A1534" s="97" t="s">
        <v>172</v>
      </c>
      <c r="B1534" s="97" t="s">
        <v>5</v>
      </c>
      <c r="C1534" s="97" t="s">
        <v>154</v>
      </c>
      <c r="D1534" s="98">
        <v>10240.049332226399</v>
      </c>
      <c r="E1534" s="98">
        <v>5509.6465270564604</v>
      </c>
      <c r="F1534" s="98">
        <v>5260.8990751787896</v>
      </c>
    </row>
    <row r="1535" spans="1:6" hidden="1" x14ac:dyDescent="0.2">
      <c r="A1535" s="97" t="s">
        <v>172</v>
      </c>
      <c r="B1535" s="97" t="s">
        <v>5</v>
      </c>
      <c r="C1535" s="97" t="s">
        <v>155</v>
      </c>
      <c r="D1535" s="98">
        <v>713236.59090594295</v>
      </c>
      <c r="E1535" s="98">
        <v>361004.885452952</v>
      </c>
      <c r="F1535" s="98">
        <v>351359.06354424701</v>
      </c>
    </row>
    <row r="1536" spans="1:6" hidden="1" x14ac:dyDescent="0.2">
      <c r="A1536" s="97" t="s">
        <v>172</v>
      </c>
      <c r="B1536" s="97" t="s">
        <v>5</v>
      </c>
      <c r="C1536" s="97" t="s">
        <v>156</v>
      </c>
      <c r="D1536" s="98">
        <v>746925.40909405705</v>
      </c>
      <c r="E1536" s="98">
        <v>379131.11454704701</v>
      </c>
      <c r="F1536" s="98">
        <v>368666.936455752</v>
      </c>
    </row>
    <row r="1537" spans="1:6" hidden="1" x14ac:dyDescent="0.2">
      <c r="A1537" s="97" t="s">
        <v>172</v>
      </c>
      <c r="B1537" s="97" t="s">
        <v>5</v>
      </c>
      <c r="C1537" s="97" t="s">
        <v>157</v>
      </c>
      <c r="D1537" s="99">
        <v>1.40259085392257</v>
      </c>
      <c r="E1537" s="99">
        <v>1.4888200349817999</v>
      </c>
      <c r="F1537" s="99">
        <v>1.46130808475771</v>
      </c>
    </row>
    <row r="1538" spans="1:6" hidden="1" x14ac:dyDescent="0.2">
      <c r="A1538" s="97" t="s">
        <v>172</v>
      </c>
      <c r="B1538" s="97" t="s">
        <v>5</v>
      </c>
      <c r="C1538" s="97" t="s">
        <v>158</v>
      </c>
      <c r="D1538" s="99">
        <v>1.7092050753093599</v>
      </c>
      <c r="E1538" s="99">
        <v>1.73092550004738</v>
      </c>
      <c r="F1538" s="99">
        <v>1.70375951885349</v>
      </c>
    </row>
    <row r="1539" spans="1:6" hidden="1" x14ac:dyDescent="0.2">
      <c r="A1539" s="100" t="s">
        <v>172</v>
      </c>
      <c r="B1539" s="100" t="s">
        <v>6</v>
      </c>
      <c r="C1539" s="100" t="s">
        <v>153</v>
      </c>
      <c r="D1539" s="101">
        <v>744894</v>
      </c>
      <c r="E1539" s="101">
        <v>373802</v>
      </c>
      <c r="F1539" s="101">
        <v>371092</v>
      </c>
    </row>
    <row r="1540" spans="1:6" hidden="1" x14ac:dyDescent="0.2">
      <c r="A1540" s="102" t="s">
        <v>172</v>
      </c>
      <c r="B1540" s="102" t="s">
        <v>6</v>
      </c>
      <c r="C1540" s="102" t="s">
        <v>154</v>
      </c>
      <c r="D1540" s="103">
        <v>10455.4382295333</v>
      </c>
      <c r="E1540" s="103">
        <v>5549.7050883053398</v>
      </c>
      <c r="F1540" s="103">
        <v>5474.3351661506204</v>
      </c>
    </row>
    <row r="1541" spans="1:6" hidden="1" x14ac:dyDescent="0.2">
      <c r="A1541" s="102" t="s">
        <v>172</v>
      </c>
      <c r="B1541" s="102" t="s">
        <v>6</v>
      </c>
      <c r="C1541" s="102" t="s">
        <v>155</v>
      </c>
      <c r="D1541" s="103">
        <v>727695.28609911504</v>
      </c>
      <c r="E1541" s="103">
        <v>364672.99096636201</v>
      </c>
      <c r="F1541" s="103">
        <v>362086.97101381799</v>
      </c>
    </row>
    <row r="1542" spans="1:6" hidden="1" x14ac:dyDescent="0.2">
      <c r="A1542" s="102" t="s">
        <v>172</v>
      </c>
      <c r="B1542" s="102" t="s">
        <v>6</v>
      </c>
      <c r="C1542" s="102" t="s">
        <v>156</v>
      </c>
      <c r="D1542" s="103">
        <v>762092.71390088403</v>
      </c>
      <c r="E1542" s="103">
        <v>382931.009033637</v>
      </c>
      <c r="F1542" s="103">
        <v>380097.02898618102</v>
      </c>
    </row>
    <row r="1543" spans="1:6" hidden="1" x14ac:dyDescent="0.2">
      <c r="A1543" s="102" t="s">
        <v>172</v>
      </c>
      <c r="B1543" s="102" t="s">
        <v>6</v>
      </c>
      <c r="C1543" s="102" t="s">
        <v>157</v>
      </c>
      <c r="D1543" s="104">
        <v>1.4036142363253501</v>
      </c>
      <c r="E1543" s="104">
        <v>1.48466436463832</v>
      </c>
      <c r="F1543" s="104">
        <v>1.4751962225406701</v>
      </c>
    </row>
    <row r="1544" spans="1:6" hidden="1" x14ac:dyDescent="0.2">
      <c r="A1544" s="102" t="s">
        <v>172</v>
      </c>
      <c r="B1544" s="102" t="s">
        <v>6</v>
      </c>
      <c r="C1544" s="102" t="s">
        <v>158</v>
      </c>
      <c r="D1544" s="104">
        <v>1.71244849913804</v>
      </c>
      <c r="E1544" s="104">
        <v>1.71203328435073</v>
      </c>
      <c r="F1544" s="104">
        <v>1.7363594214323901</v>
      </c>
    </row>
    <row r="1545" spans="1:6" hidden="1" x14ac:dyDescent="0.2">
      <c r="A1545" s="95" t="s">
        <v>172</v>
      </c>
      <c r="B1545" s="95" t="s">
        <v>7</v>
      </c>
      <c r="C1545" s="95" t="s">
        <v>153</v>
      </c>
      <c r="D1545" s="96">
        <v>715365</v>
      </c>
      <c r="E1545" s="96">
        <v>361560</v>
      </c>
      <c r="F1545" s="96">
        <v>353805</v>
      </c>
    </row>
    <row r="1546" spans="1:6" hidden="1" x14ac:dyDescent="0.2">
      <c r="A1546" s="97" t="s">
        <v>172</v>
      </c>
      <c r="B1546" s="97" t="s">
        <v>7</v>
      </c>
      <c r="C1546" s="97" t="s">
        <v>154</v>
      </c>
      <c r="D1546" s="98">
        <v>10269.9591995464</v>
      </c>
      <c r="E1546" s="98">
        <v>5330.9009519645497</v>
      </c>
      <c r="F1546" s="98">
        <v>5457.91451272422</v>
      </c>
    </row>
    <row r="1547" spans="1:6" hidden="1" x14ac:dyDescent="0.2">
      <c r="A1547" s="97" t="s">
        <v>172</v>
      </c>
      <c r="B1547" s="97" t="s">
        <v>7</v>
      </c>
      <c r="C1547" s="97" t="s">
        <v>155</v>
      </c>
      <c r="D1547" s="98">
        <v>698471.39055302006</v>
      </c>
      <c r="E1547" s="98">
        <v>352790.91368396097</v>
      </c>
      <c r="F1547" s="98">
        <v>344826.98223172699</v>
      </c>
    </row>
    <row r="1548" spans="1:6" hidden="1" x14ac:dyDescent="0.2">
      <c r="A1548" s="97" t="s">
        <v>172</v>
      </c>
      <c r="B1548" s="97" t="s">
        <v>7</v>
      </c>
      <c r="C1548" s="97" t="s">
        <v>156</v>
      </c>
      <c r="D1548" s="98">
        <v>732258.60944697901</v>
      </c>
      <c r="E1548" s="98">
        <v>370329.08631603798</v>
      </c>
      <c r="F1548" s="98">
        <v>362783.01776827202</v>
      </c>
    </row>
    <row r="1549" spans="1:6" hidden="1" x14ac:dyDescent="0.2">
      <c r="A1549" s="97" t="s">
        <v>172</v>
      </c>
      <c r="B1549" s="97" t="s">
        <v>7</v>
      </c>
      <c r="C1549" s="97" t="s">
        <v>157</v>
      </c>
      <c r="D1549" s="99">
        <v>1.43562505847314</v>
      </c>
      <c r="E1549" s="99">
        <v>1.47441668103898</v>
      </c>
      <c r="F1549" s="99">
        <v>1.5426335164071201</v>
      </c>
    </row>
    <row r="1550" spans="1:6" hidden="1" x14ac:dyDescent="0.2">
      <c r="A1550" s="97" t="s">
        <v>172</v>
      </c>
      <c r="B1550" s="97" t="s">
        <v>7</v>
      </c>
      <c r="C1550" s="97" t="s">
        <v>158</v>
      </c>
      <c r="D1550" s="99">
        <v>1.8171100038274699</v>
      </c>
      <c r="E1550" s="99">
        <v>1.74819300165702</v>
      </c>
      <c r="F1550" s="99">
        <v>1.8902746394830801</v>
      </c>
    </row>
    <row r="1551" spans="1:6" hidden="1" x14ac:dyDescent="0.2">
      <c r="A1551" s="100" t="s">
        <v>172</v>
      </c>
      <c r="B1551" s="100" t="s">
        <v>8</v>
      </c>
      <c r="C1551" s="100" t="s">
        <v>153</v>
      </c>
      <c r="D1551" s="101">
        <v>709525</v>
      </c>
      <c r="E1551" s="101">
        <v>355017</v>
      </c>
      <c r="F1551" s="101">
        <v>354508</v>
      </c>
    </row>
    <row r="1552" spans="1:6" hidden="1" x14ac:dyDescent="0.2">
      <c r="A1552" s="102" t="s">
        <v>172</v>
      </c>
      <c r="B1552" s="102" t="s">
        <v>8</v>
      </c>
      <c r="C1552" s="102" t="s">
        <v>154</v>
      </c>
      <c r="D1552" s="103">
        <v>10295.9416692011</v>
      </c>
      <c r="E1552" s="103">
        <v>5378.6207423741998</v>
      </c>
      <c r="F1552" s="103">
        <v>5424.6620093656902</v>
      </c>
    </row>
    <row r="1553" spans="1:6" hidden="1" x14ac:dyDescent="0.2">
      <c r="A1553" s="102" t="s">
        <v>172</v>
      </c>
      <c r="B1553" s="102" t="s">
        <v>8</v>
      </c>
      <c r="C1553" s="102" t="s">
        <v>155</v>
      </c>
      <c r="D1553" s="103">
        <v>692588.65058820799</v>
      </c>
      <c r="E1553" s="103">
        <v>346169.41682857799</v>
      </c>
      <c r="F1553" s="103">
        <v>345584.68106684001</v>
      </c>
    </row>
    <row r="1554" spans="1:6" hidden="1" x14ac:dyDescent="0.2">
      <c r="A1554" s="102" t="s">
        <v>172</v>
      </c>
      <c r="B1554" s="102" t="s">
        <v>8</v>
      </c>
      <c r="C1554" s="102" t="s">
        <v>156</v>
      </c>
      <c r="D1554" s="103">
        <v>726461.34941179096</v>
      </c>
      <c r="E1554" s="103">
        <v>363864.58317142102</v>
      </c>
      <c r="F1554" s="103">
        <v>363431.318933159</v>
      </c>
    </row>
    <row r="1555" spans="1:6" hidden="1" x14ac:dyDescent="0.2">
      <c r="A1555" s="102" t="s">
        <v>172</v>
      </c>
      <c r="B1555" s="102" t="s">
        <v>8</v>
      </c>
      <c r="C1555" s="102" t="s">
        <v>157</v>
      </c>
      <c r="D1555" s="104">
        <v>1.45110343810311</v>
      </c>
      <c r="E1555" s="104">
        <v>1.51503188364901</v>
      </c>
      <c r="F1555" s="104">
        <v>1.53019452575561</v>
      </c>
    </row>
    <row r="1556" spans="1:6" hidden="1" x14ac:dyDescent="0.2">
      <c r="A1556" s="102" t="s">
        <v>172</v>
      </c>
      <c r="B1556" s="102" t="s">
        <v>8</v>
      </c>
      <c r="C1556" s="102" t="s">
        <v>158</v>
      </c>
      <c r="D1556" s="104">
        <v>1.8617888821503099</v>
      </c>
      <c r="E1556" s="104">
        <v>1.84279102293918</v>
      </c>
      <c r="F1556" s="104">
        <v>1.88705066463195</v>
      </c>
    </row>
    <row r="1557" spans="1:6" hidden="1" x14ac:dyDescent="0.2">
      <c r="A1557" s="95" t="s">
        <v>172</v>
      </c>
      <c r="B1557" s="95" t="s">
        <v>9</v>
      </c>
      <c r="C1557" s="95" t="s">
        <v>153</v>
      </c>
      <c r="D1557" s="96">
        <v>627332</v>
      </c>
      <c r="E1557" s="96">
        <v>304138</v>
      </c>
      <c r="F1557" s="96">
        <v>323194</v>
      </c>
    </row>
    <row r="1558" spans="1:6" hidden="1" x14ac:dyDescent="0.2">
      <c r="A1558" s="97" t="s">
        <v>172</v>
      </c>
      <c r="B1558" s="97" t="s">
        <v>9</v>
      </c>
      <c r="C1558" s="97" t="s">
        <v>154</v>
      </c>
      <c r="D1558" s="98">
        <v>9352.73643730199</v>
      </c>
      <c r="E1558" s="98">
        <v>4803.48760807706</v>
      </c>
      <c r="F1558" s="98">
        <v>4989.7772566855001</v>
      </c>
    </row>
    <row r="1559" spans="1:6" hidden="1" x14ac:dyDescent="0.2">
      <c r="A1559" s="97" t="s">
        <v>172</v>
      </c>
      <c r="B1559" s="97" t="s">
        <v>9</v>
      </c>
      <c r="C1559" s="97" t="s">
        <v>155</v>
      </c>
      <c r="D1559" s="98">
        <v>611947.17971373303</v>
      </c>
      <c r="E1559" s="98">
        <v>296236.484321355</v>
      </c>
      <c r="F1559" s="98">
        <v>314986.04643718601</v>
      </c>
    </row>
    <row r="1560" spans="1:6" hidden="1" x14ac:dyDescent="0.2">
      <c r="A1560" s="97" t="s">
        <v>172</v>
      </c>
      <c r="B1560" s="97" t="s">
        <v>9</v>
      </c>
      <c r="C1560" s="97" t="s">
        <v>156</v>
      </c>
      <c r="D1560" s="98">
        <v>642716.82028626604</v>
      </c>
      <c r="E1560" s="98">
        <v>312039.51567864401</v>
      </c>
      <c r="F1560" s="98">
        <v>331401.953562813</v>
      </c>
    </row>
    <row r="1561" spans="1:6" hidden="1" x14ac:dyDescent="0.2">
      <c r="A1561" s="97" t="s">
        <v>172</v>
      </c>
      <c r="B1561" s="97" t="s">
        <v>9</v>
      </c>
      <c r="C1561" s="97" t="s">
        <v>157</v>
      </c>
      <c r="D1561" s="99">
        <v>1.49087507688145</v>
      </c>
      <c r="E1561" s="99">
        <v>1.57937765359049</v>
      </c>
      <c r="F1561" s="99">
        <v>1.5438953868838801</v>
      </c>
    </row>
    <row r="1562" spans="1:6" hidden="1" x14ac:dyDescent="0.2">
      <c r="A1562" s="97" t="s">
        <v>172</v>
      </c>
      <c r="B1562" s="97" t="s">
        <v>9</v>
      </c>
      <c r="C1562" s="97" t="s">
        <v>158</v>
      </c>
      <c r="D1562" s="99">
        <v>1.94464613969266</v>
      </c>
      <c r="E1562" s="99">
        <v>1.9613880438459801</v>
      </c>
      <c r="F1562" s="99">
        <v>1.91641312372689</v>
      </c>
    </row>
    <row r="1563" spans="1:6" hidden="1" x14ac:dyDescent="0.2">
      <c r="A1563" s="100" t="s">
        <v>172</v>
      </c>
      <c r="B1563" s="100" t="s">
        <v>10</v>
      </c>
      <c r="C1563" s="100" t="s">
        <v>153</v>
      </c>
      <c r="D1563" s="101">
        <v>597077</v>
      </c>
      <c r="E1563" s="101">
        <v>288191</v>
      </c>
      <c r="F1563" s="101">
        <v>308886</v>
      </c>
    </row>
    <row r="1564" spans="1:6" hidden="1" x14ac:dyDescent="0.2">
      <c r="A1564" s="102" t="s">
        <v>172</v>
      </c>
      <c r="B1564" s="102" t="s">
        <v>10</v>
      </c>
      <c r="C1564" s="102" t="s">
        <v>154</v>
      </c>
      <c r="D1564" s="103">
        <v>9155.9859496567697</v>
      </c>
      <c r="E1564" s="103">
        <v>4742.6082780958895</v>
      </c>
      <c r="F1564" s="103">
        <v>4821.8427408498601</v>
      </c>
    </row>
    <row r="1565" spans="1:6" hidden="1" x14ac:dyDescent="0.2">
      <c r="A1565" s="102" t="s">
        <v>172</v>
      </c>
      <c r="B1565" s="102" t="s">
        <v>10</v>
      </c>
      <c r="C1565" s="102" t="s">
        <v>155</v>
      </c>
      <c r="D1565" s="103">
        <v>582015.82519588096</v>
      </c>
      <c r="E1565" s="103">
        <v>280389.62801268901</v>
      </c>
      <c r="F1565" s="103">
        <v>300954.29097409901</v>
      </c>
    </row>
    <row r="1566" spans="1:6" hidden="1" x14ac:dyDescent="0.2">
      <c r="A1566" s="102" t="s">
        <v>172</v>
      </c>
      <c r="B1566" s="102" t="s">
        <v>10</v>
      </c>
      <c r="C1566" s="102" t="s">
        <v>156</v>
      </c>
      <c r="D1566" s="103">
        <v>612138.174804118</v>
      </c>
      <c r="E1566" s="103">
        <v>295992.37198731001</v>
      </c>
      <c r="F1566" s="103">
        <v>316817.7090259</v>
      </c>
    </row>
    <row r="1567" spans="1:6" hidden="1" x14ac:dyDescent="0.2">
      <c r="A1567" s="102" t="s">
        <v>172</v>
      </c>
      <c r="B1567" s="102" t="s">
        <v>10</v>
      </c>
      <c r="C1567" s="102" t="s">
        <v>157</v>
      </c>
      <c r="D1567" s="104">
        <v>1.53346820421097</v>
      </c>
      <c r="E1567" s="104">
        <v>1.64564760110339</v>
      </c>
      <c r="F1567" s="104">
        <v>1.5610428251360899</v>
      </c>
    </row>
    <row r="1568" spans="1:6" hidden="1" x14ac:dyDescent="0.2">
      <c r="A1568" s="102" t="s">
        <v>172</v>
      </c>
      <c r="B1568" s="102" t="s">
        <v>10</v>
      </c>
      <c r="C1568" s="102" t="s">
        <v>158</v>
      </c>
      <c r="D1568" s="104">
        <v>1.94240452807547</v>
      </c>
      <c r="E1568" s="104">
        <v>1.99589988712754</v>
      </c>
      <c r="F1568" s="104">
        <v>1.87948124349013</v>
      </c>
    </row>
    <row r="1569" spans="1:6" hidden="1" x14ac:dyDescent="0.2">
      <c r="A1569" s="95" t="s">
        <v>172</v>
      </c>
      <c r="B1569" s="95" t="s">
        <v>11</v>
      </c>
      <c r="C1569" s="95" t="s">
        <v>153</v>
      </c>
      <c r="D1569" s="96">
        <v>551567</v>
      </c>
      <c r="E1569" s="96">
        <v>263316</v>
      </c>
      <c r="F1569" s="96">
        <v>288251</v>
      </c>
    </row>
    <row r="1570" spans="1:6" hidden="1" x14ac:dyDescent="0.2">
      <c r="A1570" s="97" t="s">
        <v>172</v>
      </c>
      <c r="B1570" s="97" t="s">
        <v>11</v>
      </c>
      <c r="C1570" s="97" t="s">
        <v>154</v>
      </c>
      <c r="D1570" s="98">
        <v>7762.77260527813</v>
      </c>
      <c r="E1570" s="98">
        <v>3968.19761642395</v>
      </c>
      <c r="F1570" s="98">
        <v>4210.7669782576604</v>
      </c>
    </row>
    <row r="1571" spans="1:6" hidden="1" x14ac:dyDescent="0.2">
      <c r="A1571" s="97" t="s">
        <v>172</v>
      </c>
      <c r="B1571" s="97" t="s">
        <v>11</v>
      </c>
      <c r="C1571" s="97" t="s">
        <v>155</v>
      </c>
      <c r="D1571" s="98">
        <v>538797.59692144895</v>
      </c>
      <c r="E1571" s="98">
        <v>256788.497851475</v>
      </c>
      <c r="F1571" s="98">
        <v>281324.48243349697</v>
      </c>
    </row>
    <row r="1572" spans="1:6" hidden="1" x14ac:dyDescent="0.2">
      <c r="A1572" s="97" t="s">
        <v>172</v>
      </c>
      <c r="B1572" s="97" t="s">
        <v>11</v>
      </c>
      <c r="C1572" s="97" t="s">
        <v>156</v>
      </c>
      <c r="D1572" s="98">
        <v>564336.40307855001</v>
      </c>
      <c r="E1572" s="98">
        <v>269843.50214852398</v>
      </c>
      <c r="F1572" s="98">
        <v>295177.51756650198</v>
      </c>
    </row>
    <row r="1573" spans="1:6" hidden="1" x14ac:dyDescent="0.2">
      <c r="A1573" s="97" t="s">
        <v>172</v>
      </c>
      <c r="B1573" s="97" t="s">
        <v>11</v>
      </c>
      <c r="C1573" s="97" t="s">
        <v>157</v>
      </c>
      <c r="D1573" s="99">
        <v>1.4074033807820501</v>
      </c>
      <c r="E1573" s="99">
        <v>1.5070096828236601</v>
      </c>
      <c r="F1573" s="99">
        <v>1.4607987407702501</v>
      </c>
    </row>
    <row r="1574" spans="1:6" hidden="1" x14ac:dyDescent="0.2">
      <c r="A1574" s="97" t="s">
        <v>172</v>
      </c>
      <c r="B1574" s="97" t="s">
        <v>11</v>
      </c>
      <c r="C1574" s="97" t="s">
        <v>158</v>
      </c>
      <c r="D1574" s="99">
        <v>1.7136132070451999</v>
      </c>
      <c r="E1574" s="99">
        <v>1.75296274282378</v>
      </c>
      <c r="F1574" s="99">
        <v>1.71212194077846</v>
      </c>
    </row>
    <row r="1575" spans="1:6" hidden="1" x14ac:dyDescent="0.2">
      <c r="A1575" s="100" t="s">
        <v>172</v>
      </c>
      <c r="B1575" s="100" t="s">
        <v>12</v>
      </c>
      <c r="C1575" s="100" t="s">
        <v>153</v>
      </c>
      <c r="D1575" s="101">
        <v>532810</v>
      </c>
      <c r="E1575" s="101">
        <v>260581</v>
      </c>
      <c r="F1575" s="101">
        <v>272229</v>
      </c>
    </row>
    <row r="1576" spans="1:6" hidden="1" x14ac:dyDescent="0.2">
      <c r="A1576" s="102" t="s">
        <v>172</v>
      </c>
      <c r="B1576" s="102" t="s">
        <v>12</v>
      </c>
      <c r="C1576" s="102" t="s">
        <v>154</v>
      </c>
      <c r="D1576" s="103">
        <v>8502.7531786115196</v>
      </c>
      <c r="E1576" s="103">
        <v>4412.6299841012697</v>
      </c>
      <c r="F1576" s="103">
        <v>4490.2024211010703</v>
      </c>
    </row>
    <row r="1577" spans="1:6" hidden="1" x14ac:dyDescent="0.2">
      <c r="A1577" s="102" t="s">
        <v>172</v>
      </c>
      <c r="B1577" s="102" t="s">
        <v>12</v>
      </c>
      <c r="C1577" s="102" t="s">
        <v>155</v>
      </c>
      <c r="D1577" s="103">
        <v>518823.362990783</v>
      </c>
      <c r="E1577" s="103">
        <v>253322.42709459501</v>
      </c>
      <c r="F1577" s="103">
        <v>264842.82401175302</v>
      </c>
    </row>
    <row r="1578" spans="1:6" hidden="1" x14ac:dyDescent="0.2">
      <c r="A1578" s="102" t="s">
        <v>172</v>
      </c>
      <c r="B1578" s="102" t="s">
        <v>12</v>
      </c>
      <c r="C1578" s="102" t="s">
        <v>156</v>
      </c>
      <c r="D1578" s="103">
        <v>546796.63700921705</v>
      </c>
      <c r="E1578" s="103">
        <v>267839.57290540403</v>
      </c>
      <c r="F1578" s="103">
        <v>279615.17598824599</v>
      </c>
    </row>
    <row r="1579" spans="1:6" hidden="1" x14ac:dyDescent="0.2">
      <c r="A1579" s="102" t="s">
        <v>172</v>
      </c>
      <c r="B1579" s="102" t="s">
        <v>12</v>
      </c>
      <c r="C1579" s="102" t="s">
        <v>157</v>
      </c>
      <c r="D1579" s="104">
        <v>1.59583213126846</v>
      </c>
      <c r="E1579" s="104">
        <v>1.69338132254511</v>
      </c>
      <c r="F1579" s="104">
        <v>1.64942104665596</v>
      </c>
    </row>
    <row r="1580" spans="1:6" hidden="1" x14ac:dyDescent="0.2">
      <c r="A1580" s="102" t="s">
        <v>172</v>
      </c>
      <c r="B1580" s="102" t="s">
        <v>12</v>
      </c>
      <c r="C1580" s="102" t="s">
        <v>158</v>
      </c>
      <c r="D1580" s="104">
        <v>2.0411443618419098</v>
      </c>
      <c r="E1580" s="104">
        <v>2.08003735652545</v>
      </c>
      <c r="F1580" s="104">
        <v>2.0009958641985901</v>
      </c>
    </row>
    <row r="1581" spans="1:6" hidden="1" x14ac:dyDescent="0.2">
      <c r="A1581" s="95" t="s">
        <v>172</v>
      </c>
      <c r="B1581" s="95" t="s">
        <v>13</v>
      </c>
      <c r="C1581" s="95" t="s">
        <v>153</v>
      </c>
      <c r="D1581" s="96">
        <v>429474</v>
      </c>
      <c r="E1581" s="96">
        <v>204174</v>
      </c>
      <c r="F1581" s="96">
        <v>225300</v>
      </c>
    </row>
    <row r="1582" spans="1:6" hidden="1" x14ac:dyDescent="0.2">
      <c r="A1582" s="97" t="s">
        <v>172</v>
      </c>
      <c r="B1582" s="97" t="s">
        <v>13</v>
      </c>
      <c r="C1582" s="97" t="s">
        <v>154</v>
      </c>
      <c r="D1582" s="98">
        <v>6656.4162726915001</v>
      </c>
      <c r="E1582" s="98">
        <v>3363.39313216343</v>
      </c>
      <c r="F1582" s="98">
        <v>3660.13593513453</v>
      </c>
    </row>
    <row r="1583" spans="1:6" hidden="1" x14ac:dyDescent="0.2">
      <c r="A1583" s="97" t="s">
        <v>172</v>
      </c>
      <c r="B1583" s="97" t="s">
        <v>13</v>
      </c>
      <c r="C1583" s="97" t="s">
        <v>155</v>
      </c>
      <c r="D1583" s="98">
        <v>418524.50208647997</v>
      </c>
      <c r="E1583" s="98">
        <v>198641.373347118</v>
      </c>
      <c r="F1583" s="98">
        <v>219279.24511581799</v>
      </c>
    </row>
    <row r="1584" spans="1:6" hidden="1" x14ac:dyDescent="0.2">
      <c r="A1584" s="97" t="s">
        <v>172</v>
      </c>
      <c r="B1584" s="97" t="s">
        <v>13</v>
      </c>
      <c r="C1584" s="97" t="s">
        <v>156</v>
      </c>
      <c r="D1584" s="98">
        <v>440423.49791351898</v>
      </c>
      <c r="E1584" s="98">
        <v>209706.626652882</v>
      </c>
      <c r="F1584" s="98">
        <v>231320.75488418099</v>
      </c>
    </row>
    <row r="1585" spans="1:6" hidden="1" x14ac:dyDescent="0.2">
      <c r="A1585" s="97" t="s">
        <v>172</v>
      </c>
      <c r="B1585" s="97" t="s">
        <v>13</v>
      </c>
      <c r="C1585" s="97" t="s">
        <v>157</v>
      </c>
      <c r="D1585" s="99">
        <v>1.54989970817593</v>
      </c>
      <c r="E1585" s="99">
        <v>1.6473170590591499</v>
      </c>
      <c r="F1585" s="99">
        <v>1.6245610009474101</v>
      </c>
    </row>
    <row r="1586" spans="1:6" hidden="1" x14ac:dyDescent="0.2">
      <c r="A1586" s="97" t="s">
        <v>172</v>
      </c>
      <c r="B1586" s="97" t="s">
        <v>13</v>
      </c>
      <c r="C1586" s="97" t="s">
        <v>158</v>
      </c>
      <c r="D1586" s="99">
        <v>1.98597364401167</v>
      </c>
      <c r="E1586" s="99">
        <v>2.0252257396250202</v>
      </c>
      <c r="F1586" s="99">
        <v>1.9589889650066701</v>
      </c>
    </row>
    <row r="1587" spans="1:6" hidden="1" x14ac:dyDescent="0.2">
      <c r="A1587" s="100" t="s">
        <v>172</v>
      </c>
      <c r="B1587" s="100" t="s">
        <v>14</v>
      </c>
      <c r="C1587" s="100" t="s">
        <v>153</v>
      </c>
      <c r="D1587" s="101">
        <v>383780</v>
      </c>
      <c r="E1587" s="101">
        <v>180377</v>
      </c>
      <c r="F1587" s="101">
        <v>203403</v>
      </c>
    </row>
    <row r="1588" spans="1:6" hidden="1" x14ac:dyDescent="0.2">
      <c r="A1588" s="102" t="s">
        <v>172</v>
      </c>
      <c r="B1588" s="102" t="s">
        <v>14</v>
      </c>
      <c r="C1588" s="102" t="s">
        <v>154</v>
      </c>
      <c r="D1588" s="103">
        <v>5731.9123496453503</v>
      </c>
      <c r="E1588" s="103">
        <v>2875.3164357277001</v>
      </c>
      <c r="F1588" s="103">
        <v>3242.76236479413</v>
      </c>
    </row>
    <row r="1589" spans="1:6" hidden="1" x14ac:dyDescent="0.2">
      <c r="A1589" s="102" t="s">
        <v>172</v>
      </c>
      <c r="B1589" s="102" t="s">
        <v>14</v>
      </c>
      <c r="C1589" s="102" t="s">
        <v>155</v>
      </c>
      <c r="D1589" s="103">
        <v>374351.26842105598</v>
      </c>
      <c r="E1589" s="103">
        <v>175647.237012839</v>
      </c>
      <c r="F1589" s="103">
        <v>198068.80539846601</v>
      </c>
    </row>
    <row r="1590" spans="1:6" hidden="1" x14ac:dyDescent="0.2">
      <c r="A1590" s="102" t="s">
        <v>172</v>
      </c>
      <c r="B1590" s="102" t="s">
        <v>14</v>
      </c>
      <c r="C1590" s="102" t="s">
        <v>156</v>
      </c>
      <c r="D1590" s="103">
        <v>393208.73157894303</v>
      </c>
      <c r="E1590" s="103">
        <v>185106.76298716001</v>
      </c>
      <c r="F1590" s="103">
        <v>208737.19460153399</v>
      </c>
    </row>
    <row r="1591" spans="1:6" hidden="1" x14ac:dyDescent="0.2">
      <c r="A1591" s="102" t="s">
        <v>172</v>
      </c>
      <c r="B1591" s="102" t="s">
        <v>14</v>
      </c>
      <c r="C1591" s="102" t="s">
        <v>157</v>
      </c>
      <c r="D1591" s="104">
        <v>1.49354118235586</v>
      </c>
      <c r="E1591" s="104">
        <v>1.5940593510967001</v>
      </c>
      <c r="F1591" s="104">
        <v>1.5942549346834201</v>
      </c>
    </row>
    <row r="1592" spans="1:6" hidden="1" x14ac:dyDescent="0.2">
      <c r="A1592" s="102" t="s">
        <v>172</v>
      </c>
      <c r="B1592" s="102" t="s">
        <v>14</v>
      </c>
      <c r="C1592" s="102" t="s">
        <v>158</v>
      </c>
      <c r="D1592" s="104">
        <v>1.8868830867997799</v>
      </c>
      <c r="E1592" s="104">
        <v>1.9054513926596</v>
      </c>
      <c r="F1592" s="104">
        <v>1.9152150643745101</v>
      </c>
    </row>
    <row r="1593" spans="1:6" hidden="1" x14ac:dyDescent="0.2">
      <c r="A1593" s="95" t="s">
        <v>172</v>
      </c>
      <c r="B1593" s="95" t="s">
        <v>15</v>
      </c>
      <c r="C1593" s="95" t="s">
        <v>153</v>
      </c>
      <c r="D1593" s="96">
        <v>301214</v>
      </c>
      <c r="E1593" s="96">
        <v>139813</v>
      </c>
      <c r="F1593" s="96">
        <v>161401</v>
      </c>
    </row>
    <row r="1594" spans="1:6" hidden="1" x14ac:dyDescent="0.2">
      <c r="A1594" s="97" t="s">
        <v>172</v>
      </c>
      <c r="B1594" s="97" t="s">
        <v>15</v>
      </c>
      <c r="C1594" s="97" t="s">
        <v>154</v>
      </c>
      <c r="D1594" s="98">
        <v>4667.2362308826896</v>
      </c>
      <c r="E1594" s="98">
        <v>2317.1471281332201</v>
      </c>
      <c r="F1594" s="98">
        <v>2728.7508999543302</v>
      </c>
    </row>
    <row r="1595" spans="1:6" hidden="1" x14ac:dyDescent="0.2">
      <c r="A1595" s="97" t="s">
        <v>172</v>
      </c>
      <c r="B1595" s="97" t="s">
        <v>15</v>
      </c>
      <c r="C1595" s="97" t="s">
        <v>155</v>
      </c>
      <c r="D1595" s="98">
        <v>293536.611555768</v>
      </c>
      <c r="E1595" s="98">
        <v>136001.399792707</v>
      </c>
      <c r="F1595" s="98">
        <v>156912.330562641</v>
      </c>
    </row>
    <row r="1596" spans="1:6" hidden="1" x14ac:dyDescent="0.2">
      <c r="A1596" s="97" t="s">
        <v>172</v>
      </c>
      <c r="B1596" s="97" t="s">
        <v>15</v>
      </c>
      <c r="C1596" s="97" t="s">
        <v>156</v>
      </c>
      <c r="D1596" s="98">
        <v>308891.38844423101</v>
      </c>
      <c r="E1596" s="98">
        <v>143624.60020729201</v>
      </c>
      <c r="F1596" s="98">
        <v>165889.66943735801</v>
      </c>
    </row>
    <row r="1597" spans="1:6" hidden="1" x14ac:dyDescent="0.2">
      <c r="A1597" s="97" t="s">
        <v>172</v>
      </c>
      <c r="B1597" s="97" t="s">
        <v>15</v>
      </c>
      <c r="C1597" s="97" t="s">
        <v>157</v>
      </c>
      <c r="D1597" s="99">
        <v>1.5494752006489301</v>
      </c>
      <c r="E1597" s="99">
        <v>1.6573187959154101</v>
      </c>
      <c r="F1597" s="99">
        <v>1.6906654233581799</v>
      </c>
    </row>
    <row r="1598" spans="1:6" hidden="1" x14ac:dyDescent="0.2">
      <c r="A1598" s="97" t="s">
        <v>172</v>
      </c>
      <c r="B1598" s="97" t="s">
        <v>15</v>
      </c>
      <c r="C1598" s="97" t="s">
        <v>158</v>
      </c>
      <c r="D1598" s="99">
        <v>1.9624374801756399</v>
      </c>
      <c r="E1598" s="99">
        <v>1.94360428049441</v>
      </c>
      <c r="F1598" s="99">
        <v>2.0552048874784399</v>
      </c>
    </row>
    <row r="1599" spans="1:6" hidden="1" x14ac:dyDescent="0.2">
      <c r="A1599" s="100" t="s">
        <v>172</v>
      </c>
      <c r="B1599" s="100" t="s">
        <v>16</v>
      </c>
      <c r="C1599" s="100" t="s">
        <v>153</v>
      </c>
      <c r="D1599" s="101">
        <v>253717</v>
      </c>
      <c r="E1599" s="101">
        <v>117962</v>
      </c>
      <c r="F1599" s="101">
        <v>135755</v>
      </c>
    </row>
    <row r="1600" spans="1:6" hidden="1" x14ac:dyDescent="0.2">
      <c r="A1600" s="102" t="s">
        <v>172</v>
      </c>
      <c r="B1600" s="102" t="s">
        <v>16</v>
      </c>
      <c r="C1600" s="102" t="s">
        <v>154</v>
      </c>
      <c r="D1600" s="103">
        <v>3980.6913899809902</v>
      </c>
      <c r="E1600" s="103">
        <v>2012.49809458288</v>
      </c>
      <c r="F1600" s="103">
        <v>2367.3744454232601</v>
      </c>
    </row>
    <row r="1601" spans="1:6" hidden="1" x14ac:dyDescent="0.2">
      <c r="A1601" s="102" t="s">
        <v>172</v>
      </c>
      <c r="B1601" s="102" t="s">
        <v>16</v>
      </c>
      <c r="C1601" s="102" t="s">
        <v>155</v>
      </c>
      <c r="D1601" s="103">
        <v>247168.946169926</v>
      </c>
      <c r="E1601" s="103">
        <v>114651.53340884</v>
      </c>
      <c r="F1601" s="103">
        <v>131860.778171201</v>
      </c>
    </row>
    <row r="1602" spans="1:6" hidden="1" x14ac:dyDescent="0.2">
      <c r="A1602" s="102" t="s">
        <v>172</v>
      </c>
      <c r="B1602" s="102" t="s">
        <v>16</v>
      </c>
      <c r="C1602" s="102" t="s">
        <v>156</v>
      </c>
      <c r="D1602" s="103">
        <v>260265.05383007301</v>
      </c>
      <c r="E1602" s="103">
        <v>121272.466591159</v>
      </c>
      <c r="F1602" s="103">
        <v>139649.22182879801</v>
      </c>
    </row>
    <row r="1603" spans="1:6" hidden="1" x14ac:dyDescent="0.2">
      <c r="A1603" s="102" t="s">
        <v>172</v>
      </c>
      <c r="B1603" s="102" t="s">
        <v>16</v>
      </c>
      <c r="C1603" s="102" t="s">
        <v>157</v>
      </c>
      <c r="D1603" s="104">
        <v>1.5689494160741999</v>
      </c>
      <c r="E1603" s="104">
        <v>1.70605626776664</v>
      </c>
      <c r="F1603" s="104">
        <v>1.7438580129079999</v>
      </c>
    </row>
    <row r="1604" spans="1:6" hidden="1" x14ac:dyDescent="0.2">
      <c r="A1604" s="102" t="s">
        <v>172</v>
      </c>
      <c r="B1604" s="102" t="s">
        <v>16</v>
      </c>
      <c r="C1604" s="102" t="s">
        <v>158</v>
      </c>
      <c r="D1604" s="104">
        <v>1.9482143068017801</v>
      </c>
      <c r="E1604" s="104">
        <v>1.9862345646930299</v>
      </c>
      <c r="F1604" s="104">
        <v>2.03753183875267</v>
      </c>
    </row>
    <row r="1605" spans="1:6" hidden="1" x14ac:dyDescent="0.2">
      <c r="A1605" s="95" t="s">
        <v>172</v>
      </c>
      <c r="B1605" s="95" t="s">
        <v>17</v>
      </c>
      <c r="C1605" s="95" t="s">
        <v>153</v>
      </c>
      <c r="D1605" s="96">
        <v>198651</v>
      </c>
      <c r="E1605" s="96">
        <v>92301</v>
      </c>
      <c r="F1605" s="96">
        <v>106350</v>
      </c>
    </row>
    <row r="1606" spans="1:6" hidden="1" x14ac:dyDescent="0.2">
      <c r="A1606" s="97" t="s">
        <v>172</v>
      </c>
      <c r="B1606" s="97" t="s">
        <v>17</v>
      </c>
      <c r="C1606" s="97" t="s">
        <v>154</v>
      </c>
      <c r="D1606" s="98">
        <v>3232.1820238294099</v>
      </c>
      <c r="E1606" s="98">
        <v>1648.0172881936801</v>
      </c>
      <c r="F1606" s="98">
        <v>1922.45759999392</v>
      </c>
    </row>
    <row r="1607" spans="1:6" hidden="1" x14ac:dyDescent="0.2">
      <c r="A1607" s="97" t="s">
        <v>172</v>
      </c>
      <c r="B1607" s="97" t="s">
        <v>17</v>
      </c>
      <c r="C1607" s="97" t="s">
        <v>155</v>
      </c>
      <c r="D1607" s="98">
        <v>193334.20957160799</v>
      </c>
      <c r="E1607" s="98">
        <v>89590.087533099097</v>
      </c>
      <c r="F1607" s="98">
        <v>103187.645871649</v>
      </c>
    </row>
    <row r="1608" spans="1:6" hidden="1" x14ac:dyDescent="0.2">
      <c r="A1608" s="97" t="s">
        <v>172</v>
      </c>
      <c r="B1608" s="97" t="s">
        <v>17</v>
      </c>
      <c r="C1608" s="97" t="s">
        <v>156</v>
      </c>
      <c r="D1608" s="98">
        <v>203967.79042839099</v>
      </c>
      <c r="E1608" s="98">
        <v>95011.912466900903</v>
      </c>
      <c r="F1608" s="98">
        <v>109512.35412834999</v>
      </c>
    </row>
    <row r="1609" spans="1:6" hidden="1" x14ac:dyDescent="0.2">
      <c r="A1609" s="97" t="s">
        <v>172</v>
      </c>
      <c r="B1609" s="97" t="s">
        <v>17</v>
      </c>
      <c r="C1609" s="97" t="s">
        <v>157</v>
      </c>
      <c r="D1609" s="99">
        <v>1.6270655691788101</v>
      </c>
      <c r="E1609" s="99">
        <v>1.78548150961927</v>
      </c>
      <c r="F1609" s="99">
        <v>1.80767052185606</v>
      </c>
    </row>
    <row r="1610" spans="1:6" hidden="1" x14ac:dyDescent="0.2">
      <c r="A1610" s="97" t="s">
        <v>172</v>
      </c>
      <c r="B1610" s="97" t="s">
        <v>17</v>
      </c>
      <c r="C1610" s="97" t="s">
        <v>158</v>
      </c>
      <c r="D1610" s="99">
        <v>1.9902581209738099</v>
      </c>
      <c r="E1610" s="99">
        <v>1.98726990644233</v>
      </c>
      <c r="F1610" s="99">
        <v>2.0852526846449799</v>
      </c>
    </row>
    <row r="1611" spans="1:6" hidden="1" x14ac:dyDescent="0.2">
      <c r="A1611" s="100" t="s">
        <v>172</v>
      </c>
      <c r="B1611" s="100" t="s">
        <v>18</v>
      </c>
      <c r="C1611" s="100" t="s">
        <v>153</v>
      </c>
      <c r="D1611" s="101">
        <v>143602</v>
      </c>
      <c r="E1611" s="101">
        <v>67537</v>
      </c>
      <c r="F1611" s="101">
        <v>76065</v>
      </c>
    </row>
    <row r="1612" spans="1:6" hidden="1" x14ac:dyDescent="0.2">
      <c r="A1612" s="102" t="s">
        <v>172</v>
      </c>
      <c r="B1612" s="102" t="s">
        <v>18</v>
      </c>
      <c r="C1612" s="102" t="s">
        <v>154</v>
      </c>
      <c r="D1612" s="103">
        <v>2481.3806124674202</v>
      </c>
      <c r="E1612" s="103">
        <v>1322.0670081363601</v>
      </c>
      <c r="F1612" s="103">
        <v>1519.93179361746</v>
      </c>
    </row>
    <row r="1613" spans="1:6" hidden="1" x14ac:dyDescent="0.2">
      <c r="A1613" s="102" t="s">
        <v>172</v>
      </c>
      <c r="B1613" s="102" t="s">
        <v>18</v>
      </c>
      <c r="C1613" s="102" t="s">
        <v>155</v>
      </c>
      <c r="D1613" s="103">
        <v>139520.24328200001</v>
      </c>
      <c r="E1613" s="103">
        <v>65362.260717766199</v>
      </c>
      <c r="F1613" s="103">
        <v>73564.782267046001</v>
      </c>
    </row>
    <row r="1614" spans="1:6" hidden="1" x14ac:dyDescent="0.2">
      <c r="A1614" s="102" t="s">
        <v>172</v>
      </c>
      <c r="B1614" s="102" t="s">
        <v>18</v>
      </c>
      <c r="C1614" s="102" t="s">
        <v>156</v>
      </c>
      <c r="D1614" s="103">
        <v>147683.756717999</v>
      </c>
      <c r="E1614" s="103">
        <v>69711.739282233801</v>
      </c>
      <c r="F1614" s="103">
        <v>78565.217732953999</v>
      </c>
    </row>
    <row r="1615" spans="1:6" hidden="1" x14ac:dyDescent="0.2">
      <c r="A1615" s="102" t="s">
        <v>172</v>
      </c>
      <c r="B1615" s="102" t="s">
        <v>18</v>
      </c>
      <c r="C1615" s="102" t="s">
        <v>157</v>
      </c>
      <c r="D1615" s="104">
        <v>1.7279568616505501</v>
      </c>
      <c r="E1615" s="104">
        <v>1.95754476529363</v>
      </c>
      <c r="F1615" s="104">
        <v>1.9982012668342399</v>
      </c>
    </row>
    <row r="1616" spans="1:6" hidden="1" x14ac:dyDescent="0.2">
      <c r="A1616" s="102" t="s">
        <v>172</v>
      </c>
      <c r="B1616" s="102" t="s">
        <v>18</v>
      </c>
      <c r="C1616" s="102" t="s">
        <v>158</v>
      </c>
      <c r="D1616" s="104">
        <v>1.9777365214182101</v>
      </c>
      <c r="E1616" s="104">
        <v>2.0354705132073501</v>
      </c>
      <c r="F1616" s="104">
        <v>2.1274194819166099</v>
      </c>
    </row>
    <row r="1617" spans="1:6" hidden="1" x14ac:dyDescent="0.2">
      <c r="A1617" s="95" t="s">
        <v>172</v>
      </c>
      <c r="B1617" s="95" t="s">
        <v>19</v>
      </c>
      <c r="C1617" s="95" t="s">
        <v>153</v>
      </c>
      <c r="D1617" s="96">
        <v>213420</v>
      </c>
      <c r="E1617" s="96">
        <v>96029</v>
      </c>
      <c r="F1617" s="96">
        <v>117391</v>
      </c>
    </row>
    <row r="1618" spans="1:6" hidden="1" x14ac:dyDescent="0.2">
      <c r="A1618" s="97" t="s">
        <v>172</v>
      </c>
      <c r="B1618" s="97" t="s">
        <v>19</v>
      </c>
      <c r="C1618" s="97" t="s">
        <v>154</v>
      </c>
      <c r="D1618" s="98">
        <v>3288.83411860052</v>
      </c>
      <c r="E1618" s="98">
        <v>1599.7985271156001</v>
      </c>
      <c r="F1618" s="98">
        <v>2056.7499072517198</v>
      </c>
    </row>
    <row r="1619" spans="1:6" hidden="1" x14ac:dyDescent="0.2">
      <c r="A1619" s="97" t="s">
        <v>172</v>
      </c>
      <c r="B1619" s="97" t="s">
        <v>19</v>
      </c>
      <c r="C1619" s="97" t="s">
        <v>155</v>
      </c>
      <c r="D1619" s="98">
        <v>208010.01948732199</v>
      </c>
      <c r="E1619" s="98">
        <v>93397.405172229206</v>
      </c>
      <c r="F1619" s="98">
        <v>114007.74121697</v>
      </c>
    </row>
    <row r="1620" spans="1:6" hidden="1" x14ac:dyDescent="0.2">
      <c r="A1620" s="97" t="s">
        <v>172</v>
      </c>
      <c r="B1620" s="97" t="s">
        <v>19</v>
      </c>
      <c r="C1620" s="97" t="s">
        <v>156</v>
      </c>
      <c r="D1620" s="98">
        <v>218829.98051267699</v>
      </c>
      <c r="E1620" s="98">
        <v>98660.594827770794</v>
      </c>
      <c r="F1620" s="98">
        <v>120774.258783029</v>
      </c>
    </row>
    <row r="1621" spans="1:6" hidden="1" x14ac:dyDescent="0.2">
      <c r="A1621" s="97" t="s">
        <v>172</v>
      </c>
      <c r="B1621" s="97" t="s">
        <v>19</v>
      </c>
      <c r="C1621" s="97" t="s">
        <v>157</v>
      </c>
      <c r="D1621" s="99">
        <v>1.54101495576821</v>
      </c>
      <c r="E1621" s="99">
        <v>1.66595354227952</v>
      </c>
      <c r="F1621" s="99">
        <v>1.75205075964233</v>
      </c>
    </row>
    <row r="1622" spans="1:6" hidden="1" x14ac:dyDescent="0.2">
      <c r="A1622" s="97" t="s">
        <v>172</v>
      </c>
      <c r="B1622" s="97" t="s">
        <v>19</v>
      </c>
      <c r="C1622" s="97" t="s">
        <v>158</v>
      </c>
      <c r="D1622" s="99">
        <v>1.6799088074264099</v>
      </c>
      <c r="E1622" s="99">
        <v>1.6660949021415801</v>
      </c>
      <c r="F1622" s="99">
        <v>1.838593327084</v>
      </c>
    </row>
    <row r="1623" spans="1:6" hidden="1" x14ac:dyDescent="0.2">
      <c r="A1623" s="100" t="s">
        <v>172</v>
      </c>
      <c r="B1623" s="100" t="s">
        <v>20</v>
      </c>
      <c r="C1623" s="100" t="s">
        <v>153</v>
      </c>
      <c r="D1623" s="101">
        <v>2975</v>
      </c>
      <c r="E1623" s="101">
        <v>1452</v>
      </c>
      <c r="F1623" s="101">
        <v>1523</v>
      </c>
    </row>
    <row r="1624" spans="1:6" hidden="1" x14ac:dyDescent="0.2">
      <c r="A1624" s="102" t="s">
        <v>172</v>
      </c>
      <c r="B1624" s="102" t="s">
        <v>20</v>
      </c>
      <c r="C1624" s="102" t="s">
        <v>154</v>
      </c>
      <c r="D1624" s="103">
        <v>275.976932181302</v>
      </c>
      <c r="E1624" s="103">
        <v>167.39233344757099</v>
      </c>
      <c r="F1624" s="103">
        <v>183.78998715728801</v>
      </c>
    </row>
    <row r="1625" spans="1:6" hidden="1" x14ac:dyDescent="0.2">
      <c r="A1625" s="102" t="s">
        <v>172</v>
      </c>
      <c r="B1625" s="102" t="s">
        <v>20</v>
      </c>
      <c r="C1625" s="102" t="s">
        <v>155</v>
      </c>
      <c r="D1625" s="103">
        <v>2521.0306688606602</v>
      </c>
      <c r="E1625" s="103">
        <v>1176.6473281211499</v>
      </c>
      <c r="F1625" s="103">
        <v>1220.67394368638</v>
      </c>
    </row>
    <row r="1626" spans="1:6" hidden="1" x14ac:dyDescent="0.2">
      <c r="A1626" s="102" t="s">
        <v>172</v>
      </c>
      <c r="B1626" s="102" t="s">
        <v>20</v>
      </c>
      <c r="C1626" s="102" t="s">
        <v>156</v>
      </c>
      <c r="D1626" s="103">
        <v>3428.9693311393298</v>
      </c>
      <c r="E1626" s="103">
        <v>1727.3526718788401</v>
      </c>
      <c r="F1626" s="103">
        <v>1825.32605631361</v>
      </c>
    </row>
    <row r="1627" spans="1:6" hidden="1" x14ac:dyDescent="0.2">
      <c r="A1627" s="102" t="s">
        <v>172</v>
      </c>
      <c r="B1627" s="102" t="s">
        <v>20</v>
      </c>
      <c r="C1627" s="102" t="s">
        <v>157</v>
      </c>
      <c r="D1627" s="104">
        <v>9.2765355355059498</v>
      </c>
      <c r="E1627" s="104">
        <v>11.528397620356101</v>
      </c>
      <c r="F1627" s="104">
        <v>12.067628835015601</v>
      </c>
    </row>
    <row r="1628" spans="1:6" hidden="1" x14ac:dyDescent="0.2">
      <c r="A1628" s="102" t="s">
        <v>172</v>
      </c>
      <c r="B1628" s="102" t="s">
        <v>20</v>
      </c>
      <c r="C1628" s="102" t="s">
        <v>158</v>
      </c>
      <c r="D1628" s="104">
        <v>3.8271185603641</v>
      </c>
      <c r="E1628" s="104">
        <v>3.3742515678762302</v>
      </c>
      <c r="F1628" s="104">
        <v>3.6936386980805098</v>
      </c>
    </row>
    <row r="1629" spans="1:6" hidden="1" x14ac:dyDescent="0.2">
      <c r="A1629" s="95" t="s">
        <v>173</v>
      </c>
      <c r="B1629" s="95" t="s">
        <v>152</v>
      </c>
      <c r="C1629" s="95" t="s">
        <v>153</v>
      </c>
      <c r="D1629" s="96">
        <v>16187608</v>
      </c>
      <c r="E1629" s="96">
        <v>7834068</v>
      </c>
      <c r="F1629" s="96">
        <v>8353540</v>
      </c>
    </row>
    <row r="1630" spans="1:6" hidden="1" x14ac:dyDescent="0.2">
      <c r="A1630" s="97" t="s">
        <v>173</v>
      </c>
      <c r="B1630" s="97" t="s">
        <v>152</v>
      </c>
      <c r="C1630" s="97" t="s">
        <v>154</v>
      </c>
      <c r="D1630" s="98">
        <v>191598.11043982301</v>
      </c>
      <c r="E1630" s="98">
        <v>93141.191900888705</v>
      </c>
      <c r="F1630" s="98">
        <v>99154.573653233601</v>
      </c>
    </row>
    <row r="1631" spans="1:6" hidden="1" x14ac:dyDescent="0.2">
      <c r="A1631" s="97" t="s">
        <v>173</v>
      </c>
      <c r="B1631" s="97" t="s">
        <v>152</v>
      </c>
      <c r="C1631" s="97" t="s">
        <v>155</v>
      </c>
      <c r="D1631" s="98">
        <v>15872435.8662253</v>
      </c>
      <c r="E1631" s="98">
        <v>7680854.02452638</v>
      </c>
      <c r="F1631" s="98">
        <v>8190434.2236430803</v>
      </c>
    </row>
    <row r="1632" spans="1:6" hidden="1" x14ac:dyDescent="0.2">
      <c r="A1632" s="97" t="s">
        <v>173</v>
      </c>
      <c r="B1632" s="97" t="s">
        <v>152</v>
      </c>
      <c r="C1632" s="97" t="s">
        <v>156</v>
      </c>
      <c r="D1632" s="98">
        <v>16502780.133774601</v>
      </c>
      <c r="E1632" s="98">
        <v>7987281.9754736098</v>
      </c>
      <c r="F1632" s="98">
        <v>8516645.7763569206</v>
      </c>
    </row>
    <row r="1633" spans="1:6" hidden="1" x14ac:dyDescent="0.2">
      <c r="A1633" s="97" t="s">
        <v>173</v>
      </c>
      <c r="B1633" s="97" t="s">
        <v>152</v>
      </c>
      <c r="C1633" s="97" t="s">
        <v>157</v>
      </c>
      <c r="D1633" s="99">
        <v>1.1836097738456599</v>
      </c>
      <c r="E1633" s="99">
        <v>1.18892498636581</v>
      </c>
      <c r="F1633" s="99">
        <v>1.18697670273002</v>
      </c>
    </row>
    <row r="1634" spans="1:6" hidden="1" x14ac:dyDescent="0.2">
      <c r="A1634" s="97" t="s">
        <v>173</v>
      </c>
      <c r="B1634" s="97" t="s">
        <v>152</v>
      </c>
      <c r="C1634" s="97" t="s">
        <v>158</v>
      </c>
      <c r="D1634" s="99">
        <v>2.0055383067196799</v>
      </c>
      <c r="E1634" s="99">
        <v>1.36195643687962</v>
      </c>
      <c r="F1634" s="99">
        <v>1.36493014271229</v>
      </c>
    </row>
    <row r="1635" spans="1:6" hidden="1" x14ac:dyDescent="0.2">
      <c r="A1635" s="100" t="s">
        <v>173</v>
      </c>
      <c r="B1635" s="100" t="s">
        <v>4</v>
      </c>
      <c r="C1635" s="100" t="s">
        <v>153</v>
      </c>
      <c r="D1635" s="101">
        <v>1337907</v>
      </c>
      <c r="E1635" s="101">
        <v>678929</v>
      </c>
      <c r="F1635" s="101">
        <v>658978</v>
      </c>
    </row>
    <row r="1636" spans="1:6" hidden="1" x14ac:dyDescent="0.2">
      <c r="A1636" s="102" t="s">
        <v>173</v>
      </c>
      <c r="B1636" s="102" t="s">
        <v>4</v>
      </c>
      <c r="C1636" s="102" t="s">
        <v>154</v>
      </c>
      <c r="D1636" s="103">
        <v>17379.8028160631</v>
      </c>
      <c r="E1636" s="103">
        <v>9075.5508347007708</v>
      </c>
      <c r="F1636" s="103">
        <v>9097.5154885311003</v>
      </c>
    </row>
    <row r="1637" spans="1:6" hidden="1" x14ac:dyDescent="0.2">
      <c r="A1637" s="102" t="s">
        <v>173</v>
      </c>
      <c r="B1637" s="102" t="s">
        <v>4</v>
      </c>
      <c r="C1637" s="102" t="s">
        <v>155</v>
      </c>
      <c r="D1637" s="103">
        <v>1309317.8373744001</v>
      </c>
      <c r="E1637" s="103">
        <v>664000.03898265504</v>
      </c>
      <c r="F1637" s="103">
        <v>644012.90790182399</v>
      </c>
    </row>
    <row r="1638" spans="1:6" hidden="1" x14ac:dyDescent="0.2">
      <c r="A1638" s="102" t="s">
        <v>173</v>
      </c>
      <c r="B1638" s="102" t="s">
        <v>4</v>
      </c>
      <c r="C1638" s="102" t="s">
        <v>156</v>
      </c>
      <c r="D1638" s="103">
        <v>1366496.1626255901</v>
      </c>
      <c r="E1638" s="103">
        <v>693857.96101734403</v>
      </c>
      <c r="F1638" s="103">
        <v>673943.09209817497</v>
      </c>
    </row>
    <row r="1639" spans="1:6" hidden="1" x14ac:dyDescent="0.2">
      <c r="A1639" s="102" t="s">
        <v>173</v>
      </c>
      <c r="B1639" s="102" t="s">
        <v>4</v>
      </c>
      <c r="C1639" s="102" t="s">
        <v>157</v>
      </c>
      <c r="D1639" s="104">
        <v>1.29902921623574</v>
      </c>
      <c r="E1639" s="104">
        <v>1.3367452023261299</v>
      </c>
      <c r="F1639" s="104">
        <v>1.3805491971706301</v>
      </c>
    </row>
    <row r="1640" spans="1:6" hidden="1" x14ac:dyDescent="0.2">
      <c r="A1640" s="102" t="s">
        <v>173</v>
      </c>
      <c r="B1640" s="102" t="s">
        <v>4</v>
      </c>
      <c r="C1640" s="102" t="s">
        <v>158</v>
      </c>
      <c r="D1640" s="104">
        <v>1.1003074301343001</v>
      </c>
      <c r="E1640" s="104">
        <v>1.1138545746177899</v>
      </c>
      <c r="F1640" s="104">
        <v>1.16391043989198</v>
      </c>
    </row>
    <row r="1641" spans="1:6" hidden="1" x14ac:dyDescent="0.2">
      <c r="A1641" s="95" t="s">
        <v>173</v>
      </c>
      <c r="B1641" s="95" t="s">
        <v>5</v>
      </c>
      <c r="C1641" s="95" t="s">
        <v>153</v>
      </c>
      <c r="D1641" s="96">
        <v>1455675</v>
      </c>
      <c r="E1641" s="96">
        <v>740982</v>
      </c>
      <c r="F1641" s="96">
        <v>714693</v>
      </c>
    </row>
    <row r="1642" spans="1:6" hidden="1" x14ac:dyDescent="0.2">
      <c r="A1642" s="97" t="s">
        <v>173</v>
      </c>
      <c r="B1642" s="97" t="s">
        <v>5</v>
      </c>
      <c r="C1642" s="97" t="s">
        <v>154</v>
      </c>
      <c r="D1642" s="98">
        <v>18669.136088264699</v>
      </c>
      <c r="E1642" s="98">
        <v>9907.1519533054998</v>
      </c>
      <c r="F1642" s="98">
        <v>9584.9083732379895</v>
      </c>
    </row>
    <row r="1643" spans="1:6" hidden="1" x14ac:dyDescent="0.2">
      <c r="A1643" s="97" t="s">
        <v>173</v>
      </c>
      <c r="B1643" s="97" t="s">
        <v>5</v>
      </c>
      <c r="C1643" s="97" t="s">
        <v>155</v>
      </c>
      <c r="D1643" s="98">
        <v>1424964.92961798</v>
      </c>
      <c r="E1643" s="98">
        <v>724685.08447413496</v>
      </c>
      <c r="F1643" s="98">
        <v>698926.16379742196</v>
      </c>
    </row>
    <row r="1644" spans="1:6" hidden="1" x14ac:dyDescent="0.2">
      <c r="A1644" s="97" t="s">
        <v>173</v>
      </c>
      <c r="B1644" s="97" t="s">
        <v>5</v>
      </c>
      <c r="C1644" s="97" t="s">
        <v>156</v>
      </c>
      <c r="D1644" s="98">
        <v>1486385.07038201</v>
      </c>
      <c r="E1644" s="98">
        <v>757278.91552586399</v>
      </c>
      <c r="F1644" s="98">
        <v>730459.83620257699</v>
      </c>
    </row>
    <row r="1645" spans="1:6" hidden="1" x14ac:dyDescent="0.2">
      <c r="A1645" s="97" t="s">
        <v>173</v>
      </c>
      <c r="B1645" s="97" t="s">
        <v>5</v>
      </c>
      <c r="C1645" s="97" t="s">
        <v>157</v>
      </c>
      <c r="D1645" s="99">
        <v>1.2825071591024499</v>
      </c>
      <c r="E1645" s="99">
        <v>1.3370300430112301</v>
      </c>
      <c r="F1645" s="99">
        <v>1.3411224642242101</v>
      </c>
    </row>
    <row r="1646" spans="1:6" hidden="1" x14ac:dyDescent="0.2">
      <c r="A1646" s="97" t="s">
        <v>173</v>
      </c>
      <c r="B1646" s="97" t="s">
        <v>5</v>
      </c>
      <c r="C1646" s="97" t="s">
        <v>158</v>
      </c>
      <c r="D1646" s="99">
        <v>1.0788217459993099</v>
      </c>
      <c r="E1646" s="99">
        <v>1.11351621758168</v>
      </c>
      <c r="F1646" s="99">
        <v>1.11522122972125</v>
      </c>
    </row>
    <row r="1647" spans="1:6" hidden="1" x14ac:dyDescent="0.2">
      <c r="A1647" s="100" t="s">
        <v>173</v>
      </c>
      <c r="B1647" s="100" t="s">
        <v>6</v>
      </c>
      <c r="C1647" s="100" t="s">
        <v>153</v>
      </c>
      <c r="D1647" s="101">
        <v>1495243</v>
      </c>
      <c r="E1647" s="101">
        <v>752054</v>
      </c>
      <c r="F1647" s="101">
        <v>743189</v>
      </c>
    </row>
    <row r="1648" spans="1:6" hidden="1" x14ac:dyDescent="0.2">
      <c r="A1648" s="102" t="s">
        <v>173</v>
      </c>
      <c r="B1648" s="102" t="s">
        <v>6</v>
      </c>
      <c r="C1648" s="102" t="s">
        <v>154</v>
      </c>
      <c r="D1648" s="103">
        <v>19273.0113128167</v>
      </c>
      <c r="E1648" s="103">
        <v>10412.3176785546</v>
      </c>
      <c r="F1648" s="103">
        <v>9967.4974571814801</v>
      </c>
    </row>
    <row r="1649" spans="1:6" hidden="1" x14ac:dyDescent="0.2">
      <c r="A1649" s="102" t="s">
        <v>173</v>
      </c>
      <c r="B1649" s="102" t="s">
        <v>6</v>
      </c>
      <c r="C1649" s="102" t="s">
        <v>155</v>
      </c>
      <c r="D1649" s="103">
        <v>1463539.57617301</v>
      </c>
      <c r="E1649" s="103">
        <v>734926.104673911</v>
      </c>
      <c r="F1649" s="103">
        <v>726792.81824871898</v>
      </c>
    </row>
    <row r="1650" spans="1:6" hidden="1" x14ac:dyDescent="0.2">
      <c r="A1650" s="102" t="s">
        <v>173</v>
      </c>
      <c r="B1650" s="102" t="s">
        <v>6</v>
      </c>
      <c r="C1650" s="102" t="s">
        <v>156</v>
      </c>
      <c r="D1650" s="103">
        <v>1526946.4238269799</v>
      </c>
      <c r="E1650" s="103">
        <v>769181.89532608795</v>
      </c>
      <c r="F1650" s="103">
        <v>759585.18175128102</v>
      </c>
    </row>
    <row r="1651" spans="1:6" hidden="1" x14ac:dyDescent="0.2">
      <c r="A1651" s="102" t="s">
        <v>173</v>
      </c>
      <c r="B1651" s="102" t="s">
        <v>6</v>
      </c>
      <c r="C1651" s="102" t="s">
        <v>157</v>
      </c>
      <c r="D1651" s="104">
        <v>1.2889551272145501</v>
      </c>
      <c r="E1651" s="104">
        <v>1.3845172924490301</v>
      </c>
      <c r="F1651" s="104">
        <v>1.34117935776518</v>
      </c>
    </row>
    <row r="1652" spans="1:6" hidden="1" x14ac:dyDescent="0.2">
      <c r="A1652" s="102" t="s">
        <v>173</v>
      </c>
      <c r="B1652" s="102" t="s">
        <v>6</v>
      </c>
      <c r="C1652" s="102" t="s">
        <v>158</v>
      </c>
      <c r="D1652" s="104">
        <v>1.0900446765554499</v>
      </c>
      <c r="E1652" s="104">
        <v>1.1924865121958601</v>
      </c>
      <c r="F1652" s="104">
        <v>1.11813882148007</v>
      </c>
    </row>
    <row r="1653" spans="1:6" hidden="1" x14ac:dyDescent="0.2">
      <c r="A1653" s="95" t="s">
        <v>173</v>
      </c>
      <c r="B1653" s="95" t="s">
        <v>7</v>
      </c>
      <c r="C1653" s="95" t="s">
        <v>153</v>
      </c>
      <c r="D1653" s="96">
        <v>1419833</v>
      </c>
      <c r="E1653" s="96">
        <v>713739</v>
      </c>
      <c r="F1653" s="96">
        <v>706094</v>
      </c>
    </row>
    <row r="1654" spans="1:6" hidden="1" x14ac:dyDescent="0.2">
      <c r="A1654" s="97" t="s">
        <v>173</v>
      </c>
      <c r="B1654" s="97" t="s">
        <v>7</v>
      </c>
      <c r="C1654" s="97" t="s">
        <v>154</v>
      </c>
      <c r="D1654" s="98">
        <v>18297.5885005167</v>
      </c>
      <c r="E1654" s="98">
        <v>9688.5753788171805</v>
      </c>
      <c r="F1654" s="98">
        <v>9438.6199696256699</v>
      </c>
    </row>
    <row r="1655" spans="1:6" hidden="1" x14ac:dyDescent="0.2">
      <c r="A1655" s="97" t="s">
        <v>173</v>
      </c>
      <c r="B1655" s="97" t="s">
        <v>7</v>
      </c>
      <c r="C1655" s="97" t="s">
        <v>155</v>
      </c>
      <c r="D1655" s="98">
        <v>1389734.11229489</v>
      </c>
      <c r="E1655" s="98">
        <v>697801.63522970595</v>
      </c>
      <c r="F1655" s="98">
        <v>690567.80306159402</v>
      </c>
    </row>
    <row r="1656" spans="1:6" hidden="1" x14ac:dyDescent="0.2">
      <c r="A1656" s="97" t="s">
        <v>173</v>
      </c>
      <c r="B1656" s="97" t="s">
        <v>7</v>
      </c>
      <c r="C1656" s="97" t="s">
        <v>156</v>
      </c>
      <c r="D1656" s="98">
        <v>1449931.8877051</v>
      </c>
      <c r="E1656" s="98">
        <v>729676.364770293</v>
      </c>
      <c r="F1656" s="98">
        <v>721620.19693840505</v>
      </c>
    </row>
    <row r="1657" spans="1:6" hidden="1" x14ac:dyDescent="0.2">
      <c r="A1657" s="97" t="s">
        <v>173</v>
      </c>
      <c r="B1657" s="97" t="s">
        <v>7</v>
      </c>
      <c r="C1657" s="97" t="s">
        <v>157</v>
      </c>
      <c r="D1657" s="99">
        <v>1.2887141305010299</v>
      </c>
      <c r="E1657" s="99">
        <v>1.35743953725622</v>
      </c>
      <c r="F1657" s="99">
        <v>1.3367370307105899</v>
      </c>
    </row>
    <row r="1658" spans="1:6" hidden="1" x14ac:dyDescent="0.2">
      <c r="A1658" s="97" t="s">
        <v>173</v>
      </c>
      <c r="B1658" s="97" t="s">
        <v>7</v>
      </c>
      <c r="C1658" s="97" t="s">
        <v>158</v>
      </c>
      <c r="D1658" s="99">
        <v>1.1263703251650601</v>
      </c>
      <c r="E1658" s="99">
        <v>1.1786829806149199</v>
      </c>
      <c r="F1658" s="99">
        <v>1.14751104864166</v>
      </c>
    </row>
    <row r="1659" spans="1:6" hidden="1" x14ac:dyDescent="0.2">
      <c r="A1659" s="100" t="s">
        <v>173</v>
      </c>
      <c r="B1659" s="100" t="s">
        <v>8</v>
      </c>
      <c r="C1659" s="100" t="s">
        <v>153</v>
      </c>
      <c r="D1659" s="101">
        <v>1457684</v>
      </c>
      <c r="E1659" s="101">
        <v>716552</v>
      </c>
      <c r="F1659" s="101">
        <v>741132</v>
      </c>
    </row>
    <row r="1660" spans="1:6" hidden="1" x14ac:dyDescent="0.2">
      <c r="A1660" s="102" t="s">
        <v>173</v>
      </c>
      <c r="B1660" s="102" t="s">
        <v>8</v>
      </c>
      <c r="C1660" s="102" t="s">
        <v>154</v>
      </c>
      <c r="D1660" s="103">
        <v>18290.371499857902</v>
      </c>
      <c r="E1660" s="103">
        <v>9573.8233831549005</v>
      </c>
      <c r="F1660" s="103">
        <v>9605.5162040012492</v>
      </c>
    </row>
    <row r="1661" spans="1:6" hidden="1" x14ac:dyDescent="0.2">
      <c r="A1661" s="102" t="s">
        <v>173</v>
      </c>
      <c r="B1661" s="102" t="s">
        <v>8</v>
      </c>
      <c r="C1661" s="102" t="s">
        <v>155</v>
      </c>
      <c r="D1661" s="103">
        <v>1427596.98400642</v>
      </c>
      <c r="E1661" s="103">
        <v>700803.39821512799</v>
      </c>
      <c r="F1661" s="103">
        <v>725331.26464267995</v>
      </c>
    </row>
    <row r="1662" spans="1:6" hidden="1" x14ac:dyDescent="0.2">
      <c r="A1662" s="102" t="s">
        <v>173</v>
      </c>
      <c r="B1662" s="102" t="s">
        <v>8</v>
      </c>
      <c r="C1662" s="102" t="s">
        <v>156</v>
      </c>
      <c r="D1662" s="103">
        <v>1487771.01599357</v>
      </c>
      <c r="E1662" s="103">
        <v>732300.60178487096</v>
      </c>
      <c r="F1662" s="103">
        <v>756932.735357319</v>
      </c>
    </row>
    <row r="1663" spans="1:6" hidden="1" x14ac:dyDescent="0.2">
      <c r="A1663" s="102" t="s">
        <v>173</v>
      </c>
      <c r="B1663" s="102" t="s">
        <v>8</v>
      </c>
      <c r="C1663" s="102" t="s">
        <v>157</v>
      </c>
      <c r="D1663" s="104">
        <v>1.25475559173716</v>
      </c>
      <c r="E1663" s="104">
        <v>1.3360961079105</v>
      </c>
      <c r="F1663" s="104">
        <v>1.2960601085908099</v>
      </c>
    </row>
    <row r="1664" spans="1:6" hidden="1" x14ac:dyDescent="0.2">
      <c r="A1664" s="102" t="s">
        <v>173</v>
      </c>
      <c r="B1664" s="102" t="s">
        <v>8</v>
      </c>
      <c r="C1664" s="102" t="s">
        <v>158</v>
      </c>
      <c r="D1664" s="104">
        <v>1.1155456181275201</v>
      </c>
      <c r="E1664" s="104">
        <v>1.1922022799588301</v>
      </c>
      <c r="F1664" s="104">
        <v>1.13399495772599</v>
      </c>
    </row>
    <row r="1665" spans="1:6" hidden="1" x14ac:dyDescent="0.2">
      <c r="A1665" s="95" t="s">
        <v>173</v>
      </c>
      <c r="B1665" s="95" t="s">
        <v>9</v>
      </c>
      <c r="C1665" s="95" t="s">
        <v>153</v>
      </c>
      <c r="D1665" s="96">
        <v>1293002</v>
      </c>
      <c r="E1665" s="96">
        <v>617977</v>
      </c>
      <c r="F1665" s="96">
        <v>675025</v>
      </c>
    </row>
    <row r="1666" spans="1:6" hidden="1" x14ac:dyDescent="0.2">
      <c r="A1666" s="97" t="s">
        <v>173</v>
      </c>
      <c r="B1666" s="97" t="s">
        <v>9</v>
      </c>
      <c r="C1666" s="97" t="s">
        <v>154</v>
      </c>
      <c r="D1666" s="98">
        <v>16925.400472910402</v>
      </c>
      <c r="E1666" s="98">
        <v>8456.03992331068</v>
      </c>
      <c r="F1666" s="98">
        <v>9183.1726179982306</v>
      </c>
    </row>
    <row r="1667" spans="1:6" hidden="1" x14ac:dyDescent="0.2">
      <c r="A1667" s="97" t="s">
        <v>173</v>
      </c>
      <c r="B1667" s="97" t="s">
        <v>9</v>
      </c>
      <c r="C1667" s="97" t="s">
        <v>155</v>
      </c>
      <c r="D1667" s="98">
        <v>1265160.3132015599</v>
      </c>
      <c r="E1667" s="98">
        <v>604067.11258098704</v>
      </c>
      <c r="F1667" s="98">
        <v>659919.00494508201</v>
      </c>
    </row>
    <row r="1668" spans="1:6" hidden="1" x14ac:dyDescent="0.2">
      <c r="A1668" s="97" t="s">
        <v>173</v>
      </c>
      <c r="B1668" s="97" t="s">
        <v>9</v>
      </c>
      <c r="C1668" s="97" t="s">
        <v>156</v>
      </c>
      <c r="D1668" s="98">
        <v>1320843.68679843</v>
      </c>
      <c r="E1668" s="98">
        <v>631886.88741901203</v>
      </c>
      <c r="F1668" s="98">
        <v>690130.99505491694</v>
      </c>
    </row>
    <row r="1669" spans="1:6" hidden="1" x14ac:dyDescent="0.2">
      <c r="A1669" s="97" t="s">
        <v>173</v>
      </c>
      <c r="B1669" s="97" t="s">
        <v>9</v>
      </c>
      <c r="C1669" s="97" t="s">
        <v>157</v>
      </c>
      <c r="D1669" s="99">
        <v>1.3090003320111201</v>
      </c>
      <c r="E1669" s="99">
        <v>1.3683421750826701</v>
      </c>
      <c r="F1669" s="99">
        <v>1.3604196315689301</v>
      </c>
    </row>
    <row r="1670" spans="1:6" hidden="1" x14ac:dyDescent="0.2">
      <c r="A1670" s="97" t="s">
        <v>173</v>
      </c>
      <c r="B1670" s="97" t="s">
        <v>9</v>
      </c>
      <c r="C1670" s="97" t="s">
        <v>158</v>
      </c>
      <c r="D1670" s="99">
        <v>1.2222944495374399</v>
      </c>
      <c r="E1670" s="99">
        <v>1.2588810201785801</v>
      </c>
      <c r="F1670" s="99">
        <v>1.2606063272109</v>
      </c>
    </row>
    <row r="1671" spans="1:6" hidden="1" x14ac:dyDescent="0.2">
      <c r="A1671" s="100" t="s">
        <v>173</v>
      </c>
      <c r="B1671" s="100" t="s">
        <v>10</v>
      </c>
      <c r="C1671" s="100" t="s">
        <v>153</v>
      </c>
      <c r="D1671" s="101">
        <v>1250220</v>
      </c>
      <c r="E1671" s="101">
        <v>588853</v>
      </c>
      <c r="F1671" s="101">
        <v>661367</v>
      </c>
    </row>
    <row r="1672" spans="1:6" hidden="1" x14ac:dyDescent="0.2">
      <c r="A1672" s="102" t="s">
        <v>173</v>
      </c>
      <c r="B1672" s="102" t="s">
        <v>10</v>
      </c>
      <c r="C1672" s="102" t="s">
        <v>154</v>
      </c>
      <c r="D1672" s="103">
        <v>16900.889472145998</v>
      </c>
      <c r="E1672" s="103">
        <v>8229.6730450868708</v>
      </c>
      <c r="F1672" s="103">
        <v>9322.4611197281793</v>
      </c>
    </row>
    <row r="1673" spans="1:6" hidden="1" x14ac:dyDescent="0.2">
      <c r="A1673" s="102" t="s">
        <v>173</v>
      </c>
      <c r="B1673" s="102" t="s">
        <v>10</v>
      </c>
      <c r="C1673" s="102" t="s">
        <v>155</v>
      </c>
      <c r="D1673" s="103">
        <v>1222418.63293328</v>
      </c>
      <c r="E1673" s="103">
        <v>575315.47811142902</v>
      </c>
      <c r="F1673" s="103">
        <v>646031.88027261198</v>
      </c>
    </row>
    <row r="1674" spans="1:6" hidden="1" x14ac:dyDescent="0.2">
      <c r="A1674" s="102" t="s">
        <v>173</v>
      </c>
      <c r="B1674" s="102" t="s">
        <v>10</v>
      </c>
      <c r="C1674" s="102" t="s">
        <v>156</v>
      </c>
      <c r="D1674" s="103">
        <v>1278021.36706671</v>
      </c>
      <c r="E1674" s="103">
        <v>602390.52188857005</v>
      </c>
      <c r="F1674" s="103">
        <v>676702.11972738802</v>
      </c>
    </row>
    <row r="1675" spans="1:6" hidden="1" x14ac:dyDescent="0.2">
      <c r="A1675" s="102" t="s">
        <v>173</v>
      </c>
      <c r="B1675" s="102" t="s">
        <v>10</v>
      </c>
      <c r="C1675" s="102" t="s">
        <v>157</v>
      </c>
      <c r="D1675" s="104">
        <v>1.3518332351222999</v>
      </c>
      <c r="E1675" s="104">
        <v>1.3975768222437299</v>
      </c>
      <c r="F1675" s="104">
        <v>1.40957458109161</v>
      </c>
    </row>
    <row r="1676" spans="1:6" hidden="1" x14ac:dyDescent="0.2">
      <c r="A1676" s="102" t="s">
        <v>173</v>
      </c>
      <c r="B1676" s="102" t="s">
        <v>10</v>
      </c>
      <c r="C1676" s="102" t="s">
        <v>158</v>
      </c>
      <c r="D1676" s="104">
        <v>1.2495253576518599</v>
      </c>
      <c r="E1676" s="104">
        <v>1.26893247981431</v>
      </c>
      <c r="F1676" s="104">
        <v>1.2918567315190601</v>
      </c>
    </row>
    <row r="1677" spans="1:6" hidden="1" x14ac:dyDescent="0.2">
      <c r="A1677" s="95" t="s">
        <v>173</v>
      </c>
      <c r="B1677" s="95" t="s">
        <v>11</v>
      </c>
      <c r="C1677" s="95" t="s">
        <v>153</v>
      </c>
      <c r="D1677" s="96">
        <v>1231764</v>
      </c>
      <c r="E1677" s="96">
        <v>576565</v>
      </c>
      <c r="F1677" s="96">
        <v>655199</v>
      </c>
    </row>
    <row r="1678" spans="1:6" hidden="1" x14ac:dyDescent="0.2">
      <c r="A1678" s="97" t="s">
        <v>173</v>
      </c>
      <c r="B1678" s="97" t="s">
        <v>11</v>
      </c>
      <c r="C1678" s="97" t="s">
        <v>154</v>
      </c>
      <c r="D1678" s="98">
        <v>16906.606391657198</v>
      </c>
      <c r="E1678" s="98">
        <v>8357.7026546483594</v>
      </c>
      <c r="F1678" s="98">
        <v>9162.5052389822195</v>
      </c>
    </row>
    <row r="1679" spans="1:6" hidden="1" x14ac:dyDescent="0.2">
      <c r="A1679" s="97" t="s">
        <v>173</v>
      </c>
      <c r="B1679" s="97" t="s">
        <v>11</v>
      </c>
      <c r="C1679" s="97" t="s">
        <v>155</v>
      </c>
      <c r="D1679" s="98">
        <v>1203953.2288023301</v>
      </c>
      <c r="E1679" s="98">
        <v>562816.87391946104</v>
      </c>
      <c r="F1679" s="98">
        <v>640127.00205460005</v>
      </c>
    </row>
    <row r="1680" spans="1:6" hidden="1" x14ac:dyDescent="0.2">
      <c r="A1680" s="97" t="s">
        <v>173</v>
      </c>
      <c r="B1680" s="97" t="s">
        <v>11</v>
      </c>
      <c r="C1680" s="97" t="s">
        <v>156</v>
      </c>
      <c r="D1680" s="98">
        <v>1259574.7711976599</v>
      </c>
      <c r="E1680" s="98">
        <v>590313.12608053803</v>
      </c>
      <c r="F1680" s="98">
        <v>670270.99794539902</v>
      </c>
    </row>
    <row r="1681" spans="1:6" hidden="1" x14ac:dyDescent="0.2">
      <c r="A1681" s="97" t="s">
        <v>173</v>
      </c>
      <c r="B1681" s="97" t="s">
        <v>11</v>
      </c>
      <c r="C1681" s="97" t="s">
        <v>157</v>
      </c>
      <c r="D1681" s="99">
        <v>1.37255240384174</v>
      </c>
      <c r="E1681" s="99">
        <v>1.4495681587762601</v>
      </c>
      <c r="F1681" s="99">
        <v>1.39843089488571</v>
      </c>
    </row>
    <row r="1682" spans="1:6" hidden="1" x14ac:dyDescent="0.2">
      <c r="A1682" s="97" t="s">
        <v>173</v>
      </c>
      <c r="B1682" s="97" t="s">
        <v>11</v>
      </c>
      <c r="C1682" s="97" t="s">
        <v>158</v>
      </c>
      <c r="D1682" s="99">
        <v>1.2354340167779101</v>
      </c>
      <c r="E1682" s="99">
        <v>1.3249072395689701</v>
      </c>
      <c r="F1682" s="99">
        <v>1.2141298166561501</v>
      </c>
    </row>
    <row r="1683" spans="1:6" hidden="1" x14ac:dyDescent="0.2">
      <c r="A1683" s="100" t="s">
        <v>173</v>
      </c>
      <c r="B1683" s="100" t="s">
        <v>12</v>
      </c>
      <c r="C1683" s="100" t="s">
        <v>153</v>
      </c>
      <c r="D1683" s="101">
        <v>1188083</v>
      </c>
      <c r="E1683" s="101">
        <v>556842</v>
      </c>
      <c r="F1683" s="101">
        <v>631241</v>
      </c>
    </row>
    <row r="1684" spans="1:6" hidden="1" x14ac:dyDescent="0.2">
      <c r="A1684" s="102" t="s">
        <v>173</v>
      </c>
      <c r="B1684" s="102" t="s">
        <v>12</v>
      </c>
      <c r="C1684" s="102" t="s">
        <v>154</v>
      </c>
      <c r="D1684" s="103">
        <v>17613.246296753801</v>
      </c>
      <c r="E1684" s="103">
        <v>8486.2228366639392</v>
      </c>
      <c r="F1684" s="103">
        <v>9629.1100588756708</v>
      </c>
    </row>
    <row r="1685" spans="1:6" hidden="1" x14ac:dyDescent="0.2">
      <c r="A1685" s="102" t="s">
        <v>173</v>
      </c>
      <c r="B1685" s="102" t="s">
        <v>12</v>
      </c>
      <c r="C1685" s="102" t="s">
        <v>155</v>
      </c>
      <c r="D1685" s="103">
        <v>1159109.8310825001</v>
      </c>
      <c r="E1685" s="103">
        <v>542882.46275310905</v>
      </c>
      <c r="F1685" s="103">
        <v>615401.45358359604</v>
      </c>
    </row>
    <row r="1686" spans="1:6" hidden="1" x14ac:dyDescent="0.2">
      <c r="A1686" s="102" t="s">
        <v>173</v>
      </c>
      <c r="B1686" s="102" t="s">
        <v>12</v>
      </c>
      <c r="C1686" s="102" t="s">
        <v>156</v>
      </c>
      <c r="D1686" s="103">
        <v>1217056.1689174899</v>
      </c>
      <c r="E1686" s="103">
        <v>570801.53724689002</v>
      </c>
      <c r="F1686" s="103">
        <v>647080.54641640303</v>
      </c>
    </row>
    <row r="1687" spans="1:6" hidden="1" x14ac:dyDescent="0.2">
      <c r="A1687" s="102" t="s">
        <v>173</v>
      </c>
      <c r="B1687" s="102" t="s">
        <v>12</v>
      </c>
      <c r="C1687" s="102" t="s">
        <v>157</v>
      </c>
      <c r="D1687" s="104">
        <v>1.48249291478405</v>
      </c>
      <c r="E1687" s="104">
        <v>1.5239911566771001</v>
      </c>
      <c r="F1687" s="104">
        <v>1.5254253223215299</v>
      </c>
    </row>
    <row r="1688" spans="1:6" hidden="1" x14ac:dyDescent="0.2">
      <c r="A1688" s="102" t="s">
        <v>173</v>
      </c>
      <c r="B1688" s="102" t="s">
        <v>12</v>
      </c>
      <c r="C1688" s="102" t="s">
        <v>158</v>
      </c>
      <c r="D1688" s="104">
        <v>1.3502901469032</v>
      </c>
      <c r="E1688" s="104">
        <v>1.34143542885901</v>
      </c>
      <c r="F1688" s="104">
        <v>1.3864917992663399</v>
      </c>
    </row>
    <row r="1689" spans="1:6" hidden="1" x14ac:dyDescent="0.2">
      <c r="A1689" s="95" t="s">
        <v>173</v>
      </c>
      <c r="B1689" s="95" t="s">
        <v>13</v>
      </c>
      <c r="C1689" s="95" t="s">
        <v>153</v>
      </c>
      <c r="D1689" s="96">
        <v>980298</v>
      </c>
      <c r="E1689" s="96">
        <v>463556</v>
      </c>
      <c r="F1689" s="96">
        <v>516742</v>
      </c>
    </row>
    <row r="1690" spans="1:6" hidden="1" x14ac:dyDescent="0.2">
      <c r="A1690" s="97" t="s">
        <v>173</v>
      </c>
      <c r="B1690" s="97" t="s">
        <v>13</v>
      </c>
      <c r="C1690" s="97" t="s">
        <v>154</v>
      </c>
      <c r="D1690" s="98">
        <v>13865.924200052101</v>
      </c>
      <c r="E1690" s="98">
        <v>6990.2936661110298</v>
      </c>
      <c r="F1690" s="98">
        <v>7519.7727208185497</v>
      </c>
    </row>
    <row r="1691" spans="1:6" hidden="1" x14ac:dyDescent="0.2">
      <c r="A1691" s="97" t="s">
        <v>173</v>
      </c>
      <c r="B1691" s="97" t="s">
        <v>13</v>
      </c>
      <c r="C1691" s="97" t="s">
        <v>155</v>
      </c>
      <c r="D1691" s="98">
        <v>957489.04375895904</v>
      </c>
      <c r="E1691" s="98">
        <v>452057.21347542299</v>
      </c>
      <c r="F1691" s="98">
        <v>504372.23910580098</v>
      </c>
    </row>
    <row r="1692" spans="1:6" hidden="1" x14ac:dyDescent="0.2">
      <c r="A1692" s="97" t="s">
        <v>173</v>
      </c>
      <c r="B1692" s="97" t="s">
        <v>13</v>
      </c>
      <c r="C1692" s="97" t="s">
        <v>156</v>
      </c>
      <c r="D1692" s="98">
        <v>1003106.95624104</v>
      </c>
      <c r="E1692" s="98">
        <v>475054.78652457602</v>
      </c>
      <c r="F1692" s="98">
        <v>529111.76089419797</v>
      </c>
    </row>
    <row r="1693" spans="1:6" hidden="1" x14ac:dyDescent="0.2">
      <c r="A1693" s="97" t="s">
        <v>173</v>
      </c>
      <c r="B1693" s="97" t="s">
        <v>13</v>
      </c>
      <c r="C1693" s="97" t="s">
        <v>157</v>
      </c>
      <c r="D1693" s="99">
        <v>1.41446011315458</v>
      </c>
      <c r="E1693" s="99">
        <v>1.50797178034822</v>
      </c>
      <c r="F1693" s="99">
        <v>1.4552276998615401</v>
      </c>
    </row>
    <row r="1694" spans="1:6" hidden="1" x14ac:dyDescent="0.2">
      <c r="A1694" s="97" t="s">
        <v>173</v>
      </c>
      <c r="B1694" s="97" t="s">
        <v>13</v>
      </c>
      <c r="C1694" s="97" t="s">
        <v>158</v>
      </c>
      <c r="D1694" s="99">
        <v>1.31575326895635</v>
      </c>
      <c r="E1694" s="99">
        <v>1.3857861649532299</v>
      </c>
      <c r="F1694" s="99">
        <v>1.33576732186596</v>
      </c>
    </row>
    <row r="1695" spans="1:6" hidden="1" x14ac:dyDescent="0.2">
      <c r="A1695" s="100" t="s">
        <v>173</v>
      </c>
      <c r="B1695" s="100" t="s">
        <v>14</v>
      </c>
      <c r="C1695" s="100" t="s">
        <v>153</v>
      </c>
      <c r="D1695" s="101">
        <v>878595</v>
      </c>
      <c r="E1695" s="101">
        <v>415118</v>
      </c>
      <c r="F1695" s="101">
        <v>463477</v>
      </c>
    </row>
    <row r="1696" spans="1:6" hidden="1" x14ac:dyDescent="0.2">
      <c r="A1696" s="102" t="s">
        <v>173</v>
      </c>
      <c r="B1696" s="102" t="s">
        <v>14</v>
      </c>
      <c r="C1696" s="102" t="s">
        <v>154</v>
      </c>
      <c r="D1696" s="103">
        <v>12071.777730687299</v>
      </c>
      <c r="E1696" s="103">
        <v>6012.2654510304801</v>
      </c>
      <c r="F1696" s="103">
        <v>6707.0413219669399</v>
      </c>
    </row>
    <row r="1697" spans="1:6" hidden="1" x14ac:dyDescent="0.2">
      <c r="A1697" s="102" t="s">
        <v>173</v>
      </c>
      <c r="B1697" s="102" t="s">
        <v>14</v>
      </c>
      <c r="C1697" s="102" t="s">
        <v>155</v>
      </c>
      <c r="D1697" s="103">
        <v>858737.35141933104</v>
      </c>
      <c r="E1697" s="103">
        <v>405228.03539298399</v>
      </c>
      <c r="F1697" s="103">
        <v>452444.15359088499</v>
      </c>
    </row>
    <row r="1698" spans="1:6" hidden="1" x14ac:dyDescent="0.2">
      <c r="A1698" s="102" t="s">
        <v>173</v>
      </c>
      <c r="B1698" s="102" t="s">
        <v>14</v>
      </c>
      <c r="C1698" s="102" t="s">
        <v>156</v>
      </c>
      <c r="D1698" s="103">
        <v>898452.64858066803</v>
      </c>
      <c r="E1698" s="103">
        <v>425007.96460701502</v>
      </c>
      <c r="F1698" s="103">
        <v>474509.84640911402</v>
      </c>
    </row>
    <row r="1699" spans="1:6" hidden="1" x14ac:dyDescent="0.2">
      <c r="A1699" s="102" t="s">
        <v>173</v>
      </c>
      <c r="B1699" s="102" t="s">
        <v>14</v>
      </c>
      <c r="C1699" s="102" t="s">
        <v>157</v>
      </c>
      <c r="D1699" s="104">
        <v>1.3739866184860301</v>
      </c>
      <c r="E1699" s="104">
        <v>1.4483268494814601</v>
      </c>
      <c r="F1699" s="104">
        <v>1.44711416574435</v>
      </c>
    </row>
    <row r="1700" spans="1:6" hidden="1" x14ac:dyDescent="0.2">
      <c r="A1700" s="102" t="s">
        <v>173</v>
      </c>
      <c r="B1700" s="102" t="s">
        <v>14</v>
      </c>
      <c r="C1700" s="102" t="s">
        <v>158</v>
      </c>
      <c r="D1700" s="104">
        <v>1.25933158128905</v>
      </c>
      <c r="E1700" s="104">
        <v>1.2960898428702501</v>
      </c>
      <c r="F1700" s="104">
        <v>1.3283825456921401</v>
      </c>
    </row>
    <row r="1701" spans="1:6" hidden="1" x14ac:dyDescent="0.2">
      <c r="A1701" s="95" t="s">
        <v>173</v>
      </c>
      <c r="B1701" s="95" t="s">
        <v>15</v>
      </c>
      <c r="C1701" s="95" t="s">
        <v>153</v>
      </c>
      <c r="D1701" s="96">
        <v>665851</v>
      </c>
      <c r="E1701" s="96">
        <v>311889</v>
      </c>
      <c r="F1701" s="96">
        <v>353962</v>
      </c>
    </row>
    <row r="1702" spans="1:6" hidden="1" x14ac:dyDescent="0.2">
      <c r="A1702" s="97" t="s">
        <v>173</v>
      </c>
      <c r="B1702" s="97" t="s">
        <v>15</v>
      </c>
      <c r="C1702" s="97" t="s">
        <v>154</v>
      </c>
      <c r="D1702" s="98">
        <v>9325.1135601507394</v>
      </c>
      <c r="E1702" s="98">
        <v>4619.3314033263296</v>
      </c>
      <c r="F1702" s="98">
        <v>5275.3131423278701</v>
      </c>
    </row>
    <row r="1703" spans="1:6" hidden="1" x14ac:dyDescent="0.2">
      <c r="A1703" s="97" t="s">
        <v>173</v>
      </c>
      <c r="B1703" s="97" t="s">
        <v>15</v>
      </c>
      <c r="C1703" s="97" t="s">
        <v>155</v>
      </c>
      <c r="D1703" s="98">
        <v>650511.51710167096</v>
      </c>
      <c r="E1703" s="98">
        <v>304290.36277097597</v>
      </c>
      <c r="F1703" s="98">
        <v>345284.29594759399</v>
      </c>
    </row>
    <row r="1704" spans="1:6" hidden="1" x14ac:dyDescent="0.2">
      <c r="A1704" s="97" t="s">
        <v>173</v>
      </c>
      <c r="B1704" s="97" t="s">
        <v>15</v>
      </c>
      <c r="C1704" s="97" t="s">
        <v>156</v>
      </c>
      <c r="D1704" s="98">
        <v>681190.48289832799</v>
      </c>
      <c r="E1704" s="98">
        <v>319487.63722902298</v>
      </c>
      <c r="F1704" s="98">
        <v>362639.70405240502</v>
      </c>
    </row>
    <row r="1705" spans="1:6" hidden="1" x14ac:dyDescent="0.2">
      <c r="A1705" s="97" t="s">
        <v>173</v>
      </c>
      <c r="B1705" s="97" t="s">
        <v>15</v>
      </c>
      <c r="C1705" s="97" t="s">
        <v>157</v>
      </c>
      <c r="D1705" s="99">
        <v>1.4004805219412</v>
      </c>
      <c r="E1705" s="99">
        <v>1.48108186031772</v>
      </c>
      <c r="F1705" s="99">
        <v>1.49036143493591</v>
      </c>
    </row>
    <row r="1706" spans="1:6" hidden="1" x14ac:dyDescent="0.2">
      <c r="A1706" s="97" t="s">
        <v>173</v>
      </c>
      <c r="B1706" s="97" t="s">
        <v>15</v>
      </c>
      <c r="C1706" s="97" t="s">
        <v>158</v>
      </c>
      <c r="D1706" s="99">
        <v>1.3164431963665599</v>
      </c>
      <c r="E1706" s="99">
        <v>1.3467603028641799</v>
      </c>
      <c r="F1706" s="99">
        <v>1.3965444991182201</v>
      </c>
    </row>
    <row r="1707" spans="1:6" hidden="1" x14ac:dyDescent="0.2">
      <c r="A1707" s="100" t="s">
        <v>173</v>
      </c>
      <c r="B1707" s="100" t="s">
        <v>16</v>
      </c>
      <c r="C1707" s="100" t="s">
        <v>153</v>
      </c>
      <c r="D1707" s="101">
        <v>523050</v>
      </c>
      <c r="E1707" s="101">
        <v>242488</v>
      </c>
      <c r="F1707" s="101">
        <v>280562</v>
      </c>
    </row>
    <row r="1708" spans="1:6" hidden="1" x14ac:dyDescent="0.2">
      <c r="A1708" s="102" t="s">
        <v>173</v>
      </c>
      <c r="B1708" s="102" t="s">
        <v>16</v>
      </c>
      <c r="C1708" s="102" t="s">
        <v>154</v>
      </c>
      <c r="D1708" s="103">
        <v>7453.8343462016901</v>
      </c>
      <c r="E1708" s="103">
        <v>3857.5410461391498</v>
      </c>
      <c r="F1708" s="103">
        <v>4239.8545542560196</v>
      </c>
    </row>
    <row r="1709" spans="1:6" hidden="1" x14ac:dyDescent="0.2">
      <c r="A1709" s="102" t="s">
        <v>173</v>
      </c>
      <c r="B1709" s="102" t="s">
        <v>16</v>
      </c>
      <c r="C1709" s="102" t="s">
        <v>155</v>
      </c>
      <c r="D1709" s="103">
        <v>510788.705406319</v>
      </c>
      <c r="E1709" s="103">
        <v>236142.48103927399</v>
      </c>
      <c r="F1709" s="103">
        <v>273587.58880308602</v>
      </c>
    </row>
    <row r="1710" spans="1:6" hidden="1" x14ac:dyDescent="0.2">
      <c r="A1710" s="102" t="s">
        <v>173</v>
      </c>
      <c r="B1710" s="102" t="s">
        <v>16</v>
      </c>
      <c r="C1710" s="102" t="s">
        <v>156</v>
      </c>
      <c r="D1710" s="103">
        <v>535311.29459367995</v>
      </c>
      <c r="E1710" s="103">
        <v>248833.51896072499</v>
      </c>
      <c r="F1710" s="103">
        <v>287536.41119691398</v>
      </c>
    </row>
    <row r="1711" spans="1:6" hidden="1" x14ac:dyDescent="0.2">
      <c r="A1711" s="102" t="s">
        <v>173</v>
      </c>
      <c r="B1711" s="102" t="s">
        <v>16</v>
      </c>
      <c r="C1711" s="102" t="s">
        <v>157</v>
      </c>
      <c r="D1711" s="104">
        <v>1.4250710919035801</v>
      </c>
      <c r="E1711" s="104">
        <v>1.59081729658339</v>
      </c>
      <c r="F1711" s="104">
        <v>1.5112005739394501</v>
      </c>
    </row>
    <row r="1712" spans="1:6" hidden="1" x14ac:dyDescent="0.2">
      <c r="A1712" s="102" t="s">
        <v>173</v>
      </c>
      <c r="B1712" s="102" t="s">
        <v>16</v>
      </c>
      <c r="C1712" s="102" t="s">
        <v>158</v>
      </c>
      <c r="D1712" s="104">
        <v>1.32105061349578</v>
      </c>
      <c r="E1712" s="104">
        <v>1.44503431680044</v>
      </c>
      <c r="F1712" s="104">
        <v>1.38890081672933</v>
      </c>
    </row>
    <row r="1713" spans="1:6" hidden="1" x14ac:dyDescent="0.2">
      <c r="A1713" s="95" t="s">
        <v>173</v>
      </c>
      <c r="B1713" s="95" t="s">
        <v>17</v>
      </c>
      <c r="C1713" s="95" t="s">
        <v>153</v>
      </c>
      <c r="D1713" s="96">
        <v>375301</v>
      </c>
      <c r="E1713" s="96">
        <v>176620</v>
      </c>
      <c r="F1713" s="96">
        <v>198681</v>
      </c>
    </row>
    <row r="1714" spans="1:6" hidden="1" x14ac:dyDescent="0.2">
      <c r="A1714" s="97" t="s">
        <v>173</v>
      </c>
      <c r="B1714" s="97" t="s">
        <v>17</v>
      </c>
      <c r="C1714" s="97" t="s">
        <v>154</v>
      </c>
      <c r="D1714" s="98">
        <v>5709.9794169727502</v>
      </c>
      <c r="E1714" s="98">
        <v>3042.5431506790201</v>
      </c>
      <c r="F1714" s="98">
        <v>3303.4012444468199</v>
      </c>
    </row>
    <row r="1715" spans="1:6" hidden="1" x14ac:dyDescent="0.2">
      <c r="A1715" s="97" t="s">
        <v>173</v>
      </c>
      <c r="B1715" s="97" t="s">
        <v>17</v>
      </c>
      <c r="C1715" s="97" t="s">
        <v>155</v>
      </c>
      <c r="D1715" s="98">
        <v>365908.285257012</v>
      </c>
      <c r="E1715" s="98">
        <v>171615.123831337</v>
      </c>
      <c r="F1715" s="98">
        <v>193247.02146787199</v>
      </c>
    </row>
    <row r="1716" spans="1:6" hidden="1" x14ac:dyDescent="0.2">
      <c r="A1716" s="97" t="s">
        <v>173</v>
      </c>
      <c r="B1716" s="97" t="s">
        <v>17</v>
      </c>
      <c r="C1716" s="97" t="s">
        <v>156</v>
      </c>
      <c r="D1716" s="98">
        <v>384693.71474298701</v>
      </c>
      <c r="E1716" s="98">
        <v>181624.87616866201</v>
      </c>
      <c r="F1716" s="98">
        <v>204114.97853212699</v>
      </c>
    </row>
    <row r="1717" spans="1:6" hidden="1" x14ac:dyDescent="0.2">
      <c r="A1717" s="97" t="s">
        <v>173</v>
      </c>
      <c r="B1717" s="97" t="s">
        <v>17</v>
      </c>
      <c r="C1717" s="97" t="s">
        <v>157</v>
      </c>
      <c r="D1717" s="99">
        <v>1.5214399687111799</v>
      </c>
      <c r="E1717" s="99">
        <v>1.72264927566471</v>
      </c>
      <c r="F1717" s="99">
        <v>1.6626659038593601</v>
      </c>
    </row>
    <row r="1718" spans="1:6" hidden="1" x14ac:dyDescent="0.2">
      <c r="A1718" s="97" t="s">
        <v>173</v>
      </c>
      <c r="B1718" s="97" t="s">
        <v>17</v>
      </c>
      <c r="C1718" s="97" t="s">
        <v>158</v>
      </c>
      <c r="D1718" s="99">
        <v>1.37873280613931</v>
      </c>
      <c r="E1718" s="99">
        <v>1.5626053426825399</v>
      </c>
      <c r="F1718" s="99">
        <v>1.46713248977913</v>
      </c>
    </row>
    <row r="1719" spans="1:6" hidden="1" x14ac:dyDescent="0.2">
      <c r="A1719" s="100" t="s">
        <v>173</v>
      </c>
      <c r="B1719" s="100" t="s">
        <v>18</v>
      </c>
      <c r="C1719" s="100" t="s">
        <v>153</v>
      </c>
      <c r="D1719" s="101">
        <v>261021</v>
      </c>
      <c r="E1719" s="101">
        <v>121015</v>
      </c>
      <c r="F1719" s="101">
        <v>140006</v>
      </c>
    </row>
    <row r="1720" spans="1:6" hidden="1" x14ac:dyDescent="0.2">
      <c r="A1720" s="102" t="s">
        <v>173</v>
      </c>
      <c r="B1720" s="102" t="s">
        <v>18</v>
      </c>
      <c r="C1720" s="102" t="s">
        <v>154</v>
      </c>
      <c r="D1720" s="103">
        <v>4268.66684472625</v>
      </c>
      <c r="E1720" s="103">
        <v>2339.4541422318298</v>
      </c>
      <c r="F1720" s="103">
        <v>2474.3357922072601</v>
      </c>
    </row>
    <row r="1721" spans="1:6" hidden="1" x14ac:dyDescent="0.2">
      <c r="A1721" s="102" t="s">
        <v>173</v>
      </c>
      <c r="B1721" s="102" t="s">
        <v>18</v>
      </c>
      <c r="C1721" s="102" t="s">
        <v>155</v>
      </c>
      <c r="D1721" s="103">
        <v>253999.193601507</v>
      </c>
      <c r="E1721" s="103">
        <v>117166.680451427</v>
      </c>
      <c r="F1721" s="103">
        <v>135935.80489465699</v>
      </c>
    </row>
    <row r="1722" spans="1:6" hidden="1" x14ac:dyDescent="0.2">
      <c r="A1722" s="102" t="s">
        <v>173</v>
      </c>
      <c r="B1722" s="102" t="s">
        <v>18</v>
      </c>
      <c r="C1722" s="102" t="s">
        <v>156</v>
      </c>
      <c r="D1722" s="103">
        <v>268042.806398493</v>
      </c>
      <c r="E1722" s="103">
        <v>124863.31954857201</v>
      </c>
      <c r="F1722" s="103">
        <v>144076.19510534199</v>
      </c>
    </row>
    <row r="1723" spans="1:6" hidden="1" x14ac:dyDescent="0.2">
      <c r="A1723" s="102" t="s">
        <v>173</v>
      </c>
      <c r="B1723" s="102" t="s">
        <v>18</v>
      </c>
      <c r="C1723" s="102" t="s">
        <v>157</v>
      </c>
      <c r="D1723" s="104">
        <v>1.63537295647716</v>
      </c>
      <c r="E1723" s="104">
        <v>1.93319352330854</v>
      </c>
      <c r="F1723" s="104">
        <v>1.76730696699231</v>
      </c>
    </row>
    <row r="1724" spans="1:6" hidden="1" x14ac:dyDescent="0.2">
      <c r="A1724" s="102" t="s">
        <v>173</v>
      </c>
      <c r="B1724" s="102" t="s">
        <v>18</v>
      </c>
      <c r="C1724" s="102" t="s">
        <v>158</v>
      </c>
      <c r="D1724" s="104">
        <v>1.46590638006789</v>
      </c>
      <c r="E1724" s="104">
        <v>1.70753133319298</v>
      </c>
      <c r="F1724" s="104">
        <v>1.51739422711204</v>
      </c>
    </row>
    <row r="1725" spans="1:6" hidden="1" x14ac:dyDescent="0.2">
      <c r="A1725" s="95" t="s">
        <v>173</v>
      </c>
      <c r="B1725" s="95" t="s">
        <v>19</v>
      </c>
      <c r="C1725" s="95" t="s">
        <v>153</v>
      </c>
      <c r="D1725" s="96">
        <v>358053</v>
      </c>
      <c r="E1725" s="96">
        <v>153261</v>
      </c>
      <c r="F1725" s="96">
        <v>204792</v>
      </c>
    </row>
    <row r="1726" spans="1:6" hidden="1" x14ac:dyDescent="0.2">
      <c r="A1726" s="97" t="s">
        <v>173</v>
      </c>
      <c r="B1726" s="97" t="s">
        <v>19</v>
      </c>
      <c r="C1726" s="97" t="s">
        <v>154</v>
      </c>
      <c r="D1726" s="98">
        <v>5479.2237505414596</v>
      </c>
      <c r="E1726" s="98">
        <v>2730.1380069250799</v>
      </c>
      <c r="F1726" s="98">
        <v>3297.8589954240101</v>
      </c>
    </row>
    <row r="1727" spans="1:6" hidden="1" x14ac:dyDescent="0.2">
      <c r="A1727" s="97" t="s">
        <v>173</v>
      </c>
      <c r="B1727" s="97" t="s">
        <v>19</v>
      </c>
      <c r="C1727" s="97" t="s">
        <v>155</v>
      </c>
      <c r="D1727" s="98">
        <v>349039.87018925801</v>
      </c>
      <c r="E1727" s="98">
        <v>148770.019273902</v>
      </c>
      <c r="F1727" s="98">
        <v>199367.13827203299</v>
      </c>
    </row>
    <row r="1728" spans="1:6" hidden="1" x14ac:dyDescent="0.2">
      <c r="A1728" s="97" t="s">
        <v>173</v>
      </c>
      <c r="B1728" s="97" t="s">
        <v>19</v>
      </c>
      <c r="C1728" s="97" t="s">
        <v>156</v>
      </c>
      <c r="D1728" s="98">
        <v>367066.129810741</v>
      </c>
      <c r="E1728" s="98">
        <v>157751.98072609701</v>
      </c>
      <c r="F1728" s="98">
        <v>210216.861727966</v>
      </c>
    </row>
    <row r="1729" spans="1:6" hidden="1" x14ac:dyDescent="0.2">
      <c r="A1729" s="97" t="s">
        <v>173</v>
      </c>
      <c r="B1729" s="97" t="s">
        <v>19</v>
      </c>
      <c r="C1729" s="97" t="s">
        <v>157</v>
      </c>
      <c r="D1729" s="99">
        <v>1.5302828772671799</v>
      </c>
      <c r="E1729" s="99">
        <v>1.7813651267609301</v>
      </c>
      <c r="F1729" s="99">
        <v>1.6103456167350301</v>
      </c>
    </row>
    <row r="1730" spans="1:6" hidden="1" x14ac:dyDescent="0.2">
      <c r="A1730" s="97" t="s">
        <v>173</v>
      </c>
      <c r="B1730" s="97" t="s">
        <v>19</v>
      </c>
      <c r="C1730" s="97" t="s">
        <v>158</v>
      </c>
      <c r="D1730" s="99">
        <v>1.3024253430622501</v>
      </c>
      <c r="E1730" s="99">
        <v>1.48310172317843</v>
      </c>
      <c r="F1730" s="99">
        <v>1.3508113814625899</v>
      </c>
    </row>
    <row r="1731" spans="1:6" hidden="1" x14ac:dyDescent="0.2">
      <c r="A1731" s="100" t="s">
        <v>173</v>
      </c>
      <c r="B1731" s="100" t="s">
        <v>20</v>
      </c>
      <c r="C1731" s="100" t="s">
        <v>153</v>
      </c>
      <c r="D1731" s="101">
        <v>16028</v>
      </c>
      <c r="E1731" s="101">
        <v>7628</v>
      </c>
      <c r="F1731" s="101">
        <v>8400</v>
      </c>
    </row>
    <row r="1732" spans="1:6" hidden="1" x14ac:dyDescent="0.2">
      <c r="A1732" s="102" t="s">
        <v>173</v>
      </c>
      <c r="B1732" s="102" t="s">
        <v>20</v>
      </c>
      <c r="C1732" s="102" t="s">
        <v>154</v>
      </c>
      <c r="D1732" s="103">
        <v>2911.3694808649602</v>
      </c>
      <c r="E1732" s="103">
        <v>1441.0673648689899</v>
      </c>
      <c r="F1732" s="103">
        <v>1517.2140426119199</v>
      </c>
    </row>
    <row r="1733" spans="1:6" hidden="1" x14ac:dyDescent="0.2">
      <c r="A1733" s="102" t="s">
        <v>173</v>
      </c>
      <c r="B1733" s="102" t="s">
        <v>20</v>
      </c>
      <c r="C1733" s="102" t="s">
        <v>155</v>
      </c>
      <c r="D1733" s="103">
        <v>11238.8998915267</v>
      </c>
      <c r="E1733" s="103">
        <v>5257.4950129926601</v>
      </c>
      <c r="F1733" s="103">
        <v>5904.23641389166</v>
      </c>
    </row>
    <row r="1734" spans="1:6" hidden="1" x14ac:dyDescent="0.2">
      <c r="A1734" s="102" t="s">
        <v>173</v>
      </c>
      <c r="B1734" s="102" t="s">
        <v>20</v>
      </c>
      <c r="C1734" s="102" t="s">
        <v>156</v>
      </c>
      <c r="D1734" s="103">
        <v>20817.100108473202</v>
      </c>
      <c r="E1734" s="103">
        <v>9998.5049870073308</v>
      </c>
      <c r="F1734" s="103">
        <v>10895.7635861083</v>
      </c>
    </row>
    <row r="1735" spans="1:6" hidden="1" x14ac:dyDescent="0.2">
      <c r="A1735" s="102" t="s">
        <v>173</v>
      </c>
      <c r="B1735" s="102" t="s">
        <v>20</v>
      </c>
      <c r="C1735" s="102" t="s">
        <v>157</v>
      </c>
      <c r="D1735" s="104">
        <v>18.164271779791299</v>
      </c>
      <c r="E1735" s="104">
        <v>18.891811285644899</v>
      </c>
      <c r="F1735" s="104">
        <v>18.062071935856199</v>
      </c>
    </row>
    <row r="1736" spans="1:6" hidden="1" x14ac:dyDescent="0.2">
      <c r="A1736" s="102" t="s">
        <v>173</v>
      </c>
      <c r="B1736" s="102" t="s">
        <v>20</v>
      </c>
      <c r="C1736" s="102" t="s">
        <v>158</v>
      </c>
      <c r="D1736" s="104">
        <v>1.3008152694372499</v>
      </c>
      <c r="E1736" s="104">
        <v>1.30977433181354</v>
      </c>
      <c r="F1736" s="104">
        <v>1.33000919944982</v>
      </c>
    </row>
    <row r="1737" spans="1:6" hidden="1" x14ac:dyDescent="0.2">
      <c r="A1737" s="95" t="s">
        <v>174</v>
      </c>
      <c r="B1737" s="95" t="s">
        <v>152</v>
      </c>
      <c r="C1737" s="95" t="s">
        <v>153</v>
      </c>
      <c r="D1737" s="96">
        <v>4584471</v>
      </c>
      <c r="E1737" s="96">
        <v>2209747</v>
      </c>
      <c r="F1737" s="96">
        <v>2374724</v>
      </c>
    </row>
    <row r="1738" spans="1:6" hidden="1" x14ac:dyDescent="0.2">
      <c r="A1738" s="97" t="s">
        <v>174</v>
      </c>
      <c r="B1738" s="97" t="s">
        <v>152</v>
      </c>
      <c r="C1738" s="97" t="s">
        <v>154</v>
      </c>
      <c r="D1738" s="98">
        <v>47485.6657758738</v>
      </c>
      <c r="E1738" s="98">
        <v>22760.9013351619</v>
      </c>
      <c r="F1738" s="98">
        <v>25051.847662763899</v>
      </c>
    </row>
    <row r="1739" spans="1:6" hidden="1" x14ac:dyDescent="0.2">
      <c r="A1739" s="97" t="s">
        <v>174</v>
      </c>
      <c r="B1739" s="97" t="s">
        <v>152</v>
      </c>
      <c r="C1739" s="97" t="s">
        <v>155</v>
      </c>
      <c r="D1739" s="98">
        <v>4506358.6491302503</v>
      </c>
      <c r="E1739" s="98">
        <v>2172306.0695180399</v>
      </c>
      <c r="F1739" s="98">
        <v>2333514.5385215501</v>
      </c>
    </row>
    <row r="1740" spans="1:6" hidden="1" x14ac:dyDescent="0.2">
      <c r="A1740" s="97" t="s">
        <v>174</v>
      </c>
      <c r="B1740" s="97" t="s">
        <v>152</v>
      </c>
      <c r="C1740" s="97" t="s">
        <v>156</v>
      </c>
      <c r="D1740" s="98">
        <v>4662583.3508697404</v>
      </c>
      <c r="E1740" s="98">
        <v>2247187.9304819498</v>
      </c>
      <c r="F1740" s="98">
        <v>2415933.4614784401</v>
      </c>
    </row>
    <row r="1741" spans="1:6" hidden="1" x14ac:dyDescent="0.2">
      <c r="A1741" s="97" t="s">
        <v>174</v>
      </c>
      <c r="B1741" s="97" t="s">
        <v>152</v>
      </c>
      <c r="C1741" s="97" t="s">
        <v>157</v>
      </c>
      <c r="D1741" s="99">
        <v>1.0357937868049301</v>
      </c>
      <c r="E1741" s="99">
        <v>1.0300229544451001</v>
      </c>
      <c r="F1741" s="99">
        <v>1.05493723324327</v>
      </c>
    </row>
    <row r="1742" spans="1:6" hidden="1" x14ac:dyDescent="0.2">
      <c r="A1742" s="97" t="s">
        <v>174</v>
      </c>
      <c r="B1742" s="97" t="s">
        <v>152</v>
      </c>
      <c r="C1742" s="97" t="s">
        <v>158</v>
      </c>
      <c r="D1742" s="99">
        <v>3.0984462410931402</v>
      </c>
      <c r="E1742" s="99">
        <v>1.5199438709214701</v>
      </c>
      <c r="F1742" s="99">
        <v>1.5856842486648799</v>
      </c>
    </row>
    <row r="1743" spans="1:6" hidden="1" x14ac:dyDescent="0.2">
      <c r="A1743" s="100" t="s">
        <v>174</v>
      </c>
      <c r="B1743" s="100" t="s">
        <v>4</v>
      </c>
      <c r="C1743" s="100" t="s">
        <v>153</v>
      </c>
      <c r="D1743" s="101">
        <v>445646</v>
      </c>
      <c r="E1743" s="101">
        <v>227088</v>
      </c>
      <c r="F1743" s="101">
        <v>218558</v>
      </c>
    </row>
    <row r="1744" spans="1:6" hidden="1" x14ac:dyDescent="0.2">
      <c r="A1744" s="102" t="s">
        <v>174</v>
      </c>
      <c r="B1744" s="102" t="s">
        <v>4</v>
      </c>
      <c r="C1744" s="102" t="s">
        <v>154</v>
      </c>
      <c r="D1744" s="103">
        <v>5221.0979465958699</v>
      </c>
      <c r="E1744" s="103">
        <v>2803.9399573678002</v>
      </c>
      <c r="F1744" s="103">
        <v>2831.7251101357601</v>
      </c>
    </row>
    <row r="1745" spans="1:6" hidden="1" x14ac:dyDescent="0.2">
      <c r="A1745" s="102" t="s">
        <v>174</v>
      </c>
      <c r="B1745" s="102" t="s">
        <v>4</v>
      </c>
      <c r="C1745" s="102" t="s">
        <v>155</v>
      </c>
      <c r="D1745" s="103">
        <v>437057.46642747399</v>
      </c>
      <c r="E1745" s="103">
        <v>222475.61143623001</v>
      </c>
      <c r="F1745" s="103">
        <v>213899.905778185</v>
      </c>
    </row>
    <row r="1746" spans="1:6" hidden="1" x14ac:dyDescent="0.2">
      <c r="A1746" s="102" t="s">
        <v>174</v>
      </c>
      <c r="B1746" s="102" t="s">
        <v>4</v>
      </c>
      <c r="C1746" s="102" t="s">
        <v>156</v>
      </c>
      <c r="D1746" s="103">
        <v>454234.53357252502</v>
      </c>
      <c r="E1746" s="103">
        <v>231700.388563769</v>
      </c>
      <c r="F1746" s="103">
        <v>223216.09422181401</v>
      </c>
    </row>
    <row r="1747" spans="1:6" hidden="1" x14ac:dyDescent="0.2">
      <c r="A1747" s="102" t="s">
        <v>174</v>
      </c>
      <c r="B1747" s="102" t="s">
        <v>4</v>
      </c>
      <c r="C1747" s="102" t="s">
        <v>157</v>
      </c>
      <c r="D1747" s="104">
        <v>1.1715796723398999</v>
      </c>
      <c r="E1747" s="104">
        <v>1.23473717561817</v>
      </c>
      <c r="F1747" s="104">
        <v>1.29564010932373</v>
      </c>
    </row>
    <row r="1748" spans="1:6" hidden="1" x14ac:dyDescent="0.2">
      <c r="A1748" s="102" t="s">
        <v>174</v>
      </c>
      <c r="B1748" s="102" t="s">
        <v>4</v>
      </c>
      <c r="C1748" s="102" t="s">
        <v>158</v>
      </c>
      <c r="D1748" s="104">
        <v>1.1617642656476199</v>
      </c>
      <c r="E1748" s="104">
        <v>1.18971108110505</v>
      </c>
      <c r="F1748" s="104">
        <v>1.26488825130303</v>
      </c>
    </row>
    <row r="1749" spans="1:6" hidden="1" x14ac:dyDescent="0.2">
      <c r="A1749" s="95" t="s">
        <v>174</v>
      </c>
      <c r="B1749" s="95" t="s">
        <v>5</v>
      </c>
      <c r="C1749" s="95" t="s">
        <v>153</v>
      </c>
      <c r="D1749" s="96">
        <v>439427</v>
      </c>
      <c r="E1749" s="96">
        <v>221051</v>
      </c>
      <c r="F1749" s="96">
        <v>218376</v>
      </c>
    </row>
    <row r="1750" spans="1:6" hidden="1" x14ac:dyDescent="0.2">
      <c r="A1750" s="97" t="s">
        <v>174</v>
      </c>
      <c r="B1750" s="97" t="s">
        <v>5</v>
      </c>
      <c r="C1750" s="97" t="s">
        <v>154</v>
      </c>
      <c r="D1750" s="98">
        <v>5172.9472963061498</v>
      </c>
      <c r="E1750" s="98">
        <v>2732.5133564471598</v>
      </c>
      <c r="F1750" s="98">
        <v>2823.58030805001</v>
      </c>
    </row>
    <row r="1751" spans="1:6" hidden="1" x14ac:dyDescent="0.2">
      <c r="A1751" s="97" t="s">
        <v>174</v>
      </c>
      <c r="B1751" s="97" t="s">
        <v>5</v>
      </c>
      <c r="C1751" s="97" t="s">
        <v>155</v>
      </c>
      <c r="D1751" s="98">
        <v>430917.67265589198</v>
      </c>
      <c r="E1751" s="98">
        <v>216556.10583419999</v>
      </c>
      <c r="F1751" s="98">
        <v>213731.30370844301</v>
      </c>
    </row>
    <row r="1752" spans="1:6" hidden="1" x14ac:dyDescent="0.2">
      <c r="A1752" s="97" t="s">
        <v>174</v>
      </c>
      <c r="B1752" s="97" t="s">
        <v>5</v>
      </c>
      <c r="C1752" s="97" t="s">
        <v>156</v>
      </c>
      <c r="D1752" s="98">
        <v>447936.32734410698</v>
      </c>
      <c r="E1752" s="98">
        <v>225545.89416579899</v>
      </c>
      <c r="F1752" s="98">
        <v>223020.696291556</v>
      </c>
    </row>
    <row r="1753" spans="1:6" hidden="1" x14ac:dyDescent="0.2">
      <c r="A1753" s="97" t="s">
        <v>174</v>
      </c>
      <c r="B1753" s="97" t="s">
        <v>5</v>
      </c>
      <c r="C1753" s="97" t="s">
        <v>157</v>
      </c>
      <c r="D1753" s="99">
        <v>1.1772028792737199</v>
      </c>
      <c r="E1753" s="99">
        <v>1.23614611851888</v>
      </c>
      <c r="F1753" s="99">
        <v>1.2929902132331399</v>
      </c>
    </row>
    <row r="1754" spans="1:6" hidden="1" x14ac:dyDescent="0.2">
      <c r="A1754" s="97" t="s">
        <v>174</v>
      </c>
      <c r="B1754" s="97" t="s">
        <v>5</v>
      </c>
      <c r="C1754" s="97" t="s">
        <v>158</v>
      </c>
      <c r="D1754" s="99">
        <v>1.1880622007716699</v>
      </c>
      <c r="E1754" s="99">
        <v>1.1897396988123199</v>
      </c>
      <c r="F1754" s="99">
        <v>1.30712640975382</v>
      </c>
    </row>
    <row r="1755" spans="1:6" hidden="1" x14ac:dyDescent="0.2">
      <c r="A1755" s="100" t="s">
        <v>174</v>
      </c>
      <c r="B1755" s="100" t="s">
        <v>6</v>
      </c>
      <c r="C1755" s="100" t="s">
        <v>153</v>
      </c>
      <c r="D1755" s="101">
        <v>441824</v>
      </c>
      <c r="E1755" s="101">
        <v>222669</v>
      </c>
      <c r="F1755" s="101">
        <v>219155</v>
      </c>
    </row>
    <row r="1756" spans="1:6" hidden="1" x14ac:dyDescent="0.2">
      <c r="A1756" s="102" t="s">
        <v>174</v>
      </c>
      <c r="B1756" s="102" t="s">
        <v>6</v>
      </c>
      <c r="C1756" s="102" t="s">
        <v>154</v>
      </c>
      <c r="D1756" s="103">
        <v>5390.6469196954604</v>
      </c>
      <c r="E1756" s="103">
        <v>2867.1684505600201</v>
      </c>
      <c r="F1756" s="103">
        <v>2993.7762306644399</v>
      </c>
    </row>
    <row r="1757" spans="1:6" hidden="1" x14ac:dyDescent="0.2">
      <c r="A1757" s="102" t="s">
        <v>174</v>
      </c>
      <c r="B1757" s="102" t="s">
        <v>6</v>
      </c>
      <c r="C1757" s="102" t="s">
        <v>155</v>
      </c>
      <c r="D1757" s="103">
        <v>432956.56397006998</v>
      </c>
      <c r="E1757" s="103">
        <v>217952.602654538</v>
      </c>
      <c r="F1757" s="103">
        <v>214230.33704046701</v>
      </c>
    </row>
    <row r="1758" spans="1:6" hidden="1" x14ac:dyDescent="0.2">
      <c r="A1758" s="102" t="s">
        <v>174</v>
      </c>
      <c r="B1758" s="102" t="s">
        <v>6</v>
      </c>
      <c r="C1758" s="102" t="s">
        <v>156</v>
      </c>
      <c r="D1758" s="103">
        <v>450691.43602992903</v>
      </c>
      <c r="E1758" s="103">
        <v>227385.39734546101</v>
      </c>
      <c r="F1758" s="103">
        <v>224079.662959532</v>
      </c>
    </row>
    <row r="1759" spans="1:6" hidden="1" x14ac:dyDescent="0.2">
      <c r="A1759" s="102" t="s">
        <v>174</v>
      </c>
      <c r="B1759" s="102" t="s">
        <v>6</v>
      </c>
      <c r="C1759" s="102" t="s">
        <v>157</v>
      </c>
      <c r="D1759" s="104">
        <v>1.2200892028716099</v>
      </c>
      <c r="E1759" s="104">
        <v>1.28763700854632</v>
      </c>
      <c r="F1759" s="104">
        <v>1.3660542678307299</v>
      </c>
    </row>
    <row r="1760" spans="1:6" hidden="1" x14ac:dyDescent="0.2">
      <c r="A1760" s="102" t="s">
        <v>174</v>
      </c>
      <c r="B1760" s="102" t="s">
        <v>6</v>
      </c>
      <c r="C1760" s="102" t="s">
        <v>158</v>
      </c>
      <c r="D1760" s="104">
        <v>1.2938277266637901</v>
      </c>
      <c r="E1760" s="104">
        <v>1.3255618686980699</v>
      </c>
      <c r="F1760" s="104">
        <v>1.45069126731122</v>
      </c>
    </row>
    <row r="1761" spans="1:6" hidden="1" x14ac:dyDescent="0.2">
      <c r="A1761" s="95" t="s">
        <v>174</v>
      </c>
      <c r="B1761" s="95" t="s">
        <v>7</v>
      </c>
      <c r="C1761" s="95" t="s">
        <v>153</v>
      </c>
      <c r="D1761" s="96">
        <v>423925</v>
      </c>
      <c r="E1761" s="96">
        <v>208826</v>
      </c>
      <c r="F1761" s="96">
        <v>215099</v>
      </c>
    </row>
    <row r="1762" spans="1:6" hidden="1" x14ac:dyDescent="0.2">
      <c r="A1762" s="97" t="s">
        <v>174</v>
      </c>
      <c r="B1762" s="97" t="s">
        <v>7</v>
      </c>
      <c r="C1762" s="97" t="s">
        <v>154</v>
      </c>
      <c r="D1762" s="98">
        <v>4801.5776529367404</v>
      </c>
      <c r="E1762" s="98">
        <v>2574.4899918050701</v>
      </c>
      <c r="F1762" s="98">
        <v>2612.7441210013399</v>
      </c>
    </row>
    <row r="1763" spans="1:6" hidden="1" x14ac:dyDescent="0.2">
      <c r="A1763" s="97" t="s">
        <v>174</v>
      </c>
      <c r="B1763" s="97" t="s">
        <v>7</v>
      </c>
      <c r="C1763" s="97" t="s">
        <v>155</v>
      </c>
      <c r="D1763" s="98">
        <v>416026.56344601302</v>
      </c>
      <c r="E1763" s="98">
        <v>204591.04904659599</v>
      </c>
      <c r="F1763" s="98">
        <v>210801.12226831101</v>
      </c>
    </row>
    <row r="1764" spans="1:6" hidden="1" x14ac:dyDescent="0.2">
      <c r="A1764" s="97" t="s">
        <v>174</v>
      </c>
      <c r="B1764" s="97" t="s">
        <v>7</v>
      </c>
      <c r="C1764" s="97" t="s">
        <v>156</v>
      </c>
      <c r="D1764" s="98">
        <v>431823.43655398599</v>
      </c>
      <c r="E1764" s="98">
        <v>213060.95095340299</v>
      </c>
      <c r="F1764" s="98">
        <v>219396.877731688</v>
      </c>
    </row>
    <row r="1765" spans="1:6" hidden="1" x14ac:dyDescent="0.2">
      <c r="A1765" s="97" t="s">
        <v>174</v>
      </c>
      <c r="B1765" s="97" t="s">
        <v>7</v>
      </c>
      <c r="C1765" s="97" t="s">
        <v>157</v>
      </c>
      <c r="D1765" s="99">
        <v>1.1326479101106799</v>
      </c>
      <c r="E1765" s="99">
        <v>1.2328397765628101</v>
      </c>
      <c r="F1765" s="99">
        <v>1.21467051032378</v>
      </c>
    </row>
    <row r="1766" spans="1:6" hidden="1" x14ac:dyDescent="0.2">
      <c r="A1766" s="97" t="s">
        <v>174</v>
      </c>
      <c r="B1766" s="97" t="s">
        <v>7</v>
      </c>
      <c r="C1766" s="97" t="s">
        <v>158</v>
      </c>
      <c r="D1766" s="99">
        <v>1.12303635457158</v>
      </c>
      <c r="E1766" s="99">
        <v>1.1939626065561899</v>
      </c>
      <c r="F1766" s="99">
        <v>1.1861290375170701</v>
      </c>
    </row>
    <row r="1767" spans="1:6" hidden="1" x14ac:dyDescent="0.2">
      <c r="A1767" s="100" t="s">
        <v>174</v>
      </c>
      <c r="B1767" s="100" t="s">
        <v>8</v>
      </c>
      <c r="C1767" s="100" t="s">
        <v>153</v>
      </c>
      <c r="D1767" s="101">
        <v>415169</v>
      </c>
      <c r="E1767" s="101">
        <v>200237</v>
      </c>
      <c r="F1767" s="101">
        <v>214932</v>
      </c>
    </row>
    <row r="1768" spans="1:6" hidden="1" x14ac:dyDescent="0.2">
      <c r="A1768" s="102" t="s">
        <v>174</v>
      </c>
      <c r="B1768" s="102" t="s">
        <v>8</v>
      </c>
      <c r="C1768" s="102" t="s">
        <v>154</v>
      </c>
      <c r="D1768" s="103">
        <v>5142.9430982609301</v>
      </c>
      <c r="E1768" s="103">
        <v>2630.2765148102299</v>
      </c>
      <c r="F1768" s="103">
        <v>2927.5844053200799</v>
      </c>
    </row>
    <row r="1769" spans="1:6" hidden="1" x14ac:dyDescent="0.2">
      <c r="A1769" s="102" t="s">
        <v>174</v>
      </c>
      <c r="B1769" s="102" t="s">
        <v>8</v>
      </c>
      <c r="C1769" s="102" t="s">
        <v>155</v>
      </c>
      <c r="D1769" s="103">
        <v>406709.02857008198</v>
      </c>
      <c r="E1769" s="103">
        <v>195910.28205991501</v>
      </c>
      <c r="F1769" s="103">
        <v>210116.22040561601</v>
      </c>
    </row>
    <row r="1770" spans="1:6" hidden="1" x14ac:dyDescent="0.2">
      <c r="A1770" s="102" t="s">
        <v>174</v>
      </c>
      <c r="B1770" s="102" t="s">
        <v>8</v>
      </c>
      <c r="C1770" s="102" t="s">
        <v>156</v>
      </c>
      <c r="D1770" s="103">
        <v>423628.97142991697</v>
      </c>
      <c r="E1770" s="103">
        <v>204563.717940084</v>
      </c>
      <c r="F1770" s="103">
        <v>219747.779594383</v>
      </c>
    </row>
    <row r="1771" spans="1:6" hidden="1" x14ac:dyDescent="0.2">
      <c r="A1771" s="102" t="s">
        <v>174</v>
      </c>
      <c r="B1771" s="102" t="s">
        <v>8</v>
      </c>
      <c r="C1771" s="102" t="s">
        <v>157</v>
      </c>
      <c r="D1771" s="104">
        <v>1.23875893871193</v>
      </c>
      <c r="E1771" s="104">
        <v>1.3135816631343</v>
      </c>
      <c r="F1771" s="104">
        <v>1.3620979683435099</v>
      </c>
    </row>
    <row r="1772" spans="1:6" hidden="1" x14ac:dyDescent="0.2">
      <c r="A1772" s="102" t="s">
        <v>174</v>
      </c>
      <c r="B1772" s="102" t="s">
        <v>8</v>
      </c>
      <c r="C1772" s="102" t="s">
        <v>158</v>
      </c>
      <c r="D1772" s="104">
        <v>1.3189001707867301</v>
      </c>
      <c r="E1772" s="104">
        <v>1.3455165300042899</v>
      </c>
      <c r="F1772" s="104">
        <v>1.4652836415919701</v>
      </c>
    </row>
    <row r="1773" spans="1:6" hidden="1" x14ac:dyDescent="0.2">
      <c r="A1773" s="95" t="s">
        <v>174</v>
      </c>
      <c r="B1773" s="95" t="s">
        <v>9</v>
      </c>
      <c r="C1773" s="95" t="s">
        <v>153</v>
      </c>
      <c r="D1773" s="96">
        <v>353457</v>
      </c>
      <c r="E1773" s="96">
        <v>164498</v>
      </c>
      <c r="F1773" s="96">
        <v>188959</v>
      </c>
    </row>
    <row r="1774" spans="1:6" hidden="1" x14ac:dyDescent="0.2">
      <c r="A1774" s="97" t="s">
        <v>174</v>
      </c>
      <c r="B1774" s="97" t="s">
        <v>9</v>
      </c>
      <c r="C1774" s="97" t="s">
        <v>154</v>
      </c>
      <c r="D1774" s="98">
        <v>4349.5445991202496</v>
      </c>
      <c r="E1774" s="98">
        <v>2224.7317678070499</v>
      </c>
      <c r="F1774" s="98">
        <v>2469.4950941483198</v>
      </c>
    </row>
    <row r="1775" spans="1:6" hidden="1" x14ac:dyDescent="0.2">
      <c r="A1775" s="97" t="s">
        <v>174</v>
      </c>
      <c r="B1775" s="97" t="s">
        <v>9</v>
      </c>
      <c r="C1775" s="97" t="s">
        <v>155</v>
      </c>
      <c r="D1775" s="98">
        <v>346302.14288051199</v>
      </c>
      <c r="E1775" s="98">
        <v>160838.38976607699</v>
      </c>
      <c r="F1775" s="98">
        <v>184896.76218331399</v>
      </c>
    </row>
    <row r="1776" spans="1:6" hidden="1" x14ac:dyDescent="0.2">
      <c r="A1776" s="97" t="s">
        <v>174</v>
      </c>
      <c r="B1776" s="97" t="s">
        <v>9</v>
      </c>
      <c r="C1776" s="97" t="s">
        <v>156</v>
      </c>
      <c r="D1776" s="98">
        <v>360611.85711948702</v>
      </c>
      <c r="E1776" s="98">
        <v>168157.61023392199</v>
      </c>
      <c r="F1776" s="98">
        <v>193021.237816685</v>
      </c>
    </row>
    <row r="1777" spans="1:6" hidden="1" x14ac:dyDescent="0.2">
      <c r="A1777" s="97" t="s">
        <v>174</v>
      </c>
      <c r="B1777" s="97" t="s">
        <v>9</v>
      </c>
      <c r="C1777" s="97" t="s">
        <v>157</v>
      </c>
      <c r="D1777" s="99">
        <v>1.23057248805943</v>
      </c>
      <c r="E1777" s="99">
        <v>1.3524369705449599</v>
      </c>
      <c r="F1777" s="99">
        <v>1.3068946671755799</v>
      </c>
    </row>
    <row r="1778" spans="1:6" hidden="1" x14ac:dyDescent="0.2">
      <c r="A1778" s="97" t="s">
        <v>174</v>
      </c>
      <c r="B1778" s="97" t="s">
        <v>9</v>
      </c>
      <c r="C1778" s="97" t="s">
        <v>158</v>
      </c>
      <c r="D1778" s="99">
        <v>1.3103359573709099</v>
      </c>
      <c r="E1778" s="99">
        <v>1.4151972401683901</v>
      </c>
      <c r="F1778" s="99">
        <v>1.3720333242345699</v>
      </c>
    </row>
    <row r="1779" spans="1:6" hidden="1" x14ac:dyDescent="0.2">
      <c r="A1779" s="100" t="s">
        <v>174</v>
      </c>
      <c r="B1779" s="100" t="s">
        <v>10</v>
      </c>
      <c r="C1779" s="100" t="s">
        <v>153</v>
      </c>
      <c r="D1779" s="101">
        <v>321324</v>
      </c>
      <c r="E1779" s="101">
        <v>150676</v>
      </c>
      <c r="F1779" s="101">
        <v>170648</v>
      </c>
    </row>
    <row r="1780" spans="1:6" hidden="1" x14ac:dyDescent="0.2">
      <c r="A1780" s="102" t="s">
        <v>174</v>
      </c>
      <c r="B1780" s="102" t="s">
        <v>10</v>
      </c>
      <c r="C1780" s="102" t="s">
        <v>154</v>
      </c>
      <c r="D1780" s="103">
        <v>4192.7194152673001</v>
      </c>
      <c r="E1780" s="103">
        <v>1993.2440558726</v>
      </c>
      <c r="F1780" s="103">
        <v>2517.12198438922</v>
      </c>
    </row>
    <row r="1781" spans="1:6" hidden="1" x14ac:dyDescent="0.2">
      <c r="A1781" s="102" t="s">
        <v>174</v>
      </c>
      <c r="B1781" s="102" t="s">
        <v>10</v>
      </c>
      <c r="C1781" s="102" t="s">
        <v>155</v>
      </c>
      <c r="D1781" s="103">
        <v>314427.11512510799</v>
      </c>
      <c r="E1781" s="103">
        <v>147397.17940188001</v>
      </c>
      <c r="F1781" s="103">
        <v>166507.41752286701</v>
      </c>
    </row>
    <row r="1782" spans="1:6" hidden="1" x14ac:dyDescent="0.2">
      <c r="A1782" s="102" t="s">
        <v>174</v>
      </c>
      <c r="B1782" s="102" t="s">
        <v>10</v>
      </c>
      <c r="C1782" s="102" t="s">
        <v>156</v>
      </c>
      <c r="D1782" s="103">
        <v>328220.88487489102</v>
      </c>
      <c r="E1782" s="103">
        <v>153954.820598119</v>
      </c>
      <c r="F1782" s="103">
        <v>174788.582477132</v>
      </c>
    </row>
    <row r="1783" spans="1:6" hidden="1" x14ac:dyDescent="0.2">
      <c r="A1783" s="102" t="s">
        <v>174</v>
      </c>
      <c r="B1783" s="102" t="s">
        <v>10</v>
      </c>
      <c r="C1783" s="102" t="s">
        <v>157</v>
      </c>
      <c r="D1783" s="104">
        <v>1.3048260992852301</v>
      </c>
      <c r="E1783" s="104">
        <v>1.3228676470523499</v>
      </c>
      <c r="F1783" s="104">
        <v>1.4750374949540701</v>
      </c>
    </row>
    <row r="1784" spans="1:6" hidden="1" x14ac:dyDescent="0.2">
      <c r="A1784" s="102" t="s">
        <v>174</v>
      </c>
      <c r="B1784" s="102" t="s">
        <v>10</v>
      </c>
      <c r="C1784" s="102" t="s">
        <v>158</v>
      </c>
      <c r="D1784" s="104">
        <v>1.4403488130339801</v>
      </c>
      <c r="E1784" s="104">
        <v>1.3543445957057101</v>
      </c>
      <c r="F1784" s="104">
        <v>1.6670002283448999</v>
      </c>
    </row>
    <row r="1785" spans="1:6" hidden="1" x14ac:dyDescent="0.2">
      <c r="A1785" s="95" t="s">
        <v>174</v>
      </c>
      <c r="B1785" s="95" t="s">
        <v>11</v>
      </c>
      <c r="C1785" s="95" t="s">
        <v>153</v>
      </c>
      <c r="D1785" s="96">
        <v>306042</v>
      </c>
      <c r="E1785" s="96">
        <v>144043</v>
      </c>
      <c r="F1785" s="96">
        <v>161999</v>
      </c>
    </row>
    <row r="1786" spans="1:6" hidden="1" x14ac:dyDescent="0.2">
      <c r="A1786" s="97" t="s">
        <v>174</v>
      </c>
      <c r="B1786" s="97" t="s">
        <v>11</v>
      </c>
      <c r="C1786" s="97" t="s">
        <v>154</v>
      </c>
      <c r="D1786" s="98">
        <v>3994.0754373017298</v>
      </c>
      <c r="E1786" s="98">
        <v>1975.59262812423</v>
      </c>
      <c r="F1786" s="98">
        <v>2288.8916447738102</v>
      </c>
    </row>
    <row r="1787" spans="1:6" hidden="1" x14ac:dyDescent="0.2">
      <c r="A1787" s="97" t="s">
        <v>174</v>
      </c>
      <c r="B1787" s="97" t="s">
        <v>11</v>
      </c>
      <c r="C1787" s="97" t="s">
        <v>155</v>
      </c>
      <c r="D1787" s="98">
        <v>299471.87790397002</v>
      </c>
      <c r="E1787" s="98">
        <v>140793.215417172</v>
      </c>
      <c r="F1787" s="98">
        <v>158233.84888885601</v>
      </c>
    </row>
    <row r="1788" spans="1:6" hidden="1" x14ac:dyDescent="0.2">
      <c r="A1788" s="97" t="s">
        <v>174</v>
      </c>
      <c r="B1788" s="97" t="s">
        <v>11</v>
      </c>
      <c r="C1788" s="97" t="s">
        <v>156</v>
      </c>
      <c r="D1788" s="98">
        <v>312612.12209602899</v>
      </c>
      <c r="E1788" s="98">
        <v>147292.78458282701</v>
      </c>
      <c r="F1788" s="98">
        <v>165764.151111143</v>
      </c>
    </row>
    <row r="1789" spans="1:6" hidden="1" x14ac:dyDescent="0.2">
      <c r="A1789" s="97" t="s">
        <v>174</v>
      </c>
      <c r="B1789" s="97" t="s">
        <v>11</v>
      </c>
      <c r="C1789" s="97" t="s">
        <v>157</v>
      </c>
      <c r="D1789" s="99">
        <v>1.3050742830401401</v>
      </c>
      <c r="E1789" s="99">
        <v>1.3715297710574099</v>
      </c>
      <c r="F1789" s="99">
        <v>1.4129047986554299</v>
      </c>
    </row>
    <row r="1790" spans="1:6" hidden="1" x14ac:dyDescent="0.2">
      <c r="A1790" s="97" t="s">
        <v>174</v>
      </c>
      <c r="B1790" s="97" t="s">
        <v>11</v>
      </c>
      <c r="C1790" s="97" t="s">
        <v>158</v>
      </c>
      <c r="D1790" s="99">
        <v>1.42511691608985</v>
      </c>
      <c r="E1790" s="99">
        <v>1.43051756923838</v>
      </c>
      <c r="F1790" s="99">
        <v>1.5126121975639899</v>
      </c>
    </row>
    <row r="1791" spans="1:6" hidden="1" x14ac:dyDescent="0.2">
      <c r="A1791" s="100" t="s">
        <v>174</v>
      </c>
      <c r="B1791" s="100" t="s">
        <v>12</v>
      </c>
      <c r="C1791" s="100" t="s">
        <v>153</v>
      </c>
      <c r="D1791" s="101">
        <v>287097</v>
      </c>
      <c r="E1791" s="101">
        <v>135905</v>
      </c>
      <c r="F1791" s="101">
        <v>151192</v>
      </c>
    </row>
    <row r="1792" spans="1:6" hidden="1" x14ac:dyDescent="0.2">
      <c r="A1792" s="102" t="s">
        <v>174</v>
      </c>
      <c r="B1792" s="102" t="s">
        <v>12</v>
      </c>
      <c r="C1792" s="102" t="s">
        <v>154</v>
      </c>
      <c r="D1792" s="103">
        <v>3827.9774958569001</v>
      </c>
      <c r="E1792" s="103">
        <v>1993.5116554016899</v>
      </c>
      <c r="F1792" s="103">
        <v>2076.12103605117</v>
      </c>
    </row>
    <row r="1793" spans="1:6" hidden="1" x14ac:dyDescent="0.2">
      <c r="A1793" s="102" t="s">
        <v>174</v>
      </c>
      <c r="B1793" s="102" t="s">
        <v>12</v>
      </c>
      <c r="C1793" s="102" t="s">
        <v>155</v>
      </c>
      <c r="D1793" s="103">
        <v>280800.10352835298</v>
      </c>
      <c r="E1793" s="103">
        <v>132625.73920949799</v>
      </c>
      <c r="F1793" s="103">
        <v>147776.849508449</v>
      </c>
    </row>
    <row r="1794" spans="1:6" hidden="1" x14ac:dyDescent="0.2">
      <c r="A1794" s="102" t="s">
        <v>174</v>
      </c>
      <c r="B1794" s="102" t="s">
        <v>12</v>
      </c>
      <c r="C1794" s="102" t="s">
        <v>156</v>
      </c>
      <c r="D1794" s="103">
        <v>293393.89647164597</v>
      </c>
      <c r="E1794" s="103">
        <v>139184.26079050099</v>
      </c>
      <c r="F1794" s="103">
        <v>154607.15049155001</v>
      </c>
    </row>
    <row r="1795" spans="1:6" hidden="1" x14ac:dyDescent="0.2">
      <c r="A1795" s="102" t="s">
        <v>174</v>
      </c>
      <c r="B1795" s="102" t="s">
        <v>12</v>
      </c>
      <c r="C1795" s="102" t="s">
        <v>157</v>
      </c>
      <c r="D1795" s="104">
        <v>1.3333394273910499</v>
      </c>
      <c r="E1795" s="104">
        <v>1.4668420259752699</v>
      </c>
      <c r="F1795" s="104">
        <v>1.37316857773636</v>
      </c>
    </row>
    <row r="1796" spans="1:6" hidden="1" x14ac:dyDescent="0.2">
      <c r="A1796" s="102" t="s">
        <v>174</v>
      </c>
      <c r="B1796" s="102" t="s">
        <v>12</v>
      </c>
      <c r="C1796" s="102" t="s">
        <v>158</v>
      </c>
      <c r="D1796" s="104">
        <v>1.4717198228986299</v>
      </c>
      <c r="E1796" s="104">
        <v>1.58145629252492</v>
      </c>
      <c r="F1796" s="104">
        <v>1.44289733725173</v>
      </c>
    </row>
    <row r="1797" spans="1:6" hidden="1" x14ac:dyDescent="0.2">
      <c r="A1797" s="95" t="s">
        <v>174</v>
      </c>
      <c r="B1797" s="95" t="s">
        <v>13</v>
      </c>
      <c r="C1797" s="95" t="s">
        <v>153</v>
      </c>
      <c r="D1797" s="96">
        <v>236265</v>
      </c>
      <c r="E1797" s="96">
        <v>108809</v>
      </c>
      <c r="F1797" s="96">
        <v>127456</v>
      </c>
    </row>
    <row r="1798" spans="1:6" hidden="1" x14ac:dyDescent="0.2">
      <c r="A1798" s="97" t="s">
        <v>174</v>
      </c>
      <c r="B1798" s="97" t="s">
        <v>13</v>
      </c>
      <c r="C1798" s="97" t="s">
        <v>154</v>
      </c>
      <c r="D1798" s="98">
        <v>2930.4387262915402</v>
      </c>
      <c r="E1798" s="98">
        <v>1599.9785122476601</v>
      </c>
      <c r="F1798" s="98">
        <v>1769.0387039427201</v>
      </c>
    </row>
    <row r="1799" spans="1:6" hidden="1" x14ac:dyDescent="0.2">
      <c r="A1799" s="97" t="s">
        <v>174</v>
      </c>
      <c r="B1799" s="97" t="s">
        <v>13</v>
      </c>
      <c r="C1799" s="97" t="s">
        <v>155</v>
      </c>
      <c r="D1799" s="98">
        <v>231444.52514194901</v>
      </c>
      <c r="E1799" s="98">
        <v>106177.088224294</v>
      </c>
      <c r="F1799" s="98">
        <v>124545.989796147</v>
      </c>
    </row>
    <row r="1800" spans="1:6" hidden="1" x14ac:dyDescent="0.2">
      <c r="A1800" s="97" t="s">
        <v>174</v>
      </c>
      <c r="B1800" s="97" t="s">
        <v>13</v>
      </c>
      <c r="C1800" s="97" t="s">
        <v>156</v>
      </c>
      <c r="D1800" s="98">
        <v>241085.47485805</v>
      </c>
      <c r="E1800" s="98">
        <v>111440.911775705</v>
      </c>
      <c r="F1800" s="98">
        <v>130366.010203852</v>
      </c>
    </row>
    <row r="1801" spans="1:6" hidden="1" x14ac:dyDescent="0.2">
      <c r="A1801" s="97" t="s">
        <v>174</v>
      </c>
      <c r="B1801" s="97" t="s">
        <v>13</v>
      </c>
      <c r="C1801" s="97" t="s">
        <v>157</v>
      </c>
      <c r="D1801" s="99">
        <v>1.2403185940751</v>
      </c>
      <c r="E1801" s="99">
        <v>1.4704468492934</v>
      </c>
      <c r="F1801" s="99">
        <v>1.3879603188101901</v>
      </c>
    </row>
    <row r="1802" spans="1:6" hidden="1" x14ac:dyDescent="0.2">
      <c r="A1802" s="97" t="s">
        <v>174</v>
      </c>
      <c r="B1802" s="97" t="s">
        <v>13</v>
      </c>
      <c r="C1802" s="97" t="s">
        <v>158</v>
      </c>
      <c r="D1802" s="99">
        <v>1.3127565837302699</v>
      </c>
      <c r="E1802" s="99">
        <v>1.6263620142864199</v>
      </c>
      <c r="F1802" s="99">
        <v>1.46811968306031</v>
      </c>
    </row>
    <row r="1803" spans="1:6" hidden="1" x14ac:dyDescent="0.2">
      <c r="A1803" s="100" t="s">
        <v>174</v>
      </c>
      <c r="B1803" s="100" t="s">
        <v>14</v>
      </c>
      <c r="C1803" s="100" t="s">
        <v>153</v>
      </c>
      <c r="D1803" s="101">
        <v>221170</v>
      </c>
      <c r="E1803" s="101">
        <v>102534</v>
      </c>
      <c r="F1803" s="101">
        <v>118636</v>
      </c>
    </row>
    <row r="1804" spans="1:6" hidden="1" x14ac:dyDescent="0.2">
      <c r="A1804" s="102" t="s">
        <v>174</v>
      </c>
      <c r="B1804" s="102" t="s">
        <v>14</v>
      </c>
      <c r="C1804" s="102" t="s">
        <v>154</v>
      </c>
      <c r="D1804" s="103">
        <v>2990.39106561776</v>
      </c>
      <c r="E1804" s="103">
        <v>1614.23218864565</v>
      </c>
      <c r="F1804" s="103">
        <v>1734.3555185631999</v>
      </c>
    </row>
    <row r="1805" spans="1:6" hidden="1" x14ac:dyDescent="0.2">
      <c r="A1805" s="102" t="s">
        <v>174</v>
      </c>
      <c r="B1805" s="102" t="s">
        <v>14</v>
      </c>
      <c r="C1805" s="102" t="s">
        <v>155</v>
      </c>
      <c r="D1805" s="103">
        <v>216250.90552509399</v>
      </c>
      <c r="E1805" s="103">
        <v>99878.641397682703</v>
      </c>
      <c r="F1805" s="103">
        <v>115783.04248986801</v>
      </c>
    </row>
    <row r="1806" spans="1:6" hidden="1" x14ac:dyDescent="0.2">
      <c r="A1806" s="102" t="s">
        <v>174</v>
      </c>
      <c r="B1806" s="102" t="s">
        <v>14</v>
      </c>
      <c r="C1806" s="102" t="s">
        <v>156</v>
      </c>
      <c r="D1806" s="103">
        <v>226089.094474905</v>
      </c>
      <c r="E1806" s="103">
        <v>105189.35860231701</v>
      </c>
      <c r="F1806" s="103">
        <v>121488.957510131</v>
      </c>
    </row>
    <row r="1807" spans="1:6" hidden="1" x14ac:dyDescent="0.2">
      <c r="A1807" s="102" t="s">
        <v>174</v>
      </c>
      <c r="B1807" s="102" t="s">
        <v>14</v>
      </c>
      <c r="C1807" s="102" t="s">
        <v>157</v>
      </c>
      <c r="D1807" s="104">
        <v>1.35207806918558</v>
      </c>
      <c r="E1807" s="104">
        <v>1.5743384522652499</v>
      </c>
      <c r="F1807" s="104">
        <v>1.4619133471823</v>
      </c>
    </row>
    <row r="1808" spans="1:6" hidden="1" x14ac:dyDescent="0.2">
      <c r="A1808" s="102" t="s">
        <v>174</v>
      </c>
      <c r="B1808" s="102" t="s">
        <v>14</v>
      </c>
      <c r="C1808" s="102" t="s">
        <v>158</v>
      </c>
      <c r="D1808" s="104">
        <v>1.49197669492183</v>
      </c>
      <c r="E1808" s="104">
        <v>1.78682551926439</v>
      </c>
      <c r="F1808" s="104">
        <v>1.5401950156517801</v>
      </c>
    </row>
    <row r="1809" spans="1:6" hidden="1" x14ac:dyDescent="0.2">
      <c r="A1809" s="95" t="s">
        <v>174</v>
      </c>
      <c r="B1809" s="95" t="s">
        <v>15</v>
      </c>
      <c r="C1809" s="95" t="s">
        <v>153</v>
      </c>
      <c r="D1809" s="96">
        <v>179543</v>
      </c>
      <c r="E1809" s="96">
        <v>83350</v>
      </c>
      <c r="F1809" s="96">
        <v>96193</v>
      </c>
    </row>
    <row r="1810" spans="1:6" hidden="1" x14ac:dyDescent="0.2">
      <c r="A1810" s="97" t="s">
        <v>174</v>
      </c>
      <c r="B1810" s="97" t="s">
        <v>15</v>
      </c>
      <c r="C1810" s="97" t="s">
        <v>154</v>
      </c>
      <c r="D1810" s="98">
        <v>2554.6808497864599</v>
      </c>
      <c r="E1810" s="98">
        <v>1305.31591407165</v>
      </c>
      <c r="F1810" s="98">
        <v>1540.8126127416999</v>
      </c>
    </row>
    <row r="1811" spans="1:6" hidden="1" x14ac:dyDescent="0.2">
      <c r="A1811" s="97" t="s">
        <v>174</v>
      </c>
      <c r="B1811" s="97" t="s">
        <v>15</v>
      </c>
      <c r="C1811" s="97" t="s">
        <v>155</v>
      </c>
      <c r="D1811" s="98">
        <v>175340.634430554</v>
      </c>
      <c r="E1811" s="98">
        <v>81202.798460127393</v>
      </c>
      <c r="F1811" s="98">
        <v>93658.414173635494</v>
      </c>
    </row>
    <row r="1812" spans="1:6" hidden="1" x14ac:dyDescent="0.2">
      <c r="A1812" s="97" t="s">
        <v>174</v>
      </c>
      <c r="B1812" s="97" t="s">
        <v>15</v>
      </c>
      <c r="C1812" s="97" t="s">
        <v>156</v>
      </c>
      <c r="D1812" s="98">
        <v>183745.36556944501</v>
      </c>
      <c r="E1812" s="98">
        <v>85497.201539872505</v>
      </c>
      <c r="F1812" s="98">
        <v>98727.585826364506</v>
      </c>
    </row>
    <row r="1813" spans="1:6" hidden="1" x14ac:dyDescent="0.2">
      <c r="A1813" s="97" t="s">
        <v>174</v>
      </c>
      <c r="B1813" s="97" t="s">
        <v>15</v>
      </c>
      <c r="C1813" s="97" t="s">
        <v>157</v>
      </c>
      <c r="D1813" s="99">
        <v>1.42287967216013</v>
      </c>
      <c r="E1813" s="99">
        <v>1.56606588370924</v>
      </c>
      <c r="F1813" s="99">
        <v>1.6017928671958399</v>
      </c>
    </row>
    <row r="1814" spans="1:6" hidden="1" x14ac:dyDescent="0.2">
      <c r="A1814" s="97" t="s">
        <v>174</v>
      </c>
      <c r="B1814" s="97" t="s">
        <v>15</v>
      </c>
      <c r="C1814" s="97" t="s">
        <v>158</v>
      </c>
      <c r="D1814" s="99">
        <v>1.5635211670151099</v>
      </c>
      <c r="E1814" s="99">
        <v>1.6243136089703101</v>
      </c>
      <c r="F1814" s="99">
        <v>1.7348791419876299</v>
      </c>
    </row>
    <row r="1815" spans="1:6" hidden="1" x14ac:dyDescent="0.2">
      <c r="A1815" s="100" t="s">
        <v>174</v>
      </c>
      <c r="B1815" s="100" t="s">
        <v>16</v>
      </c>
      <c r="C1815" s="100" t="s">
        <v>153</v>
      </c>
      <c r="D1815" s="101">
        <v>144511</v>
      </c>
      <c r="E1815" s="101">
        <v>68458</v>
      </c>
      <c r="F1815" s="101">
        <v>76053</v>
      </c>
    </row>
    <row r="1816" spans="1:6" hidden="1" x14ac:dyDescent="0.2">
      <c r="A1816" s="102" t="s">
        <v>174</v>
      </c>
      <c r="B1816" s="102" t="s">
        <v>16</v>
      </c>
      <c r="C1816" s="102" t="s">
        <v>154</v>
      </c>
      <c r="D1816" s="103">
        <v>2439.7840683043901</v>
      </c>
      <c r="E1816" s="103">
        <v>1216.49659093013</v>
      </c>
      <c r="F1816" s="103">
        <v>1465.6374123441999</v>
      </c>
    </row>
    <row r="1817" spans="1:6" hidden="1" x14ac:dyDescent="0.2">
      <c r="A1817" s="102" t="s">
        <v>174</v>
      </c>
      <c r="B1817" s="102" t="s">
        <v>16</v>
      </c>
      <c r="C1817" s="102" t="s">
        <v>155</v>
      </c>
      <c r="D1817" s="103">
        <v>140497.635838922</v>
      </c>
      <c r="E1817" s="103">
        <v>66456.903311346905</v>
      </c>
      <c r="F1817" s="103">
        <v>73642.074893859302</v>
      </c>
    </row>
    <row r="1818" spans="1:6" hidden="1" x14ac:dyDescent="0.2">
      <c r="A1818" s="102" t="s">
        <v>174</v>
      </c>
      <c r="B1818" s="102" t="s">
        <v>16</v>
      </c>
      <c r="C1818" s="102" t="s">
        <v>156</v>
      </c>
      <c r="D1818" s="103">
        <v>148524.36416107701</v>
      </c>
      <c r="E1818" s="103">
        <v>70459.096688652993</v>
      </c>
      <c r="F1818" s="103">
        <v>78463.925106140596</v>
      </c>
    </row>
    <row r="1819" spans="1:6" hidden="1" x14ac:dyDescent="0.2">
      <c r="A1819" s="102" t="s">
        <v>174</v>
      </c>
      <c r="B1819" s="102" t="s">
        <v>16</v>
      </c>
      <c r="C1819" s="102" t="s">
        <v>157</v>
      </c>
      <c r="D1819" s="104">
        <v>1.6883033598164801</v>
      </c>
      <c r="E1819" s="104">
        <v>1.7769969776068999</v>
      </c>
      <c r="F1819" s="104">
        <v>1.9271263623318</v>
      </c>
    </row>
    <row r="1820" spans="1:6" hidden="1" x14ac:dyDescent="0.2">
      <c r="A1820" s="102" t="s">
        <v>174</v>
      </c>
      <c r="B1820" s="102" t="s">
        <v>16</v>
      </c>
      <c r="C1820" s="102" t="s">
        <v>158</v>
      </c>
      <c r="D1820" s="104">
        <v>1.9991811043526799</v>
      </c>
      <c r="E1820" s="104">
        <v>1.9053058976212001</v>
      </c>
      <c r="F1820" s="104">
        <v>2.2106084977464602</v>
      </c>
    </row>
    <row r="1821" spans="1:6" hidden="1" x14ac:dyDescent="0.2">
      <c r="A1821" s="95" t="s">
        <v>174</v>
      </c>
      <c r="B1821" s="95" t="s">
        <v>17</v>
      </c>
      <c r="C1821" s="95" t="s">
        <v>153</v>
      </c>
      <c r="D1821" s="96">
        <v>120252</v>
      </c>
      <c r="E1821" s="96">
        <v>55728</v>
      </c>
      <c r="F1821" s="96">
        <v>64524</v>
      </c>
    </row>
    <row r="1822" spans="1:6" hidden="1" x14ac:dyDescent="0.2">
      <c r="A1822" s="97" t="s">
        <v>174</v>
      </c>
      <c r="B1822" s="97" t="s">
        <v>17</v>
      </c>
      <c r="C1822" s="97" t="s">
        <v>154</v>
      </c>
      <c r="D1822" s="98">
        <v>1968.8591878346299</v>
      </c>
      <c r="E1822" s="98">
        <v>1047.5094897157301</v>
      </c>
      <c r="F1822" s="98">
        <v>1157.22003823103</v>
      </c>
    </row>
    <row r="1823" spans="1:6" hidden="1" x14ac:dyDescent="0.2">
      <c r="A1823" s="97" t="s">
        <v>174</v>
      </c>
      <c r="B1823" s="97" t="s">
        <v>17</v>
      </c>
      <c r="C1823" s="97" t="s">
        <v>155</v>
      </c>
      <c r="D1823" s="98">
        <v>117013.291703918</v>
      </c>
      <c r="E1823" s="98">
        <v>54004.881508068902</v>
      </c>
      <c r="F1823" s="98">
        <v>62620.411281533903</v>
      </c>
    </row>
    <row r="1824" spans="1:6" hidden="1" x14ac:dyDescent="0.2">
      <c r="A1824" s="97" t="s">
        <v>174</v>
      </c>
      <c r="B1824" s="97" t="s">
        <v>17</v>
      </c>
      <c r="C1824" s="97" t="s">
        <v>156</v>
      </c>
      <c r="D1824" s="98">
        <v>123490.70829608099</v>
      </c>
      <c r="E1824" s="98">
        <v>57451.118491931004</v>
      </c>
      <c r="F1824" s="98">
        <v>66427.588718465995</v>
      </c>
    </row>
    <row r="1825" spans="1:6" hidden="1" x14ac:dyDescent="0.2">
      <c r="A1825" s="97" t="s">
        <v>174</v>
      </c>
      <c r="B1825" s="97" t="s">
        <v>17</v>
      </c>
      <c r="C1825" s="97" t="s">
        <v>157</v>
      </c>
      <c r="D1825" s="99">
        <v>1.6372777066781701</v>
      </c>
      <c r="E1825" s="99">
        <v>1.87968254686285</v>
      </c>
      <c r="F1825" s="99">
        <v>1.7934722556428999</v>
      </c>
    </row>
    <row r="1826" spans="1:6" hidden="1" x14ac:dyDescent="0.2">
      <c r="A1826" s="97" t="s">
        <v>174</v>
      </c>
      <c r="B1826" s="97" t="s">
        <v>17</v>
      </c>
      <c r="C1826" s="97" t="s">
        <v>158</v>
      </c>
      <c r="D1826" s="99">
        <v>1.79096210169317</v>
      </c>
      <c r="E1826" s="99">
        <v>1.90770883856951</v>
      </c>
      <c r="F1826" s="99">
        <v>1.8640365474573199</v>
      </c>
    </row>
    <row r="1827" spans="1:6" hidden="1" x14ac:dyDescent="0.2">
      <c r="A1827" s="100" t="s">
        <v>174</v>
      </c>
      <c r="B1827" s="100" t="s">
        <v>18</v>
      </c>
      <c r="C1827" s="100" t="s">
        <v>153</v>
      </c>
      <c r="D1827" s="101">
        <v>90586</v>
      </c>
      <c r="E1827" s="101">
        <v>42283</v>
      </c>
      <c r="F1827" s="101">
        <v>48303</v>
      </c>
    </row>
    <row r="1828" spans="1:6" hidden="1" x14ac:dyDescent="0.2">
      <c r="A1828" s="102" t="s">
        <v>174</v>
      </c>
      <c r="B1828" s="102" t="s">
        <v>18</v>
      </c>
      <c r="C1828" s="102" t="s">
        <v>154</v>
      </c>
      <c r="D1828" s="103">
        <v>1479.39232528306</v>
      </c>
      <c r="E1828" s="103">
        <v>768.51123543094798</v>
      </c>
      <c r="F1828" s="103">
        <v>956.31604619293796</v>
      </c>
    </row>
    <row r="1829" spans="1:6" hidden="1" x14ac:dyDescent="0.2">
      <c r="A1829" s="102" t="s">
        <v>174</v>
      </c>
      <c r="B1829" s="102" t="s">
        <v>18</v>
      </c>
      <c r="C1829" s="102" t="s">
        <v>155</v>
      </c>
      <c r="D1829" s="103">
        <v>88152.448516654593</v>
      </c>
      <c r="E1829" s="103">
        <v>41018.824415884497</v>
      </c>
      <c r="F1829" s="103">
        <v>46729.891708854397</v>
      </c>
    </row>
    <row r="1830" spans="1:6" hidden="1" x14ac:dyDescent="0.2">
      <c r="A1830" s="102" t="s">
        <v>174</v>
      </c>
      <c r="B1830" s="102" t="s">
        <v>18</v>
      </c>
      <c r="C1830" s="102" t="s">
        <v>156</v>
      </c>
      <c r="D1830" s="103">
        <v>93019.551483345407</v>
      </c>
      <c r="E1830" s="103">
        <v>43547.175584115401</v>
      </c>
      <c r="F1830" s="103">
        <v>49876.108291145501</v>
      </c>
    </row>
    <row r="1831" spans="1:6" hidden="1" x14ac:dyDescent="0.2">
      <c r="A1831" s="102" t="s">
        <v>174</v>
      </c>
      <c r="B1831" s="102" t="s">
        <v>18</v>
      </c>
      <c r="C1831" s="102" t="s">
        <v>157</v>
      </c>
      <c r="D1831" s="104">
        <v>1.6331357221679501</v>
      </c>
      <c r="E1831" s="104">
        <v>1.81754188546448</v>
      </c>
      <c r="F1831" s="104">
        <v>1.97982743554838</v>
      </c>
    </row>
    <row r="1832" spans="1:6" hidden="1" x14ac:dyDescent="0.2">
      <c r="A1832" s="102" t="s">
        <v>174</v>
      </c>
      <c r="B1832" s="102" t="s">
        <v>18</v>
      </c>
      <c r="C1832" s="102" t="s">
        <v>158</v>
      </c>
      <c r="D1832" s="104">
        <v>1.66964777398467</v>
      </c>
      <c r="E1832" s="104">
        <v>1.6676347112809899</v>
      </c>
      <c r="F1832" s="104">
        <v>1.96546337671038</v>
      </c>
    </row>
    <row r="1833" spans="1:6" hidden="1" x14ac:dyDescent="0.2">
      <c r="A1833" s="95" t="s">
        <v>174</v>
      </c>
      <c r="B1833" s="95" t="s">
        <v>19</v>
      </c>
      <c r="C1833" s="95" t="s">
        <v>153</v>
      </c>
      <c r="D1833" s="96">
        <v>155346</v>
      </c>
      <c r="E1833" s="96">
        <v>72306</v>
      </c>
      <c r="F1833" s="96">
        <v>83040</v>
      </c>
    </row>
    <row r="1834" spans="1:6" hidden="1" x14ac:dyDescent="0.2">
      <c r="A1834" s="97" t="s">
        <v>174</v>
      </c>
      <c r="B1834" s="97" t="s">
        <v>19</v>
      </c>
      <c r="C1834" s="97" t="s">
        <v>154</v>
      </c>
      <c r="D1834" s="98">
        <v>2327.84995524434</v>
      </c>
      <c r="E1834" s="98">
        <v>1146.69456379863</v>
      </c>
      <c r="F1834" s="98">
        <v>1416.6126695973301</v>
      </c>
    </row>
    <row r="1835" spans="1:6" hidden="1" x14ac:dyDescent="0.2">
      <c r="A1835" s="97" t="s">
        <v>174</v>
      </c>
      <c r="B1835" s="97" t="s">
        <v>19</v>
      </c>
      <c r="C1835" s="97" t="s">
        <v>155</v>
      </c>
      <c r="D1835" s="98">
        <v>151516.763755647</v>
      </c>
      <c r="E1835" s="98">
        <v>70419.725339123703</v>
      </c>
      <c r="F1835" s="98">
        <v>80709.718975482101</v>
      </c>
    </row>
    <row r="1836" spans="1:6" hidden="1" x14ac:dyDescent="0.2">
      <c r="A1836" s="97" t="s">
        <v>174</v>
      </c>
      <c r="B1836" s="97" t="s">
        <v>19</v>
      </c>
      <c r="C1836" s="97" t="s">
        <v>156</v>
      </c>
      <c r="D1836" s="98">
        <v>159175.23624435201</v>
      </c>
      <c r="E1836" s="98">
        <v>74192.274660876195</v>
      </c>
      <c r="F1836" s="98">
        <v>85370.281024517797</v>
      </c>
    </row>
    <row r="1837" spans="1:6" hidden="1" x14ac:dyDescent="0.2">
      <c r="A1837" s="97" t="s">
        <v>174</v>
      </c>
      <c r="B1837" s="97" t="s">
        <v>19</v>
      </c>
      <c r="C1837" s="97" t="s">
        <v>157</v>
      </c>
      <c r="D1837" s="99">
        <v>1.4984936562540001</v>
      </c>
      <c r="E1837" s="99">
        <v>1.5858913005817401</v>
      </c>
      <c r="F1837" s="99">
        <v>1.7059401127135501</v>
      </c>
    </row>
    <row r="1838" spans="1:6" hidden="1" x14ac:dyDescent="0.2">
      <c r="A1838" s="97" t="s">
        <v>174</v>
      </c>
      <c r="B1838" s="97" t="s">
        <v>19</v>
      </c>
      <c r="C1838" s="97" t="s">
        <v>158</v>
      </c>
      <c r="D1838" s="99">
        <v>1.4656456976485699</v>
      </c>
      <c r="E1838" s="99">
        <v>1.4590869478556401</v>
      </c>
      <c r="F1838" s="99">
        <v>1.62945794758689</v>
      </c>
    </row>
    <row r="1839" spans="1:6" hidden="1" x14ac:dyDescent="0.2">
      <c r="A1839" s="100" t="s">
        <v>174</v>
      </c>
      <c r="B1839" s="100" t="s">
        <v>20</v>
      </c>
      <c r="C1839" s="100" t="s">
        <v>153</v>
      </c>
      <c r="D1839" s="101">
        <v>2887</v>
      </c>
      <c r="E1839" s="101">
        <v>1286</v>
      </c>
      <c r="F1839" s="101">
        <v>1601</v>
      </c>
    </row>
    <row r="1840" spans="1:6" hidden="1" x14ac:dyDescent="0.2">
      <c r="A1840" s="102" t="s">
        <v>174</v>
      </c>
      <c r="B1840" s="102" t="s">
        <v>20</v>
      </c>
      <c r="C1840" s="102" t="s">
        <v>154</v>
      </c>
      <c r="D1840" s="103">
        <v>258.32546700618502</v>
      </c>
      <c r="E1840" s="103">
        <v>134.88942513724001</v>
      </c>
      <c r="F1840" s="103">
        <v>162.82587320252301</v>
      </c>
    </row>
    <row r="1841" spans="1:6" hidden="1" x14ac:dyDescent="0.2">
      <c r="A1841" s="102" t="s">
        <v>174</v>
      </c>
      <c r="B1841" s="102" t="s">
        <v>20</v>
      </c>
      <c r="C1841" s="102" t="s">
        <v>155</v>
      </c>
      <c r="D1841" s="103">
        <v>2462.0631440523898</v>
      </c>
      <c r="E1841" s="103">
        <v>1064.11135354678</v>
      </c>
      <c r="F1841" s="103">
        <v>1333.156819738</v>
      </c>
    </row>
    <row r="1842" spans="1:6" hidden="1" x14ac:dyDescent="0.2">
      <c r="A1842" s="102" t="s">
        <v>174</v>
      </c>
      <c r="B1842" s="102" t="s">
        <v>20</v>
      </c>
      <c r="C1842" s="102" t="s">
        <v>156</v>
      </c>
      <c r="D1842" s="103">
        <v>3311.9368559476002</v>
      </c>
      <c r="E1842" s="103">
        <v>1507.88864645321</v>
      </c>
      <c r="F1842" s="103">
        <v>1868.843180262</v>
      </c>
    </row>
    <row r="1843" spans="1:6" hidden="1" x14ac:dyDescent="0.2">
      <c r="A1843" s="102" t="s">
        <v>174</v>
      </c>
      <c r="B1843" s="102" t="s">
        <v>20</v>
      </c>
      <c r="C1843" s="102" t="s">
        <v>157</v>
      </c>
      <c r="D1843" s="104">
        <v>8.9478859371730195</v>
      </c>
      <c r="E1843" s="104">
        <v>10.489068828712201</v>
      </c>
      <c r="F1843" s="104">
        <v>10.1702606622438</v>
      </c>
    </row>
    <row r="1844" spans="1:6" hidden="1" x14ac:dyDescent="0.2">
      <c r="A1844" s="102" t="s">
        <v>174</v>
      </c>
      <c r="B1844" s="102" t="s">
        <v>20</v>
      </c>
      <c r="C1844" s="102" t="s">
        <v>158</v>
      </c>
      <c r="D1844" s="104">
        <v>3.0457953238481901</v>
      </c>
      <c r="E1844" s="104">
        <v>2.73156004433541</v>
      </c>
      <c r="F1844" s="104">
        <v>2.8378137454936101</v>
      </c>
    </row>
    <row r="1845" spans="1:6" hidden="1" x14ac:dyDescent="0.2">
      <c r="A1845" s="95" t="s">
        <v>175</v>
      </c>
      <c r="B1845" s="95" t="s">
        <v>152</v>
      </c>
      <c r="C1845" s="95" t="s">
        <v>153</v>
      </c>
      <c r="D1845" s="96">
        <v>1903811</v>
      </c>
      <c r="E1845" s="96">
        <v>914906</v>
      </c>
      <c r="F1845" s="96">
        <v>988905</v>
      </c>
    </row>
    <row r="1846" spans="1:6" hidden="1" x14ac:dyDescent="0.2">
      <c r="A1846" s="97" t="s">
        <v>175</v>
      </c>
      <c r="B1846" s="97" t="s">
        <v>152</v>
      </c>
      <c r="C1846" s="97" t="s">
        <v>154</v>
      </c>
      <c r="D1846" s="98">
        <v>33324.992858441401</v>
      </c>
      <c r="E1846" s="98">
        <v>15787.9962947982</v>
      </c>
      <c r="F1846" s="98">
        <v>17837.140081781999</v>
      </c>
    </row>
    <row r="1847" spans="1:6" hidden="1" x14ac:dyDescent="0.2">
      <c r="A1847" s="97" t="s">
        <v>175</v>
      </c>
      <c r="B1847" s="97" t="s">
        <v>152</v>
      </c>
      <c r="C1847" s="97" t="s">
        <v>155</v>
      </c>
      <c r="D1847" s="98">
        <v>1848983.2076197199</v>
      </c>
      <c r="E1847" s="98">
        <v>888930.87116414902</v>
      </c>
      <c r="F1847" s="98">
        <v>959558.52670243103</v>
      </c>
    </row>
    <row r="1848" spans="1:6" hidden="1" x14ac:dyDescent="0.2">
      <c r="A1848" s="97" t="s">
        <v>175</v>
      </c>
      <c r="B1848" s="97" t="s">
        <v>152</v>
      </c>
      <c r="C1848" s="97" t="s">
        <v>156</v>
      </c>
      <c r="D1848" s="98">
        <v>1958638.7923802801</v>
      </c>
      <c r="E1848" s="98">
        <v>940881.12883585005</v>
      </c>
      <c r="F1848" s="98">
        <v>1018251.47329756</v>
      </c>
    </row>
    <row r="1849" spans="1:6" hidden="1" x14ac:dyDescent="0.2">
      <c r="A1849" s="97" t="s">
        <v>175</v>
      </c>
      <c r="B1849" s="97" t="s">
        <v>152</v>
      </c>
      <c r="C1849" s="97" t="s">
        <v>157</v>
      </c>
      <c r="D1849" s="99">
        <v>1.7504359864735199</v>
      </c>
      <c r="E1849" s="99">
        <v>1.7256413549368099</v>
      </c>
      <c r="F1849" s="99">
        <v>1.8037263520542399</v>
      </c>
    </row>
    <row r="1850" spans="1:6" hidden="1" x14ac:dyDescent="0.2">
      <c r="A1850" s="97" t="s">
        <v>175</v>
      </c>
      <c r="B1850" s="97" t="s">
        <v>152</v>
      </c>
      <c r="C1850" s="97" t="s">
        <v>158</v>
      </c>
      <c r="D1850" s="99">
        <v>1.6273790782014299</v>
      </c>
      <c r="E1850" s="99">
        <v>0.94309108630592997</v>
      </c>
      <c r="F1850" s="99">
        <v>1.07259232734921</v>
      </c>
    </row>
    <row r="1851" spans="1:6" hidden="1" x14ac:dyDescent="0.2">
      <c r="A1851" s="100" t="s">
        <v>175</v>
      </c>
      <c r="B1851" s="100" t="s">
        <v>4</v>
      </c>
      <c r="C1851" s="100" t="s">
        <v>153</v>
      </c>
      <c r="D1851" s="101">
        <v>157558</v>
      </c>
      <c r="E1851" s="101">
        <v>80137</v>
      </c>
      <c r="F1851" s="101">
        <v>77421</v>
      </c>
    </row>
    <row r="1852" spans="1:6" hidden="1" x14ac:dyDescent="0.2">
      <c r="A1852" s="102" t="s">
        <v>175</v>
      </c>
      <c r="B1852" s="102" t="s">
        <v>4</v>
      </c>
      <c r="C1852" s="102" t="s">
        <v>154</v>
      </c>
      <c r="D1852" s="103">
        <v>3095.0242305696802</v>
      </c>
      <c r="E1852" s="103">
        <v>1700.0633820051301</v>
      </c>
      <c r="F1852" s="103">
        <v>1697.30024057281</v>
      </c>
    </row>
    <row r="1853" spans="1:6" hidden="1" x14ac:dyDescent="0.2">
      <c r="A1853" s="102" t="s">
        <v>175</v>
      </c>
      <c r="B1853" s="102" t="s">
        <v>4</v>
      </c>
      <c r="C1853" s="102" t="s">
        <v>155</v>
      </c>
      <c r="D1853" s="103">
        <v>152465.925512649</v>
      </c>
      <c r="E1853" s="103">
        <v>77339.978481110593</v>
      </c>
      <c r="F1853" s="103">
        <v>74628.524526939102</v>
      </c>
    </row>
    <row r="1854" spans="1:6" hidden="1" x14ac:dyDescent="0.2">
      <c r="A1854" s="102" t="s">
        <v>175</v>
      </c>
      <c r="B1854" s="102" t="s">
        <v>4</v>
      </c>
      <c r="C1854" s="102" t="s">
        <v>156</v>
      </c>
      <c r="D1854" s="103">
        <v>162650.07448735001</v>
      </c>
      <c r="E1854" s="103">
        <v>82934.021518889305</v>
      </c>
      <c r="F1854" s="103">
        <v>80213.475473060797</v>
      </c>
    </row>
    <row r="1855" spans="1:6" hidden="1" x14ac:dyDescent="0.2">
      <c r="A1855" s="102" t="s">
        <v>175</v>
      </c>
      <c r="B1855" s="102" t="s">
        <v>4</v>
      </c>
      <c r="C1855" s="102" t="s">
        <v>157</v>
      </c>
      <c r="D1855" s="104">
        <v>1.9643713620188601</v>
      </c>
      <c r="E1855" s="104">
        <v>2.1214462508019101</v>
      </c>
      <c r="F1855" s="104">
        <v>2.1922995577076101</v>
      </c>
    </row>
    <row r="1856" spans="1:6" hidden="1" x14ac:dyDescent="0.2">
      <c r="A1856" s="102" t="s">
        <v>175</v>
      </c>
      <c r="B1856" s="102" t="s">
        <v>4</v>
      </c>
      <c r="C1856" s="102" t="s">
        <v>158</v>
      </c>
      <c r="D1856" s="104">
        <v>0.83432359416650004</v>
      </c>
      <c r="E1856" s="104">
        <v>0.90313865807017002</v>
      </c>
      <c r="F1856" s="104">
        <v>0.97101585492398002</v>
      </c>
    </row>
    <row r="1857" spans="1:6" hidden="1" x14ac:dyDescent="0.2">
      <c r="A1857" s="95" t="s">
        <v>175</v>
      </c>
      <c r="B1857" s="95" t="s">
        <v>5</v>
      </c>
      <c r="C1857" s="95" t="s">
        <v>153</v>
      </c>
      <c r="D1857" s="96">
        <v>164416</v>
      </c>
      <c r="E1857" s="96">
        <v>83849</v>
      </c>
      <c r="F1857" s="96">
        <v>80567</v>
      </c>
    </row>
    <row r="1858" spans="1:6" hidden="1" x14ac:dyDescent="0.2">
      <c r="A1858" s="97" t="s">
        <v>175</v>
      </c>
      <c r="B1858" s="97" t="s">
        <v>5</v>
      </c>
      <c r="C1858" s="97" t="s">
        <v>154</v>
      </c>
      <c r="D1858" s="98">
        <v>3234.5037337564199</v>
      </c>
      <c r="E1858" s="98">
        <v>1795.97732902648</v>
      </c>
      <c r="F1858" s="98">
        <v>1774.5847771587</v>
      </c>
    </row>
    <row r="1859" spans="1:6" hidden="1" x14ac:dyDescent="0.2">
      <c r="A1859" s="97" t="s">
        <v>175</v>
      </c>
      <c r="B1859" s="97" t="s">
        <v>5</v>
      </c>
      <c r="C1859" s="97" t="s">
        <v>155</v>
      </c>
      <c r="D1859" s="98">
        <v>159094.44749671899</v>
      </c>
      <c r="E1859" s="98">
        <v>80894.176497596403</v>
      </c>
      <c r="F1859" s="98">
        <v>77647.372495905307</v>
      </c>
    </row>
    <row r="1860" spans="1:6" hidden="1" x14ac:dyDescent="0.2">
      <c r="A1860" s="97" t="s">
        <v>175</v>
      </c>
      <c r="B1860" s="97" t="s">
        <v>5</v>
      </c>
      <c r="C1860" s="97" t="s">
        <v>156</v>
      </c>
      <c r="D1860" s="98">
        <v>169737.55250327999</v>
      </c>
      <c r="E1860" s="98">
        <v>86803.823502403495</v>
      </c>
      <c r="F1860" s="98">
        <v>83486.627504094606</v>
      </c>
    </row>
    <row r="1861" spans="1:6" hidden="1" x14ac:dyDescent="0.2">
      <c r="A1861" s="97" t="s">
        <v>175</v>
      </c>
      <c r="B1861" s="97" t="s">
        <v>5</v>
      </c>
      <c r="C1861" s="97" t="s">
        <v>157</v>
      </c>
      <c r="D1861" s="99">
        <v>1.9672682304376801</v>
      </c>
      <c r="E1861" s="99">
        <v>2.1419186025193899</v>
      </c>
      <c r="F1861" s="99">
        <v>2.2026199028866702</v>
      </c>
    </row>
    <row r="1862" spans="1:6" hidden="1" x14ac:dyDescent="0.2">
      <c r="A1862" s="97" t="s">
        <v>175</v>
      </c>
      <c r="B1862" s="97" t="s">
        <v>5</v>
      </c>
      <c r="C1862" s="97" t="s">
        <v>158</v>
      </c>
      <c r="D1862" s="99">
        <v>0.85404685473207997</v>
      </c>
      <c r="E1862" s="99">
        <v>0.93709385652553001</v>
      </c>
      <c r="F1862" s="99">
        <v>1.00052854847635</v>
      </c>
    </row>
    <row r="1863" spans="1:6" hidden="1" x14ac:dyDescent="0.2">
      <c r="A1863" s="100" t="s">
        <v>175</v>
      </c>
      <c r="B1863" s="100" t="s">
        <v>6</v>
      </c>
      <c r="C1863" s="100" t="s">
        <v>153</v>
      </c>
      <c r="D1863" s="101">
        <v>169614</v>
      </c>
      <c r="E1863" s="101">
        <v>86160</v>
      </c>
      <c r="F1863" s="101">
        <v>83454</v>
      </c>
    </row>
    <row r="1864" spans="1:6" hidden="1" x14ac:dyDescent="0.2">
      <c r="A1864" s="102" t="s">
        <v>175</v>
      </c>
      <c r="B1864" s="102" t="s">
        <v>6</v>
      </c>
      <c r="C1864" s="102" t="s">
        <v>154</v>
      </c>
      <c r="D1864" s="103">
        <v>3340.2502998323398</v>
      </c>
      <c r="E1864" s="103">
        <v>1708.3764498851699</v>
      </c>
      <c r="F1864" s="103">
        <v>1922.2668956114401</v>
      </c>
    </row>
    <row r="1865" spans="1:6" hidden="1" x14ac:dyDescent="0.2">
      <c r="A1865" s="102" t="s">
        <v>175</v>
      </c>
      <c r="B1865" s="102" t="s">
        <v>6</v>
      </c>
      <c r="C1865" s="102" t="s">
        <v>155</v>
      </c>
      <c r="D1865" s="103">
        <v>164118.46844158901</v>
      </c>
      <c r="E1865" s="103">
        <v>83349.301444127996</v>
      </c>
      <c r="F1865" s="103">
        <v>80291.399164652103</v>
      </c>
    </row>
    <row r="1866" spans="1:6" hidden="1" x14ac:dyDescent="0.2">
      <c r="A1866" s="102" t="s">
        <v>175</v>
      </c>
      <c r="B1866" s="102" t="s">
        <v>6</v>
      </c>
      <c r="C1866" s="102" t="s">
        <v>156</v>
      </c>
      <c r="D1866" s="103">
        <v>175109.53155841</v>
      </c>
      <c r="E1866" s="103">
        <v>88970.698555871902</v>
      </c>
      <c r="F1866" s="103">
        <v>86616.600835347796</v>
      </c>
    </row>
    <row r="1867" spans="1:6" hidden="1" x14ac:dyDescent="0.2">
      <c r="A1867" s="102" t="s">
        <v>175</v>
      </c>
      <c r="B1867" s="102" t="s">
        <v>6</v>
      </c>
      <c r="C1867" s="102" t="s">
        <v>157</v>
      </c>
      <c r="D1867" s="104">
        <v>1.96932464291411</v>
      </c>
      <c r="E1867" s="104">
        <v>1.9827953225222501</v>
      </c>
      <c r="F1867" s="104">
        <v>2.3033849732923999</v>
      </c>
    </row>
    <row r="1868" spans="1:6" hidden="1" x14ac:dyDescent="0.2">
      <c r="A1868" s="102" t="s">
        <v>175</v>
      </c>
      <c r="B1868" s="102" t="s">
        <v>6</v>
      </c>
      <c r="C1868" s="102" t="s">
        <v>158</v>
      </c>
      <c r="D1868" s="104">
        <v>0.83975693824266995</v>
      </c>
      <c r="E1868" s="104">
        <v>0.79364340446270998</v>
      </c>
      <c r="F1868" s="104">
        <v>1.0850421860308599</v>
      </c>
    </row>
    <row r="1869" spans="1:6" hidden="1" x14ac:dyDescent="0.2">
      <c r="A1869" s="95" t="s">
        <v>175</v>
      </c>
      <c r="B1869" s="95" t="s">
        <v>7</v>
      </c>
      <c r="C1869" s="95" t="s">
        <v>153</v>
      </c>
      <c r="D1869" s="96">
        <v>169269</v>
      </c>
      <c r="E1869" s="96">
        <v>84029</v>
      </c>
      <c r="F1869" s="96">
        <v>85240</v>
      </c>
    </row>
    <row r="1870" spans="1:6" hidden="1" x14ac:dyDescent="0.2">
      <c r="A1870" s="97" t="s">
        <v>175</v>
      </c>
      <c r="B1870" s="97" t="s">
        <v>7</v>
      </c>
      <c r="C1870" s="97" t="s">
        <v>154</v>
      </c>
      <c r="D1870" s="98">
        <v>3292.8432643136398</v>
      </c>
      <c r="E1870" s="98">
        <v>1733.1744108361199</v>
      </c>
      <c r="F1870" s="98">
        <v>1857.22188858754</v>
      </c>
    </row>
    <row r="1871" spans="1:6" hidden="1" x14ac:dyDescent="0.2">
      <c r="A1871" s="97" t="s">
        <v>175</v>
      </c>
      <c r="B1871" s="97" t="s">
        <v>7</v>
      </c>
      <c r="C1871" s="97" t="s">
        <v>155</v>
      </c>
      <c r="D1871" s="98">
        <v>163851.46465037501</v>
      </c>
      <c r="E1871" s="98">
        <v>81177.502712069807</v>
      </c>
      <c r="F1871" s="98">
        <v>82184.414165544295</v>
      </c>
    </row>
    <row r="1872" spans="1:6" hidden="1" x14ac:dyDescent="0.2">
      <c r="A1872" s="97" t="s">
        <v>175</v>
      </c>
      <c r="B1872" s="97" t="s">
        <v>7</v>
      </c>
      <c r="C1872" s="97" t="s">
        <v>156</v>
      </c>
      <c r="D1872" s="98">
        <v>174686.535349624</v>
      </c>
      <c r="E1872" s="98">
        <v>86880.497287930106</v>
      </c>
      <c r="F1872" s="98">
        <v>88295.585834455604</v>
      </c>
    </row>
    <row r="1873" spans="1:6" hidden="1" x14ac:dyDescent="0.2">
      <c r="A1873" s="97" t="s">
        <v>175</v>
      </c>
      <c r="B1873" s="97" t="s">
        <v>7</v>
      </c>
      <c r="C1873" s="97" t="s">
        <v>157</v>
      </c>
      <c r="D1873" s="99">
        <v>1.9453315517393199</v>
      </c>
      <c r="E1873" s="99">
        <v>2.0625907851290801</v>
      </c>
      <c r="F1873" s="99">
        <v>2.1788149795724299</v>
      </c>
    </row>
    <row r="1874" spans="1:6" hidden="1" x14ac:dyDescent="0.2">
      <c r="A1874" s="97" t="s">
        <v>175</v>
      </c>
      <c r="B1874" s="97" t="s">
        <v>7</v>
      </c>
      <c r="C1874" s="97" t="s">
        <v>158</v>
      </c>
      <c r="D1874" s="99">
        <v>0.80773100558428002</v>
      </c>
      <c r="E1874" s="99">
        <v>0.84548298551959999</v>
      </c>
      <c r="F1874" s="99">
        <v>0.95837350983320002</v>
      </c>
    </row>
    <row r="1875" spans="1:6" hidden="1" x14ac:dyDescent="0.2">
      <c r="A1875" s="100" t="s">
        <v>175</v>
      </c>
      <c r="B1875" s="100" t="s">
        <v>8</v>
      </c>
      <c r="C1875" s="100" t="s">
        <v>153</v>
      </c>
      <c r="D1875" s="101">
        <v>174065</v>
      </c>
      <c r="E1875" s="101">
        <v>85098</v>
      </c>
      <c r="F1875" s="101">
        <v>88967</v>
      </c>
    </row>
    <row r="1876" spans="1:6" hidden="1" x14ac:dyDescent="0.2">
      <c r="A1876" s="102" t="s">
        <v>175</v>
      </c>
      <c r="B1876" s="102" t="s">
        <v>8</v>
      </c>
      <c r="C1876" s="102" t="s">
        <v>154</v>
      </c>
      <c r="D1876" s="103">
        <v>3618.1050191118802</v>
      </c>
      <c r="E1876" s="103">
        <v>1891.54997669966</v>
      </c>
      <c r="F1876" s="103">
        <v>2056.6707718784301</v>
      </c>
    </row>
    <row r="1877" spans="1:6" hidden="1" x14ac:dyDescent="0.2">
      <c r="A1877" s="102" t="s">
        <v>175</v>
      </c>
      <c r="B1877" s="102" t="s">
        <v>8</v>
      </c>
      <c r="C1877" s="102" t="s">
        <v>155</v>
      </c>
      <c r="D1877" s="103">
        <v>168112.32923303</v>
      </c>
      <c r="E1877" s="103">
        <v>81985.936035276798</v>
      </c>
      <c r="F1877" s="103">
        <v>85583.271800743096</v>
      </c>
    </row>
    <row r="1878" spans="1:6" hidden="1" x14ac:dyDescent="0.2">
      <c r="A1878" s="102" t="s">
        <v>175</v>
      </c>
      <c r="B1878" s="102" t="s">
        <v>8</v>
      </c>
      <c r="C1878" s="102" t="s">
        <v>156</v>
      </c>
      <c r="D1878" s="103">
        <v>180017.67076696901</v>
      </c>
      <c r="E1878" s="103">
        <v>88210.0639647231</v>
      </c>
      <c r="F1878" s="103">
        <v>92350.728199256802</v>
      </c>
    </row>
    <row r="1879" spans="1:6" hidden="1" x14ac:dyDescent="0.2">
      <c r="A1879" s="102" t="s">
        <v>175</v>
      </c>
      <c r="B1879" s="102" t="s">
        <v>8</v>
      </c>
      <c r="C1879" s="102" t="s">
        <v>157</v>
      </c>
      <c r="D1879" s="104">
        <v>2.0785942142945899</v>
      </c>
      <c r="E1879" s="104">
        <v>2.2227901674536001</v>
      </c>
      <c r="F1879" s="104">
        <v>2.3117231916086101</v>
      </c>
    </row>
    <row r="1880" spans="1:6" hidden="1" x14ac:dyDescent="0.2">
      <c r="A1880" s="102" t="s">
        <v>175</v>
      </c>
      <c r="B1880" s="102" t="s">
        <v>8</v>
      </c>
      <c r="C1880" s="102" t="s">
        <v>158</v>
      </c>
      <c r="D1880" s="104">
        <v>0.90784275819202997</v>
      </c>
      <c r="E1880" s="104">
        <v>0.94541509318544004</v>
      </c>
      <c r="F1880" s="104">
        <v>1.1069787894607801</v>
      </c>
    </row>
    <row r="1881" spans="1:6" hidden="1" x14ac:dyDescent="0.2">
      <c r="A1881" s="95" t="s">
        <v>175</v>
      </c>
      <c r="B1881" s="95" t="s">
        <v>9</v>
      </c>
      <c r="C1881" s="95" t="s">
        <v>153</v>
      </c>
      <c r="D1881" s="96">
        <v>146791</v>
      </c>
      <c r="E1881" s="96">
        <v>69828</v>
      </c>
      <c r="F1881" s="96">
        <v>76963</v>
      </c>
    </row>
    <row r="1882" spans="1:6" hidden="1" x14ac:dyDescent="0.2">
      <c r="A1882" s="97" t="s">
        <v>175</v>
      </c>
      <c r="B1882" s="97" t="s">
        <v>9</v>
      </c>
      <c r="C1882" s="97" t="s">
        <v>154</v>
      </c>
      <c r="D1882" s="98">
        <v>3260.74274099581</v>
      </c>
      <c r="E1882" s="98">
        <v>1666.66289860754</v>
      </c>
      <c r="F1882" s="98">
        <v>1814.24401274453</v>
      </c>
    </row>
    <row r="1883" spans="1:6" hidden="1" x14ac:dyDescent="0.2">
      <c r="A1883" s="97" t="s">
        <v>175</v>
      </c>
      <c r="B1883" s="97" t="s">
        <v>9</v>
      </c>
      <c r="C1883" s="97" t="s">
        <v>155</v>
      </c>
      <c r="D1883" s="98">
        <v>141426.277889833</v>
      </c>
      <c r="E1883" s="98">
        <v>67085.930473955901</v>
      </c>
      <c r="F1883" s="98">
        <v>73978.123319592007</v>
      </c>
    </row>
    <row r="1884" spans="1:6" hidden="1" x14ac:dyDescent="0.2">
      <c r="A1884" s="97" t="s">
        <v>175</v>
      </c>
      <c r="B1884" s="97" t="s">
        <v>9</v>
      </c>
      <c r="C1884" s="97" t="s">
        <v>156</v>
      </c>
      <c r="D1884" s="98">
        <v>152155.72211016601</v>
      </c>
      <c r="E1884" s="98">
        <v>72570.069526044099</v>
      </c>
      <c r="F1884" s="98">
        <v>79947.876680407906</v>
      </c>
    </row>
    <row r="1885" spans="1:6" hidden="1" x14ac:dyDescent="0.2">
      <c r="A1885" s="97" t="s">
        <v>175</v>
      </c>
      <c r="B1885" s="97" t="s">
        <v>9</v>
      </c>
      <c r="C1885" s="97" t="s">
        <v>157</v>
      </c>
      <c r="D1885" s="99">
        <v>2.2213505875672301</v>
      </c>
      <c r="E1885" s="99">
        <v>2.3868117354177998</v>
      </c>
      <c r="F1885" s="99">
        <v>2.3572937810955099</v>
      </c>
    </row>
    <row r="1886" spans="1:6" hidden="1" x14ac:dyDescent="0.2">
      <c r="A1886" s="97" t="s">
        <v>175</v>
      </c>
      <c r="B1886" s="97" t="s">
        <v>9</v>
      </c>
      <c r="C1886" s="97" t="s">
        <v>158</v>
      </c>
      <c r="D1886" s="99">
        <v>1.0998729587498499</v>
      </c>
      <c r="E1886" s="99">
        <v>1.18270753390327</v>
      </c>
      <c r="F1886" s="99">
        <v>1.17965727227836</v>
      </c>
    </row>
    <row r="1887" spans="1:6" hidden="1" x14ac:dyDescent="0.2">
      <c r="A1887" s="100" t="s">
        <v>175</v>
      </c>
      <c r="B1887" s="100" t="s">
        <v>10</v>
      </c>
      <c r="C1887" s="100" t="s">
        <v>153</v>
      </c>
      <c r="D1887" s="101">
        <v>135657</v>
      </c>
      <c r="E1887" s="101">
        <v>63366</v>
      </c>
      <c r="F1887" s="101">
        <v>72291</v>
      </c>
    </row>
    <row r="1888" spans="1:6" hidden="1" x14ac:dyDescent="0.2">
      <c r="A1888" s="102" t="s">
        <v>175</v>
      </c>
      <c r="B1888" s="102" t="s">
        <v>10</v>
      </c>
      <c r="C1888" s="102" t="s">
        <v>154</v>
      </c>
      <c r="D1888" s="103">
        <v>2927.0558185401401</v>
      </c>
      <c r="E1888" s="103">
        <v>1462.07599685473</v>
      </c>
      <c r="F1888" s="103">
        <v>1662.97426485545</v>
      </c>
    </row>
    <row r="1889" spans="1:6" hidden="1" x14ac:dyDescent="0.2">
      <c r="A1889" s="102" t="s">
        <v>175</v>
      </c>
      <c r="B1889" s="102" t="s">
        <v>10</v>
      </c>
      <c r="C1889" s="102" t="s">
        <v>155</v>
      </c>
      <c r="D1889" s="103">
        <v>130841.27477580799</v>
      </c>
      <c r="E1889" s="103">
        <v>60960.526140177797</v>
      </c>
      <c r="F1889" s="103">
        <v>69554.999181798805</v>
      </c>
    </row>
    <row r="1890" spans="1:6" hidden="1" x14ac:dyDescent="0.2">
      <c r="A1890" s="102" t="s">
        <v>175</v>
      </c>
      <c r="B1890" s="102" t="s">
        <v>10</v>
      </c>
      <c r="C1890" s="102" t="s">
        <v>156</v>
      </c>
      <c r="D1890" s="103">
        <v>140472.725224191</v>
      </c>
      <c r="E1890" s="103">
        <v>65771.473859822203</v>
      </c>
      <c r="F1890" s="103">
        <v>75027.000818201093</v>
      </c>
    </row>
    <row r="1891" spans="1:6" hidden="1" x14ac:dyDescent="0.2">
      <c r="A1891" s="102" t="s">
        <v>175</v>
      </c>
      <c r="B1891" s="102" t="s">
        <v>10</v>
      </c>
      <c r="C1891" s="102" t="s">
        <v>157</v>
      </c>
      <c r="D1891" s="104">
        <v>2.1576887433307101</v>
      </c>
      <c r="E1891" s="104">
        <v>2.3073509403382499</v>
      </c>
      <c r="F1891" s="104">
        <v>2.30038907312868</v>
      </c>
    </row>
    <row r="1892" spans="1:6" hidden="1" x14ac:dyDescent="0.2">
      <c r="A1892" s="102" t="s">
        <v>175</v>
      </c>
      <c r="B1892" s="102" t="s">
        <v>10</v>
      </c>
      <c r="C1892" s="102" t="s">
        <v>158</v>
      </c>
      <c r="D1892" s="104">
        <v>1.0172451104185001</v>
      </c>
      <c r="E1892" s="104">
        <v>1.0740113459792</v>
      </c>
      <c r="F1892" s="104">
        <v>1.1087623746944</v>
      </c>
    </row>
    <row r="1893" spans="1:6" hidden="1" x14ac:dyDescent="0.2">
      <c r="A1893" s="95" t="s">
        <v>175</v>
      </c>
      <c r="B1893" s="95" t="s">
        <v>11</v>
      </c>
      <c r="C1893" s="95" t="s">
        <v>153</v>
      </c>
      <c r="D1893" s="96">
        <v>134020</v>
      </c>
      <c r="E1893" s="96">
        <v>61394</v>
      </c>
      <c r="F1893" s="96">
        <v>72626</v>
      </c>
    </row>
    <row r="1894" spans="1:6" hidden="1" x14ac:dyDescent="0.2">
      <c r="A1894" s="97" t="s">
        <v>175</v>
      </c>
      <c r="B1894" s="97" t="s">
        <v>11</v>
      </c>
      <c r="C1894" s="97" t="s">
        <v>154</v>
      </c>
      <c r="D1894" s="98">
        <v>3020.6673129313199</v>
      </c>
      <c r="E1894" s="98">
        <v>1505.5195017983999</v>
      </c>
      <c r="F1894" s="98">
        <v>1805.2616892409201</v>
      </c>
    </row>
    <row r="1895" spans="1:6" hidden="1" x14ac:dyDescent="0.2">
      <c r="A1895" s="97" t="s">
        <v>175</v>
      </c>
      <c r="B1895" s="97" t="s">
        <v>11</v>
      </c>
      <c r="C1895" s="97" t="s">
        <v>155</v>
      </c>
      <c r="D1895" s="98">
        <v>129050.260891973</v>
      </c>
      <c r="E1895" s="98">
        <v>58917.050911977698</v>
      </c>
      <c r="F1895" s="98">
        <v>69655.901446334305</v>
      </c>
    </row>
    <row r="1896" spans="1:6" hidden="1" x14ac:dyDescent="0.2">
      <c r="A1896" s="97" t="s">
        <v>175</v>
      </c>
      <c r="B1896" s="97" t="s">
        <v>11</v>
      </c>
      <c r="C1896" s="97" t="s">
        <v>156</v>
      </c>
      <c r="D1896" s="98">
        <v>138989.739108026</v>
      </c>
      <c r="E1896" s="98">
        <v>63870.9490880222</v>
      </c>
      <c r="F1896" s="98">
        <v>75596.098553665593</v>
      </c>
    </row>
    <row r="1897" spans="1:6" hidden="1" x14ac:dyDescent="0.2">
      <c r="A1897" s="97" t="s">
        <v>175</v>
      </c>
      <c r="B1897" s="97" t="s">
        <v>11</v>
      </c>
      <c r="C1897" s="97" t="s">
        <v>157</v>
      </c>
      <c r="D1897" s="99">
        <v>2.25389293607769</v>
      </c>
      <c r="E1897" s="99">
        <v>2.4522257904655298</v>
      </c>
      <c r="F1897" s="99">
        <v>2.4856961546015501</v>
      </c>
    </row>
    <row r="1898" spans="1:6" hidden="1" x14ac:dyDescent="0.2">
      <c r="A1898" s="97" t="s">
        <v>175</v>
      </c>
      <c r="B1898" s="97" t="s">
        <v>11</v>
      </c>
      <c r="C1898" s="97" t="s">
        <v>158</v>
      </c>
      <c r="D1898" s="99">
        <v>1.14291410905713</v>
      </c>
      <c r="E1898" s="99">
        <v>1.22235944850003</v>
      </c>
      <c r="F1898" s="99">
        <v>1.33593967296633</v>
      </c>
    </row>
    <row r="1899" spans="1:6" hidden="1" x14ac:dyDescent="0.2">
      <c r="A1899" s="100" t="s">
        <v>175</v>
      </c>
      <c r="B1899" s="100" t="s">
        <v>12</v>
      </c>
      <c r="C1899" s="100" t="s">
        <v>153</v>
      </c>
      <c r="D1899" s="101">
        <v>128392</v>
      </c>
      <c r="E1899" s="101">
        <v>59546</v>
      </c>
      <c r="F1899" s="101">
        <v>68846</v>
      </c>
    </row>
    <row r="1900" spans="1:6" hidden="1" x14ac:dyDescent="0.2">
      <c r="A1900" s="102" t="s">
        <v>175</v>
      </c>
      <c r="B1900" s="102" t="s">
        <v>12</v>
      </c>
      <c r="C1900" s="102" t="s">
        <v>154</v>
      </c>
      <c r="D1900" s="103">
        <v>2676.61019072515</v>
      </c>
      <c r="E1900" s="103">
        <v>1386.1232384136799</v>
      </c>
      <c r="F1900" s="103">
        <v>1549.6286870906299</v>
      </c>
    </row>
    <row r="1901" spans="1:6" hidden="1" x14ac:dyDescent="0.2">
      <c r="A1901" s="102" t="s">
        <v>175</v>
      </c>
      <c r="B1901" s="102" t="s">
        <v>12</v>
      </c>
      <c r="C1901" s="102" t="s">
        <v>155</v>
      </c>
      <c r="D1901" s="103">
        <v>123988.31930175</v>
      </c>
      <c r="E1901" s="103">
        <v>57265.487069297997</v>
      </c>
      <c r="F1901" s="103">
        <v>66296.480476222801</v>
      </c>
    </row>
    <row r="1902" spans="1:6" hidden="1" x14ac:dyDescent="0.2">
      <c r="A1902" s="102" t="s">
        <v>175</v>
      </c>
      <c r="B1902" s="102" t="s">
        <v>12</v>
      </c>
      <c r="C1902" s="102" t="s">
        <v>156</v>
      </c>
      <c r="D1902" s="103">
        <v>132795.68069824899</v>
      </c>
      <c r="E1902" s="103">
        <v>61826.512930701901</v>
      </c>
      <c r="F1902" s="103">
        <v>71395.519523777097</v>
      </c>
    </row>
    <row r="1903" spans="1:6" hidden="1" x14ac:dyDescent="0.2">
      <c r="A1903" s="102" t="s">
        <v>175</v>
      </c>
      <c r="B1903" s="102" t="s">
        <v>12</v>
      </c>
      <c r="C1903" s="102" t="s">
        <v>157</v>
      </c>
      <c r="D1903" s="104">
        <v>2.08471726488033</v>
      </c>
      <c r="E1903" s="104">
        <v>2.3278192295262201</v>
      </c>
      <c r="F1903" s="104">
        <v>2.2508623407178798</v>
      </c>
    </row>
    <row r="1904" spans="1:6" hidden="1" x14ac:dyDescent="0.2">
      <c r="A1904" s="102" t="s">
        <v>175</v>
      </c>
      <c r="B1904" s="102" t="s">
        <v>12</v>
      </c>
      <c r="C1904" s="102" t="s">
        <v>158</v>
      </c>
      <c r="D1904" s="104">
        <v>0.95356813399642004</v>
      </c>
      <c r="E1904" s="104">
        <v>1.0833767255296001</v>
      </c>
      <c r="F1904" s="104">
        <v>1.0708630692896099</v>
      </c>
    </row>
    <row r="1905" spans="1:6" hidden="1" x14ac:dyDescent="0.2">
      <c r="A1905" s="95" t="s">
        <v>175</v>
      </c>
      <c r="B1905" s="95" t="s">
        <v>13</v>
      </c>
      <c r="C1905" s="95" t="s">
        <v>153</v>
      </c>
      <c r="D1905" s="96">
        <v>110296</v>
      </c>
      <c r="E1905" s="96">
        <v>50600</v>
      </c>
      <c r="F1905" s="96">
        <v>59696</v>
      </c>
    </row>
    <row r="1906" spans="1:6" hidden="1" x14ac:dyDescent="0.2">
      <c r="A1906" s="97" t="s">
        <v>175</v>
      </c>
      <c r="B1906" s="97" t="s">
        <v>13</v>
      </c>
      <c r="C1906" s="97" t="s">
        <v>154</v>
      </c>
      <c r="D1906" s="98">
        <v>2473.2817274879299</v>
      </c>
      <c r="E1906" s="98">
        <v>1234.18283939568</v>
      </c>
      <c r="F1906" s="98">
        <v>1488.4961467083201</v>
      </c>
    </row>
    <row r="1907" spans="1:6" hidden="1" x14ac:dyDescent="0.2">
      <c r="A1907" s="97" t="s">
        <v>175</v>
      </c>
      <c r="B1907" s="97" t="s">
        <v>13</v>
      </c>
      <c r="C1907" s="97" t="s">
        <v>155</v>
      </c>
      <c r="D1907" s="98">
        <v>106226.844527749</v>
      </c>
      <c r="E1907" s="98">
        <v>48569.4663172133</v>
      </c>
      <c r="F1907" s="98">
        <v>57247.058509232404</v>
      </c>
    </row>
    <row r="1908" spans="1:6" hidden="1" x14ac:dyDescent="0.2">
      <c r="A1908" s="97" t="s">
        <v>175</v>
      </c>
      <c r="B1908" s="97" t="s">
        <v>13</v>
      </c>
      <c r="C1908" s="97" t="s">
        <v>156</v>
      </c>
      <c r="D1908" s="98">
        <v>114365.15547225</v>
      </c>
      <c r="E1908" s="98">
        <v>52630.533682786598</v>
      </c>
      <c r="F1908" s="98">
        <v>62144.941490767502</v>
      </c>
    </row>
    <row r="1909" spans="1:6" hidden="1" x14ac:dyDescent="0.2">
      <c r="A1909" s="97" t="s">
        <v>175</v>
      </c>
      <c r="B1909" s="97" t="s">
        <v>13</v>
      </c>
      <c r="C1909" s="97" t="s">
        <v>157</v>
      </c>
      <c r="D1909" s="99">
        <v>2.2424038292303701</v>
      </c>
      <c r="E1909" s="99">
        <v>2.4390965205448301</v>
      </c>
      <c r="F1909" s="99">
        <v>2.4934604440972898</v>
      </c>
    </row>
    <row r="1910" spans="1:6" hidden="1" x14ac:dyDescent="0.2">
      <c r="A1910" s="97" t="s">
        <v>175</v>
      </c>
      <c r="B1910" s="97" t="s">
        <v>13</v>
      </c>
      <c r="C1910" s="97" t="s">
        <v>158</v>
      </c>
      <c r="D1910" s="99">
        <v>1.1005269847077701</v>
      </c>
      <c r="E1910" s="99">
        <v>1.1648977298194501</v>
      </c>
      <c r="F1910" s="99">
        <v>1.2880174464516101</v>
      </c>
    </row>
    <row r="1911" spans="1:6" hidden="1" x14ac:dyDescent="0.2">
      <c r="A1911" s="100" t="s">
        <v>175</v>
      </c>
      <c r="B1911" s="100" t="s">
        <v>14</v>
      </c>
      <c r="C1911" s="100" t="s">
        <v>153</v>
      </c>
      <c r="D1911" s="101">
        <v>102794</v>
      </c>
      <c r="E1911" s="101">
        <v>48290</v>
      </c>
      <c r="F1911" s="101">
        <v>54504</v>
      </c>
    </row>
    <row r="1912" spans="1:6" hidden="1" x14ac:dyDescent="0.2">
      <c r="A1912" s="102" t="s">
        <v>175</v>
      </c>
      <c r="B1912" s="102" t="s">
        <v>14</v>
      </c>
      <c r="C1912" s="102" t="s">
        <v>154</v>
      </c>
      <c r="D1912" s="103">
        <v>2143.7890087580499</v>
      </c>
      <c r="E1912" s="103">
        <v>1159.0334464034299</v>
      </c>
      <c r="F1912" s="103">
        <v>1254.8994597441299</v>
      </c>
    </row>
    <row r="1913" spans="1:6" hidden="1" x14ac:dyDescent="0.2">
      <c r="A1913" s="102" t="s">
        <v>175</v>
      </c>
      <c r="B1913" s="102" t="s">
        <v>14</v>
      </c>
      <c r="C1913" s="102" t="s">
        <v>155</v>
      </c>
      <c r="D1913" s="103">
        <v>99266.940919189394</v>
      </c>
      <c r="E1913" s="103">
        <v>46383.105512996</v>
      </c>
      <c r="F1913" s="103">
        <v>52439.382392151099</v>
      </c>
    </row>
    <row r="1914" spans="1:6" hidden="1" x14ac:dyDescent="0.2">
      <c r="A1914" s="102" t="s">
        <v>175</v>
      </c>
      <c r="B1914" s="102" t="s">
        <v>14</v>
      </c>
      <c r="C1914" s="102" t="s">
        <v>156</v>
      </c>
      <c r="D1914" s="103">
        <v>106321.05908081</v>
      </c>
      <c r="E1914" s="103">
        <v>50196.894487003898</v>
      </c>
      <c r="F1914" s="103">
        <v>56568.617607848901</v>
      </c>
    </row>
    <row r="1915" spans="1:6" hidden="1" x14ac:dyDescent="0.2">
      <c r="A1915" s="102" t="s">
        <v>175</v>
      </c>
      <c r="B1915" s="102" t="s">
        <v>14</v>
      </c>
      <c r="C1915" s="102" t="s">
        <v>157</v>
      </c>
      <c r="D1915" s="104">
        <v>2.08551959137503</v>
      </c>
      <c r="E1915" s="104">
        <v>2.4001520944365899</v>
      </c>
      <c r="F1915" s="104">
        <v>2.3023988326437301</v>
      </c>
    </row>
    <row r="1916" spans="1:6" hidden="1" x14ac:dyDescent="0.2">
      <c r="A1916" s="102" t="s">
        <v>175</v>
      </c>
      <c r="B1916" s="102" t="s">
        <v>14</v>
      </c>
      <c r="C1916" s="102" t="s">
        <v>158</v>
      </c>
      <c r="D1916" s="104">
        <v>1.0039424780007999</v>
      </c>
      <c r="E1916" s="104">
        <v>1.2262639793535299</v>
      </c>
      <c r="F1916" s="104">
        <v>1.11081415822526</v>
      </c>
    </row>
    <row r="1917" spans="1:6" hidden="1" x14ac:dyDescent="0.2">
      <c r="A1917" s="95" t="s">
        <v>175</v>
      </c>
      <c r="B1917" s="95" t="s">
        <v>15</v>
      </c>
      <c r="C1917" s="95" t="s">
        <v>153</v>
      </c>
      <c r="D1917" s="96">
        <v>84406</v>
      </c>
      <c r="E1917" s="96">
        <v>38832</v>
      </c>
      <c r="F1917" s="96">
        <v>45574</v>
      </c>
    </row>
    <row r="1918" spans="1:6" hidden="1" x14ac:dyDescent="0.2">
      <c r="A1918" s="97" t="s">
        <v>175</v>
      </c>
      <c r="B1918" s="97" t="s">
        <v>15</v>
      </c>
      <c r="C1918" s="97" t="s">
        <v>154</v>
      </c>
      <c r="D1918" s="98">
        <v>1938.61610649473</v>
      </c>
      <c r="E1918" s="98">
        <v>1060.30760583183</v>
      </c>
      <c r="F1918" s="98">
        <v>1153.21588004962</v>
      </c>
    </row>
    <row r="1919" spans="1:6" hidden="1" x14ac:dyDescent="0.2">
      <c r="A1919" s="97" t="s">
        <v>175</v>
      </c>
      <c r="B1919" s="97" t="s">
        <v>15</v>
      </c>
      <c r="C1919" s="97" t="s">
        <v>155</v>
      </c>
      <c r="D1919" s="98">
        <v>81216.5007000763</v>
      </c>
      <c r="E1919" s="98">
        <v>37087.533751538198</v>
      </c>
      <c r="F1919" s="98">
        <v>43676.676837483901</v>
      </c>
    </row>
    <row r="1920" spans="1:6" hidden="1" x14ac:dyDescent="0.2">
      <c r="A1920" s="97" t="s">
        <v>175</v>
      </c>
      <c r="B1920" s="97" t="s">
        <v>15</v>
      </c>
      <c r="C1920" s="97" t="s">
        <v>156</v>
      </c>
      <c r="D1920" s="98">
        <v>87595.499299923598</v>
      </c>
      <c r="E1920" s="98">
        <v>40576.4662484617</v>
      </c>
      <c r="F1920" s="98">
        <v>47471.323162515997</v>
      </c>
    </row>
    <row r="1921" spans="1:6" hidden="1" x14ac:dyDescent="0.2">
      <c r="A1921" s="97" t="s">
        <v>175</v>
      </c>
      <c r="B1921" s="97" t="s">
        <v>15</v>
      </c>
      <c r="C1921" s="97" t="s">
        <v>157</v>
      </c>
      <c r="D1921" s="99">
        <v>2.29677523694374</v>
      </c>
      <c r="E1921" s="99">
        <v>2.7304996029868098</v>
      </c>
      <c r="F1921" s="99">
        <v>2.5304249792636702</v>
      </c>
    </row>
    <row r="1922" spans="1:6" hidden="1" x14ac:dyDescent="0.2">
      <c r="A1922" s="97" t="s">
        <v>175</v>
      </c>
      <c r="B1922" s="97" t="s">
        <v>15</v>
      </c>
      <c r="C1922" s="97" t="s">
        <v>158</v>
      </c>
      <c r="D1922" s="99">
        <v>1.1488499479730001</v>
      </c>
      <c r="E1922" s="99">
        <v>1.4314463676413001</v>
      </c>
      <c r="F1922" s="99">
        <v>1.2772788360482099</v>
      </c>
    </row>
    <row r="1923" spans="1:6" hidden="1" x14ac:dyDescent="0.2">
      <c r="A1923" s="100" t="s">
        <v>175</v>
      </c>
      <c r="B1923" s="100" t="s">
        <v>16</v>
      </c>
      <c r="C1923" s="100" t="s">
        <v>153</v>
      </c>
      <c r="D1923" s="101">
        <v>68085</v>
      </c>
      <c r="E1923" s="101">
        <v>31807</v>
      </c>
      <c r="F1923" s="101">
        <v>36278</v>
      </c>
    </row>
    <row r="1924" spans="1:6" hidden="1" x14ac:dyDescent="0.2">
      <c r="A1924" s="102" t="s">
        <v>175</v>
      </c>
      <c r="B1924" s="102" t="s">
        <v>16</v>
      </c>
      <c r="C1924" s="102" t="s">
        <v>154</v>
      </c>
      <c r="D1924" s="103">
        <v>1523.65375402528</v>
      </c>
      <c r="E1924" s="103">
        <v>805.07739760893401</v>
      </c>
      <c r="F1924" s="103">
        <v>976.09023113109902</v>
      </c>
    </row>
    <row r="1925" spans="1:6" hidden="1" x14ac:dyDescent="0.2">
      <c r="A1925" s="102" t="s">
        <v>175</v>
      </c>
      <c r="B1925" s="102" t="s">
        <v>16</v>
      </c>
      <c r="C1925" s="102" t="s">
        <v>155</v>
      </c>
      <c r="D1925" s="103">
        <v>65578.215616279704</v>
      </c>
      <c r="E1925" s="103">
        <v>30482.450086556299</v>
      </c>
      <c r="F1925" s="103">
        <v>34672.092002833801</v>
      </c>
    </row>
    <row r="1926" spans="1:6" hidden="1" x14ac:dyDescent="0.2">
      <c r="A1926" s="102" t="s">
        <v>175</v>
      </c>
      <c r="B1926" s="102" t="s">
        <v>16</v>
      </c>
      <c r="C1926" s="102" t="s">
        <v>156</v>
      </c>
      <c r="D1926" s="103">
        <v>70591.784383720296</v>
      </c>
      <c r="E1926" s="103">
        <v>33131.549913443603</v>
      </c>
      <c r="F1926" s="103">
        <v>37883.907997166098</v>
      </c>
    </row>
    <row r="1927" spans="1:6" hidden="1" x14ac:dyDescent="0.2">
      <c r="A1927" s="102" t="s">
        <v>175</v>
      </c>
      <c r="B1927" s="102" t="s">
        <v>16</v>
      </c>
      <c r="C1927" s="102" t="s">
        <v>157</v>
      </c>
      <c r="D1927" s="104">
        <v>2.2378699478964301</v>
      </c>
      <c r="E1927" s="104">
        <v>2.5311327619987201</v>
      </c>
      <c r="F1927" s="104">
        <v>2.6905844620185699</v>
      </c>
    </row>
    <row r="1928" spans="1:6" hidden="1" x14ac:dyDescent="0.2">
      <c r="A1928" s="102" t="s">
        <v>175</v>
      </c>
      <c r="B1928" s="102" t="s">
        <v>16</v>
      </c>
      <c r="C1928" s="102" t="s">
        <v>158</v>
      </c>
      <c r="D1928" s="104">
        <v>1.04295820773687</v>
      </c>
      <c r="E1928" s="104">
        <v>1.1136196046537501</v>
      </c>
      <c r="F1928" s="104">
        <v>1.3809132049911801</v>
      </c>
    </row>
    <row r="1929" spans="1:6" hidden="1" x14ac:dyDescent="0.2">
      <c r="A1929" s="95" t="s">
        <v>175</v>
      </c>
      <c r="B1929" s="95" t="s">
        <v>17</v>
      </c>
      <c r="C1929" s="95" t="s">
        <v>153</v>
      </c>
      <c r="D1929" s="96">
        <v>51760</v>
      </c>
      <c r="E1929" s="96">
        <v>24165</v>
      </c>
      <c r="F1929" s="96">
        <v>27595</v>
      </c>
    </row>
    <row r="1930" spans="1:6" hidden="1" x14ac:dyDescent="0.2">
      <c r="A1930" s="97" t="s">
        <v>175</v>
      </c>
      <c r="B1930" s="97" t="s">
        <v>17</v>
      </c>
      <c r="C1930" s="97" t="s">
        <v>154</v>
      </c>
      <c r="D1930" s="98">
        <v>1300.33850629894</v>
      </c>
      <c r="E1930" s="98">
        <v>667.55345929241605</v>
      </c>
      <c r="F1930" s="98">
        <v>934.56217622071097</v>
      </c>
    </row>
    <row r="1931" spans="1:6" hidden="1" x14ac:dyDescent="0.2">
      <c r="A1931" s="97" t="s">
        <v>175</v>
      </c>
      <c r="B1931" s="97" t="s">
        <v>17</v>
      </c>
      <c r="C1931" s="97" t="s">
        <v>155</v>
      </c>
      <c r="D1931" s="98">
        <v>49620.624008224397</v>
      </c>
      <c r="E1931" s="98">
        <v>23066.710718310002</v>
      </c>
      <c r="F1931" s="98">
        <v>26057.415845610201</v>
      </c>
    </row>
    <row r="1932" spans="1:6" hidden="1" x14ac:dyDescent="0.2">
      <c r="A1932" s="97" t="s">
        <v>175</v>
      </c>
      <c r="B1932" s="97" t="s">
        <v>17</v>
      </c>
      <c r="C1932" s="97" t="s">
        <v>156</v>
      </c>
      <c r="D1932" s="98">
        <v>53899.375991775501</v>
      </c>
      <c r="E1932" s="98">
        <v>25263.289281689998</v>
      </c>
      <c r="F1932" s="98">
        <v>29132.5841543897</v>
      </c>
    </row>
    <row r="1933" spans="1:6" hidden="1" x14ac:dyDescent="0.2">
      <c r="A1933" s="97" t="s">
        <v>175</v>
      </c>
      <c r="B1933" s="97" t="s">
        <v>17</v>
      </c>
      <c r="C1933" s="97" t="s">
        <v>157</v>
      </c>
      <c r="D1933" s="99">
        <v>2.51224595498251</v>
      </c>
      <c r="E1933" s="99">
        <v>2.76248069229222</v>
      </c>
      <c r="F1933" s="99">
        <v>3.3867083755053802</v>
      </c>
    </row>
    <row r="1934" spans="1:6" hidden="1" x14ac:dyDescent="0.2">
      <c r="A1934" s="97" t="s">
        <v>175</v>
      </c>
      <c r="B1934" s="97" t="s">
        <v>17</v>
      </c>
      <c r="C1934" s="97" t="s">
        <v>158</v>
      </c>
      <c r="D1934" s="99">
        <v>1.2844137305397101</v>
      </c>
      <c r="E1934" s="99">
        <v>1.29086312207918</v>
      </c>
      <c r="F1934" s="99">
        <v>1.99224105875993</v>
      </c>
    </row>
    <row r="1935" spans="1:6" hidden="1" x14ac:dyDescent="0.2">
      <c r="A1935" s="100" t="s">
        <v>175</v>
      </c>
      <c r="B1935" s="100" t="s">
        <v>18</v>
      </c>
      <c r="C1935" s="100" t="s">
        <v>153</v>
      </c>
      <c r="D1935" s="101">
        <v>40022</v>
      </c>
      <c r="E1935" s="101">
        <v>18134</v>
      </c>
      <c r="F1935" s="101">
        <v>21888</v>
      </c>
    </row>
    <row r="1936" spans="1:6" hidden="1" x14ac:dyDescent="0.2">
      <c r="A1936" s="102" t="s">
        <v>175</v>
      </c>
      <c r="B1936" s="102" t="s">
        <v>18</v>
      </c>
      <c r="C1936" s="102" t="s">
        <v>154</v>
      </c>
      <c r="D1936" s="103">
        <v>1227.80080375445</v>
      </c>
      <c r="E1936" s="103">
        <v>615.32683819306703</v>
      </c>
      <c r="F1936" s="103">
        <v>823.59713830546798</v>
      </c>
    </row>
    <row r="1937" spans="1:6" hidden="1" x14ac:dyDescent="0.2">
      <c r="A1937" s="102" t="s">
        <v>175</v>
      </c>
      <c r="B1937" s="102" t="s">
        <v>18</v>
      </c>
      <c r="C1937" s="102" t="s">
        <v>155</v>
      </c>
      <c r="D1937" s="103">
        <v>38001.966332219701</v>
      </c>
      <c r="E1937" s="103">
        <v>17121.6363282725</v>
      </c>
      <c r="F1937" s="103">
        <v>20532.980567713199</v>
      </c>
    </row>
    <row r="1938" spans="1:6" hidden="1" x14ac:dyDescent="0.2">
      <c r="A1938" s="102" t="s">
        <v>175</v>
      </c>
      <c r="B1938" s="102" t="s">
        <v>18</v>
      </c>
      <c r="C1938" s="102" t="s">
        <v>156</v>
      </c>
      <c r="D1938" s="103">
        <v>42042.033667780299</v>
      </c>
      <c r="E1938" s="103">
        <v>19146.363671727398</v>
      </c>
      <c r="F1938" s="103">
        <v>23243.019432286699</v>
      </c>
    </row>
    <row r="1939" spans="1:6" hidden="1" x14ac:dyDescent="0.2">
      <c r="A1939" s="102" t="s">
        <v>175</v>
      </c>
      <c r="B1939" s="102" t="s">
        <v>18</v>
      </c>
      <c r="C1939" s="102" t="s">
        <v>157</v>
      </c>
      <c r="D1939" s="104">
        <v>3.0678147112949299</v>
      </c>
      <c r="E1939" s="104">
        <v>3.3932217833520801</v>
      </c>
      <c r="F1939" s="104">
        <v>3.7627793233985201</v>
      </c>
    </row>
    <row r="1940" spans="1:6" hidden="1" x14ac:dyDescent="0.2">
      <c r="A1940" s="102" t="s">
        <v>175</v>
      </c>
      <c r="B1940" s="102" t="s">
        <v>18</v>
      </c>
      <c r="C1940" s="102" t="s">
        <v>158</v>
      </c>
      <c r="D1940" s="104">
        <v>1.6827245242881901</v>
      </c>
      <c r="E1940" s="104">
        <v>1.6108510262293101</v>
      </c>
      <c r="F1940" s="104">
        <v>2.1980007114557498</v>
      </c>
    </row>
    <row r="1941" spans="1:6" hidden="1" x14ac:dyDescent="0.2">
      <c r="A1941" s="95" t="s">
        <v>175</v>
      </c>
      <c r="B1941" s="95" t="s">
        <v>19</v>
      </c>
      <c r="C1941" s="95" t="s">
        <v>153</v>
      </c>
      <c r="D1941" s="96">
        <v>65245</v>
      </c>
      <c r="E1941" s="96">
        <v>29021</v>
      </c>
      <c r="F1941" s="96">
        <v>36224</v>
      </c>
    </row>
    <row r="1942" spans="1:6" hidden="1" x14ac:dyDescent="0.2">
      <c r="A1942" s="97" t="s">
        <v>175</v>
      </c>
      <c r="B1942" s="97" t="s">
        <v>19</v>
      </c>
      <c r="C1942" s="97" t="s">
        <v>154</v>
      </c>
      <c r="D1942" s="98">
        <v>1650.13425833054</v>
      </c>
      <c r="E1942" s="98">
        <v>920.62136689630699</v>
      </c>
      <c r="F1942" s="98">
        <v>1017.51754172477</v>
      </c>
    </row>
    <row r="1943" spans="1:6" hidden="1" x14ac:dyDescent="0.2">
      <c r="A1943" s="97" t="s">
        <v>175</v>
      </c>
      <c r="B1943" s="97" t="s">
        <v>19</v>
      </c>
      <c r="C1943" s="97" t="s">
        <v>155</v>
      </c>
      <c r="D1943" s="98">
        <v>62530.1241439226</v>
      </c>
      <c r="E1943" s="98">
        <v>27506.351898514898</v>
      </c>
      <c r="F1943" s="98">
        <v>34549.9339091847</v>
      </c>
    </row>
    <row r="1944" spans="1:6" hidden="1" x14ac:dyDescent="0.2">
      <c r="A1944" s="97" t="s">
        <v>175</v>
      </c>
      <c r="B1944" s="97" t="s">
        <v>19</v>
      </c>
      <c r="C1944" s="97" t="s">
        <v>156</v>
      </c>
      <c r="D1944" s="98">
        <v>67959.8758560774</v>
      </c>
      <c r="E1944" s="98">
        <v>30535.648101485</v>
      </c>
      <c r="F1944" s="98">
        <v>37898.066090815199</v>
      </c>
    </row>
    <row r="1945" spans="1:6" hidden="1" x14ac:dyDescent="0.2">
      <c r="A1945" s="97" t="s">
        <v>175</v>
      </c>
      <c r="B1945" s="97" t="s">
        <v>19</v>
      </c>
      <c r="C1945" s="97" t="s">
        <v>157</v>
      </c>
      <c r="D1945" s="99">
        <v>2.5291351955407202</v>
      </c>
      <c r="E1945" s="99">
        <v>3.1722592842986299</v>
      </c>
      <c r="F1945" s="99">
        <v>2.8089596447790699</v>
      </c>
    </row>
    <row r="1946" spans="1:6" hidden="1" x14ac:dyDescent="0.2">
      <c r="A1946" s="97" t="s">
        <v>175</v>
      </c>
      <c r="B1946" s="97" t="s">
        <v>19</v>
      </c>
      <c r="C1946" s="97" t="s">
        <v>158</v>
      </c>
      <c r="D1946" s="99">
        <v>1.26256489472045</v>
      </c>
      <c r="E1946" s="99">
        <v>1.71179391774599</v>
      </c>
      <c r="F1946" s="99">
        <v>1.41716812656722</v>
      </c>
    </row>
    <row r="1947" spans="1:6" hidden="1" x14ac:dyDescent="0.2">
      <c r="A1947" s="100" t="s">
        <v>175</v>
      </c>
      <c r="B1947" s="100" t="s">
        <v>20</v>
      </c>
      <c r="C1947" s="100" t="s">
        <v>153</v>
      </c>
      <c r="D1947" s="101">
        <v>1421</v>
      </c>
      <c r="E1947" s="101">
        <v>650</v>
      </c>
      <c r="F1947" s="101">
        <v>771</v>
      </c>
    </row>
    <row r="1948" spans="1:6" hidden="1" x14ac:dyDescent="0.2">
      <c r="A1948" s="102" t="s">
        <v>175</v>
      </c>
      <c r="B1948" s="102" t="s">
        <v>20</v>
      </c>
      <c r="C1948" s="102" t="s">
        <v>154</v>
      </c>
      <c r="D1948" s="103">
        <v>169.56269175299499</v>
      </c>
      <c r="E1948" s="103">
        <v>93.411645794212504</v>
      </c>
      <c r="F1948" s="103">
        <v>98.1745452115982</v>
      </c>
    </row>
    <row r="1949" spans="1:6" hidden="1" x14ac:dyDescent="0.2">
      <c r="A1949" s="102" t="s">
        <v>175</v>
      </c>
      <c r="B1949" s="102" t="s">
        <v>20</v>
      </c>
      <c r="C1949" s="102" t="s">
        <v>155</v>
      </c>
      <c r="D1949" s="103">
        <v>1142.02775540371</v>
      </c>
      <c r="E1949" s="103">
        <v>496.31491615734899</v>
      </c>
      <c r="F1949" s="103">
        <v>609.47877763231304</v>
      </c>
    </row>
    <row r="1950" spans="1:6" hidden="1" x14ac:dyDescent="0.2">
      <c r="A1950" s="102" t="s">
        <v>175</v>
      </c>
      <c r="B1950" s="102" t="s">
        <v>20</v>
      </c>
      <c r="C1950" s="102" t="s">
        <v>156</v>
      </c>
      <c r="D1950" s="103">
        <v>1699.97224459628</v>
      </c>
      <c r="E1950" s="103">
        <v>803.68508384264999</v>
      </c>
      <c r="F1950" s="103">
        <v>932.52122236768605</v>
      </c>
    </row>
    <row r="1951" spans="1:6" hidden="1" x14ac:dyDescent="0.2">
      <c r="A1951" s="102" t="s">
        <v>175</v>
      </c>
      <c r="B1951" s="102" t="s">
        <v>20</v>
      </c>
      <c r="C1951" s="102" t="s">
        <v>157</v>
      </c>
      <c r="D1951" s="104">
        <v>11.932631368965099</v>
      </c>
      <c r="E1951" s="104">
        <v>14.371022429878799</v>
      </c>
      <c r="F1951" s="104">
        <v>12.733404048196901</v>
      </c>
    </row>
    <row r="1952" spans="1:6" hidden="1" x14ac:dyDescent="0.2">
      <c r="A1952" s="102" t="s">
        <v>175</v>
      </c>
      <c r="B1952" s="102" t="s">
        <v>20</v>
      </c>
      <c r="C1952" s="102" t="s">
        <v>158</v>
      </c>
      <c r="D1952" s="104">
        <v>1.6557598603891801</v>
      </c>
      <c r="E1952" s="104">
        <v>1.69143581942823</v>
      </c>
      <c r="F1952" s="104">
        <v>1.5585356990165999</v>
      </c>
    </row>
    <row r="1953" spans="1:6" hidden="1" x14ac:dyDescent="0.2">
      <c r="A1953" s="95" t="s">
        <v>176</v>
      </c>
      <c r="B1953" s="95" t="s">
        <v>152</v>
      </c>
      <c r="C1953" s="95" t="s">
        <v>153</v>
      </c>
      <c r="D1953" s="96">
        <v>1181050</v>
      </c>
      <c r="E1953" s="96">
        <v>586000</v>
      </c>
      <c r="F1953" s="96">
        <v>595050</v>
      </c>
    </row>
    <row r="1954" spans="1:6" hidden="1" x14ac:dyDescent="0.2">
      <c r="A1954" s="97" t="s">
        <v>176</v>
      </c>
      <c r="B1954" s="97" t="s">
        <v>152</v>
      </c>
      <c r="C1954" s="97" t="s">
        <v>154</v>
      </c>
      <c r="D1954" s="98">
        <v>22790.135856995199</v>
      </c>
      <c r="E1954" s="98">
        <v>11020.3054789548</v>
      </c>
      <c r="F1954" s="98">
        <v>12071.7933306666</v>
      </c>
    </row>
    <row r="1955" spans="1:6" hidden="1" x14ac:dyDescent="0.2">
      <c r="A1955" s="97" t="s">
        <v>176</v>
      </c>
      <c r="B1955" s="97" t="s">
        <v>152</v>
      </c>
      <c r="C1955" s="97" t="s">
        <v>155</v>
      </c>
      <c r="D1955" s="98">
        <v>1143553.22412071</v>
      </c>
      <c r="E1955" s="98">
        <v>567868.21143767901</v>
      </c>
      <c r="F1955" s="98">
        <v>575188.19084618997</v>
      </c>
    </row>
    <row r="1956" spans="1:6" hidden="1" x14ac:dyDescent="0.2">
      <c r="A1956" s="97" t="s">
        <v>176</v>
      </c>
      <c r="B1956" s="97" t="s">
        <v>152</v>
      </c>
      <c r="C1956" s="97" t="s">
        <v>156</v>
      </c>
      <c r="D1956" s="98">
        <v>1218546.7758792799</v>
      </c>
      <c r="E1956" s="98">
        <v>604131.78856232006</v>
      </c>
      <c r="F1956" s="98">
        <v>614911.80915380898</v>
      </c>
    </row>
    <row r="1957" spans="1:6" hidden="1" x14ac:dyDescent="0.2">
      <c r="A1957" s="97" t="s">
        <v>176</v>
      </c>
      <c r="B1957" s="97" t="s">
        <v>152</v>
      </c>
      <c r="C1957" s="97" t="s">
        <v>157</v>
      </c>
      <c r="D1957" s="99">
        <v>1.92965038372593</v>
      </c>
      <c r="E1957" s="99">
        <v>1.88059820459979</v>
      </c>
      <c r="F1957" s="99">
        <v>2.0287023494944298</v>
      </c>
    </row>
    <row r="1958" spans="1:6" hidden="1" x14ac:dyDescent="0.2">
      <c r="A1958" s="97" t="s">
        <v>176</v>
      </c>
      <c r="B1958" s="97" t="s">
        <v>152</v>
      </c>
      <c r="C1958" s="97" t="s">
        <v>158</v>
      </c>
      <c r="D1958" s="99">
        <v>3.6689227178031398</v>
      </c>
      <c r="E1958" s="99">
        <v>1.45545196382148</v>
      </c>
      <c r="F1958" s="99">
        <v>1.6526036479939601</v>
      </c>
    </row>
    <row r="1959" spans="1:6" hidden="1" x14ac:dyDescent="0.2">
      <c r="A1959" s="100" t="s">
        <v>176</v>
      </c>
      <c r="B1959" s="100" t="s">
        <v>4</v>
      </c>
      <c r="C1959" s="100" t="s">
        <v>153</v>
      </c>
      <c r="D1959" s="101">
        <v>114799</v>
      </c>
      <c r="E1959" s="101">
        <v>58506</v>
      </c>
      <c r="F1959" s="101">
        <v>56293</v>
      </c>
    </row>
    <row r="1960" spans="1:6" hidden="1" x14ac:dyDescent="0.2">
      <c r="A1960" s="102" t="s">
        <v>176</v>
      </c>
      <c r="B1960" s="102" t="s">
        <v>4</v>
      </c>
      <c r="C1960" s="102" t="s">
        <v>154</v>
      </c>
      <c r="D1960" s="103">
        <v>2784.2773588015202</v>
      </c>
      <c r="E1960" s="103">
        <v>1582.3757006288999</v>
      </c>
      <c r="F1960" s="103">
        <v>1523.7194729586099</v>
      </c>
    </row>
    <row r="1961" spans="1:6" hidden="1" x14ac:dyDescent="0.2">
      <c r="A1961" s="102" t="s">
        <v>176</v>
      </c>
      <c r="B1961" s="102" t="s">
        <v>4</v>
      </c>
      <c r="C1961" s="102" t="s">
        <v>155</v>
      </c>
      <c r="D1961" s="103">
        <v>110218.00826024701</v>
      </c>
      <c r="E1961" s="103">
        <v>55902.505778832601</v>
      </c>
      <c r="F1961" s="103">
        <v>53786.013295798701</v>
      </c>
    </row>
    <row r="1962" spans="1:6" hidden="1" x14ac:dyDescent="0.2">
      <c r="A1962" s="102" t="s">
        <v>176</v>
      </c>
      <c r="B1962" s="102" t="s">
        <v>4</v>
      </c>
      <c r="C1962" s="102" t="s">
        <v>156</v>
      </c>
      <c r="D1962" s="103">
        <v>119379.99173975299</v>
      </c>
      <c r="E1962" s="103">
        <v>61109.494221167297</v>
      </c>
      <c r="F1962" s="103">
        <v>58799.986704201299</v>
      </c>
    </row>
    <row r="1963" spans="1:6" hidden="1" x14ac:dyDescent="0.2">
      <c r="A1963" s="102" t="s">
        <v>176</v>
      </c>
      <c r="B1963" s="102" t="s">
        <v>4</v>
      </c>
      <c r="C1963" s="102" t="s">
        <v>157</v>
      </c>
      <c r="D1963" s="104">
        <v>2.4253498364981598</v>
      </c>
      <c r="E1963" s="104">
        <v>2.7046383287678202</v>
      </c>
      <c r="F1963" s="104">
        <v>2.7067654467848801</v>
      </c>
    </row>
    <row r="1964" spans="1:6" hidden="1" x14ac:dyDescent="0.2">
      <c r="A1964" s="102" t="s">
        <v>176</v>
      </c>
      <c r="B1964" s="102" t="s">
        <v>4</v>
      </c>
      <c r="C1964" s="102" t="s">
        <v>158</v>
      </c>
      <c r="D1964" s="104">
        <v>1.1589821963332401</v>
      </c>
      <c r="E1964" s="104">
        <v>1.3337504949027399</v>
      </c>
      <c r="F1964" s="104">
        <v>1.2828735929183099</v>
      </c>
    </row>
    <row r="1965" spans="1:6" hidden="1" x14ac:dyDescent="0.2">
      <c r="A1965" s="95" t="s">
        <v>176</v>
      </c>
      <c r="B1965" s="95" t="s">
        <v>5</v>
      </c>
      <c r="C1965" s="95" t="s">
        <v>153</v>
      </c>
      <c r="D1965" s="96">
        <v>113899</v>
      </c>
      <c r="E1965" s="96">
        <v>58255</v>
      </c>
      <c r="F1965" s="96">
        <v>55644</v>
      </c>
    </row>
    <row r="1966" spans="1:6" hidden="1" x14ac:dyDescent="0.2">
      <c r="A1966" s="97" t="s">
        <v>176</v>
      </c>
      <c r="B1966" s="97" t="s">
        <v>5</v>
      </c>
      <c r="C1966" s="97" t="s">
        <v>154</v>
      </c>
      <c r="D1966" s="98">
        <v>2573.61480819183</v>
      </c>
      <c r="E1966" s="98">
        <v>1456.2330425734301</v>
      </c>
      <c r="F1966" s="98">
        <v>1466.01559280014</v>
      </c>
    </row>
    <row r="1967" spans="1:6" hidden="1" x14ac:dyDescent="0.2">
      <c r="A1967" s="97" t="s">
        <v>176</v>
      </c>
      <c r="B1967" s="97" t="s">
        <v>5</v>
      </c>
      <c r="C1967" s="97" t="s">
        <v>155</v>
      </c>
      <c r="D1967" s="98">
        <v>109664.612883226</v>
      </c>
      <c r="E1967" s="98">
        <v>55859.049209359</v>
      </c>
      <c r="F1967" s="98">
        <v>53231.953908493699</v>
      </c>
    </row>
    <row r="1968" spans="1:6" hidden="1" x14ac:dyDescent="0.2">
      <c r="A1968" s="97" t="s">
        <v>176</v>
      </c>
      <c r="B1968" s="97" t="s">
        <v>5</v>
      </c>
      <c r="C1968" s="97" t="s">
        <v>156</v>
      </c>
      <c r="D1968" s="98">
        <v>118133.387116773</v>
      </c>
      <c r="E1968" s="98">
        <v>60650.950790640898</v>
      </c>
      <c r="F1968" s="98">
        <v>58056.046091506199</v>
      </c>
    </row>
    <row r="1969" spans="1:6" hidden="1" x14ac:dyDescent="0.2">
      <c r="A1969" s="97" t="s">
        <v>176</v>
      </c>
      <c r="B1969" s="97" t="s">
        <v>5</v>
      </c>
      <c r="C1969" s="97" t="s">
        <v>157</v>
      </c>
      <c r="D1969" s="99">
        <v>2.2595587390511098</v>
      </c>
      <c r="E1969" s="99">
        <v>2.49975631718039</v>
      </c>
      <c r="F1969" s="99">
        <v>2.6346337301418798</v>
      </c>
    </row>
    <row r="1970" spans="1:6" hidden="1" x14ac:dyDescent="0.2">
      <c r="A1970" s="97" t="s">
        <v>176</v>
      </c>
      <c r="B1970" s="97" t="s">
        <v>5</v>
      </c>
      <c r="C1970" s="97" t="s">
        <v>158</v>
      </c>
      <c r="D1970" s="99">
        <v>1.0720585629599499</v>
      </c>
      <c r="E1970" s="99">
        <v>1.1940363239540399</v>
      </c>
      <c r="F1970" s="99">
        <v>1.29354516155776</v>
      </c>
    </row>
    <row r="1971" spans="1:6" hidden="1" x14ac:dyDescent="0.2">
      <c r="A1971" s="100" t="s">
        <v>176</v>
      </c>
      <c r="B1971" s="100" t="s">
        <v>6</v>
      </c>
      <c r="C1971" s="100" t="s">
        <v>153</v>
      </c>
      <c r="D1971" s="101">
        <v>107470</v>
      </c>
      <c r="E1971" s="101">
        <v>55189</v>
      </c>
      <c r="F1971" s="101">
        <v>52281</v>
      </c>
    </row>
    <row r="1972" spans="1:6" hidden="1" x14ac:dyDescent="0.2">
      <c r="A1972" s="102" t="s">
        <v>176</v>
      </c>
      <c r="B1972" s="102" t="s">
        <v>6</v>
      </c>
      <c r="C1972" s="102" t="s">
        <v>154</v>
      </c>
      <c r="D1972" s="103">
        <v>2330.5222286134999</v>
      </c>
      <c r="E1972" s="103">
        <v>1369.5406585004901</v>
      </c>
      <c r="F1972" s="103">
        <v>1259.3311654853701</v>
      </c>
    </row>
    <row r="1973" spans="1:6" hidden="1" x14ac:dyDescent="0.2">
      <c r="A1973" s="102" t="s">
        <v>176</v>
      </c>
      <c r="B1973" s="102" t="s">
        <v>6</v>
      </c>
      <c r="C1973" s="102" t="s">
        <v>155</v>
      </c>
      <c r="D1973" s="103">
        <v>103635.574868164</v>
      </c>
      <c r="E1973" s="103">
        <v>52935.684817870599</v>
      </c>
      <c r="F1973" s="103">
        <v>50209.013296352998</v>
      </c>
    </row>
    <row r="1974" spans="1:6" hidden="1" x14ac:dyDescent="0.2">
      <c r="A1974" s="102" t="s">
        <v>176</v>
      </c>
      <c r="B1974" s="102" t="s">
        <v>6</v>
      </c>
      <c r="C1974" s="102" t="s">
        <v>156</v>
      </c>
      <c r="D1974" s="103">
        <v>111304.425131835</v>
      </c>
      <c r="E1974" s="103">
        <v>57442.315182129401</v>
      </c>
      <c r="F1974" s="103">
        <v>54352.9867036469</v>
      </c>
    </row>
    <row r="1975" spans="1:6" hidden="1" x14ac:dyDescent="0.2">
      <c r="A1975" s="102" t="s">
        <v>176</v>
      </c>
      <c r="B1975" s="102" t="s">
        <v>6</v>
      </c>
      <c r="C1975" s="102" t="s">
        <v>157</v>
      </c>
      <c r="D1975" s="104">
        <v>2.1685328264757602</v>
      </c>
      <c r="E1975" s="104">
        <v>2.4815464286370301</v>
      </c>
      <c r="F1975" s="104">
        <v>2.4087740584253901</v>
      </c>
    </row>
    <row r="1976" spans="1:6" hidden="1" x14ac:dyDescent="0.2">
      <c r="A1976" s="102" t="s">
        <v>176</v>
      </c>
      <c r="B1976" s="102" t="s">
        <v>6</v>
      </c>
      <c r="C1976" s="102" t="s">
        <v>158</v>
      </c>
      <c r="D1976" s="104">
        <v>1.01485757039031</v>
      </c>
      <c r="E1976" s="104">
        <v>1.17563669629311</v>
      </c>
      <c r="F1976" s="104">
        <v>1.13346956032532</v>
      </c>
    </row>
    <row r="1977" spans="1:6" hidden="1" x14ac:dyDescent="0.2">
      <c r="A1977" s="95" t="s">
        <v>176</v>
      </c>
      <c r="B1977" s="95" t="s">
        <v>7</v>
      </c>
      <c r="C1977" s="95" t="s">
        <v>153</v>
      </c>
      <c r="D1977" s="96">
        <v>106321</v>
      </c>
      <c r="E1977" s="96">
        <v>54000</v>
      </c>
      <c r="F1977" s="96">
        <v>52321</v>
      </c>
    </row>
    <row r="1978" spans="1:6" hidden="1" x14ac:dyDescent="0.2">
      <c r="A1978" s="97" t="s">
        <v>176</v>
      </c>
      <c r="B1978" s="97" t="s">
        <v>7</v>
      </c>
      <c r="C1978" s="97" t="s">
        <v>154</v>
      </c>
      <c r="D1978" s="98">
        <v>2611.2458768862298</v>
      </c>
      <c r="E1978" s="98">
        <v>1530.9429885504001</v>
      </c>
      <c r="F1978" s="98">
        <v>1393.8070738310801</v>
      </c>
    </row>
    <row r="1979" spans="1:6" hidden="1" x14ac:dyDescent="0.2">
      <c r="A1979" s="97" t="s">
        <v>176</v>
      </c>
      <c r="B1979" s="97" t="s">
        <v>7</v>
      </c>
      <c r="C1979" s="97" t="s">
        <v>155</v>
      </c>
      <c r="D1979" s="98">
        <v>102024.69821287099</v>
      </c>
      <c r="E1979" s="98">
        <v>51481.128393185303</v>
      </c>
      <c r="F1979" s="98">
        <v>50027.759108662198</v>
      </c>
    </row>
    <row r="1980" spans="1:6" hidden="1" x14ac:dyDescent="0.2">
      <c r="A1980" s="97" t="s">
        <v>176</v>
      </c>
      <c r="B1980" s="97" t="s">
        <v>7</v>
      </c>
      <c r="C1980" s="97" t="s">
        <v>156</v>
      </c>
      <c r="D1980" s="98">
        <v>110617.301787128</v>
      </c>
      <c r="E1980" s="98">
        <v>56518.871606814602</v>
      </c>
      <c r="F1980" s="98">
        <v>54614.2408913377</v>
      </c>
    </row>
    <row r="1981" spans="1:6" hidden="1" x14ac:dyDescent="0.2">
      <c r="A1981" s="97" t="s">
        <v>176</v>
      </c>
      <c r="B1981" s="97" t="s">
        <v>7</v>
      </c>
      <c r="C1981" s="97" t="s">
        <v>157</v>
      </c>
      <c r="D1981" s="99">
        <v>2.45600199103303</v>
      </c>
      <c r="E1981" s="99">
        <v>2.8350796084266698</v>
      </c>
      <c r="F1981" s="99">
        <v>2.6639534294663498</v>
      </c>
    </row>
    <row r="1982" spans="1:6" hidden="1" x14ac:dyDescent="0.2">
      <c r="A1982" s="97" t="s">
        <v>176</v>
      </c>
      <c r="B1982" s="97" t="s">
        <v>7</v>
      </c>
      <c r="C1982" s="97" t="s">
        <v>158</v>
      </c>
      <c r="D1982" s="99">
        <v>1.3815238115559401</v>
      </c>
      <c r="E1982" s="99">
        <v>1.68467761534898</v>
      </c>
      <c r="F1982" s="99">
        <v>1.4083195565453199</v>
      </c>
    </row>
    <row r="1983" spans="1:6" hidden="1" x14ac:dyDescent="0.2">
      <c r="A1983" s="100" t="s">
        <v>176</v>
      </c>
      <c r="B1983" s="100" t="s">
        <v>8</v>
      </c>
      <c r="C1983" s="100" t="s">
        <v>153</v>
      </c>
      <c r="D1983" s="101">
        <v>103206</v>
      </c>
      <c r="E1983" s="101">
        <v>50918</v>
      </c>
      <c r="F1983" s="101">
        <v>52288</v>
      </c>
    </row>
    <row r="1984" spans="1:6" hidden="1" x14ac:dyDescent="0.2">
      <c r="A1984" s="102" t="s">
        <v>176</v>
      </c>
      <c r="B1984" s="102" t="s">
        <v>8</v>
      </c>
      <c r="C1984" s="102" t="s">
        <v>154</v>
      </c>
      <c r="D1984" s="103">
        <v>2650.70355874404</v>
      </c>
      <c r="E1984" s="103">
        <v>1429.71093361257</v>
      </c>
      <c r="F1984" s="103">
        <v>1593.2197608582901</v>
      </c>
    </row>
    <row r="1985" spans="1:6" hidden="1" x14ac:dyDescent="0.2">
      <c r="A1985" s="102" t="s">
        <v>176</v>
      </c>
      <c r="B1985" s="102" t="s">
        <v>8</v>
      </c>
      <c r="C1985" s="102" t="s">
        <v>155</v>
      </c>
      <c r="D1985" s="103">
        <v>98844.778202625894</v>
      </c>
      <c r="E1985" s="103">
        <v>48565.686227663398</v>
      </c>
      <c r="F1985" s="103">
        <v>49666.6639678582</v>
      </c>
    </row>
    <row r="1986" spans="1:6" hidden="1" x14ac:dyDescent="0.2">
      <c r="A1986" s="102" t="s">
        <v>176</v>
      </c>
      <c r="B1986" s="102" t="s">
        <v>8</v>
      </c>
      <c r="C1986" s="102" t="s">
        <v>156</v>
      </c>
      <c r="D1986" s="103">
        <v>107567.221797374</v>
      </c>
      <c r="E1986" s="103">
        <v>53270.3137723365</v>
      </c>
      <c r="F1986" s="103">
        <v>54909.3360321418</v>
      </c>
    </row>
    <row r="1987" spans="1:6" hidden="1" x14ac:dyDescent="0.2">
      <c r="A1987" s="102" t="s">
        <v>176</v>
      </c>
      <c r="B1987" s="102" t="s">
        <v>8</v>
      </c>
      <c r="C1987" s="102" t="s">
        <v>157</v>
      </c>
      <c r="D1987" s="104">
        <v>2.5683618769684302</v>
      </c>
      <c r="E1987" s="104">
        <v>2.8078693853108398</v>
      </c>
      <c r="F1987" s="104">
        <v>3.0470084165741498</v>
      </c>
    </row>
    <row r="1988" spans="1:6" hidden="1" x14ac:dyDescent="0.2">
      <c r="A1988" s="102" t="s">
        <v>176</v>
      </c>
      <c r="B1988" s="102" t="s">
        <v>8</v>
      </c>
      <c r="C1988" s="102" t="s">
        <v>158</v>
      </c>
      <c r="D1988" s="104">
        <v>1.4490694794844501</v>
      </c>
      <c r="E1988" s="104">
        <v>1.5440144242292799</v>
      </c>
      <c r="F1988" s="104">
        <v>1.802901080109</v>
      </c>
    </row>
    <row r="1989" spans="1:6" hidden="1" x14ac:dyDescent="0.2">
      <c r="A1989" s="95" t="s">
        <v>176</v>
      </c>
      <c r="B1989" s="95" t="s">
        <v>9</v>
      </c>
      <c r="C1989" s="95" t="s">
        <v>153</v>
      </c>
      <c r="D1989" s="96">
        <v>91932</v>
      </c>
      <c r="E1989" s="96">
        <v>45450</v>
      </c>
      <c r="F1989" s="96">
        <v>46482</v>
      </c>
    </row>
    <row r="1990" spans="1:6" hidden="1" x14ac:dyDescent="0.2">
      <c r="A1990" s="97" t="s">
        <v>176</v>
      </c>
      <c r="B1990" s="97" t="s">
        <v>9</v>
      </c>
      <c r="C1990" s="97" t="s">
        <v>154</v>
      </c>
      <c r="D1990" s="98">
        <v>2602.73044498128</v>
      </c>
      <c r="E1990" s="98">
        <v>1436.3453854157201</v>
      </c>
      <c r="F1990" s="98">
        <v>1415.8072793171</v>
      </c>
    </row>
    <row r="1991" spans="1:6" hidden="1" x14ac:dyDescent="0.2">
      <c r="A1991" s="97" t="s">
        <v>176</v>
      </c>
      <c r="B1991" s="97" t="s">
        <v>9</v>
      </c>
      <c r="C1991" s="97" t="s">
        <v>155</v>
      </c>
      <c r="D1991" s="98">
        <v>87649.708714768596</v>
      </c>
      <c r="E1991" s="98">
        <v>43086.770515975397</v>
      </c>
      <c r="F1991" s="98">
        <v>44152.562010953698</v>
      </c>
    </row>
    <row r="1992" spans="1:6" hidden="1" x14ac:dyDescent="0.2">
      <c r="A1992" s="97" t="s">
        <v>176</v>
      </c>
      <c r="B1992" s="97" t="s">
        <v>9</v>
      </c>
      <c r="C1992" s="97" t="s">
        <v>156</v>
      </c>
      <c r="D1992" s="98">
        <v>96214.291285231404</v>
      </c>
      <c r="E1992" s="98">
        <v>47813.229484024501</v>
      </c>
      <c r="F1992" s="98">
        <v>48811.437989046302</v>
      </c>
    </row>
    <row r="1993" spans="1:6" hidden="1" x14ac:dyDescent="0.2">
      <c r="A1993" s="97" t="s">
        <v>176</v>
      </c>
      <c r="B1993" s="97" t="s">
        <v>9</v>
      </c>
      <c r="C1993" s="97" t="s">
        <v>157</v>
      </c>
      <c r="D1993" s="99">
        <v>2.8311474187239201</v>
      </c>
      <c r="E1993" s="99">
        <v>3.1602758755021298</v>
      </c>
      <c r="F1993" s="99">
        <v>3.0459259053334602</v>
      </c>
    </row>
    <row r="1994" spans="1:6" hidden="1" x14ac:dyDescent="0.2">
      <c r="A1994" s="97" t="s">
        <v>176</v>
      </c>
      <c r="B1994" s="97" t="s">
        <v>9</v>
      </c>
      <c r="C1994" s="97" t="s">
        <v>158</v>
      </c>
      <c r="D1994" s="99">
        <v>1.7408622286165101</v>
      </c>
      <c r="E1994" s="99">
        <v>1.9663233224268799</v>
      </c>
      <c r="F1994" s="99">
        <v>1.79917914644697</v>
      </c>
    </row>
    <row r="1995" spans="1:6" hidden="1" x14ac:dyDescent="0.2">
      <c r="A1995" s="100" t="s">
        <v>176</v>
      </c>
      <c r="B1995" s="100" t="s">
        <v>10</v>
      </c>
      <c r="C1995" s="100" t="s">
        <v>153</v>
      </c>
      <c r="D1995" s="101">
        <v>83752</v>
      </c>
      <c r="E1995" s="101">
        <v>40797</v>
      </c>
      <c r="F1995" s="101">
        <v>42955</v>
      </c>
    </row>
    <row r="1996" spans="1:6" hidden="1" x14ac:dyDescent="0.2">
      <c r="A1996" s="102" t="s">
        <v>176</v>
      </c>
      <c r="B1996" s="102" t="s">
        <v>10</v>
      </c>
      <c r="C1996" s="102" t="s">
        <v>154</v>
      </c>
      <c r="D1996" s="103">
        <v>2146.9521702187099</v>
      </c>
      <c r="E1996" s="103">
        <v>1218.91488848259</v>
      </c>
      <c r="F1996" s="103">
        <v>1173.9099741303901</v>
      </c>
    </row>
    <row r="1997" spans="1:6" hidden="1" x14ac:dyDescent="0.2">
      <c r="A1997" s="102" t="s">
        <v>176</v>
      </c>
      <c r="B1997" s="102" t="s">
        <v>10</v>
      </c>
      <c r="C1997" s="102" t="s">
        <v>155</v>
      </c>
      <c r="D1997" s="103">
        <v>80219.604017133504</v>
      </c>
      <c r="E1997" s="103">
        <v>38791.510490145898</v>
      </c>
      <c r="F1997" s="103">
        <v>41023.557402262602</v>
      </c>
    </row>
    <row r="1998" spans="1:6" hidden="1" x14ac:dyDescent="0.2">
      <c r="A1998" s="102" t="s">
        <v>176</v>
      </c>
      <c r="B1998" s="102" t="s">
        <v>10</v>
      </c>
      <c r="C1998" s="102" t="s">
        <v>156</v>
      </c>
      <c r="D1998" s="103">
        <v>87284.395982866496</v>
      </c>
      <c r="E1998" s="103">
        <v>42802.489509854</v>
      </c>
      <c r="F1998" s="103">
        <v>44886.442597737303</v>
      </c>
    </row>
    <row r="1999" spans="1:6" hidden="1" x14ac:dyDescent="0.2">
      <c r="A1999" s="102" t="s">
        <v>176</v>
      </c>
      <c r="B1999" s="102" t="s">
        <v>10</v>
      </c>
      <c r="C1999" s="102" t="s">
        <v>157</v>
      </c>
      <c r="D1999" s="104">
        <v>2.5634637623205498</v>
      </c>
      <c r="E1999" s="104">
        <v>2.9877561793332599</v>
      </c>
      <c r="F1999" s="104">
        <v>2.7328831896877999</v>
      </c>
    </row>
    <row r="2000" spans="1:6" hidden="1" x14ac:dyDescent="0.2">
      <c r="A2000" s="102" t="s">
        <v>176</v>
      </c>
      <c r="B2000" s="102" t="s">
        <v>10</v>
      </c>
      <c r="C2000" s="102" t="s">
        <v>158</v>
      </c>
      <c r="D2000" s="104">
        <v>1.4282204435266601</v>
      </c>
      <c r="E2000" s="104">
        <v>1.7622916933677399</v>
      </c>
      <c r="F2000" s="104">
        <v>1.4271070101124299</v>
      </c>
    </row>
    <row r="2001" spans="1:6" hidden="1" x14ac:dyDescent="0.2">
      <c r="A2001" s="95" t="s">
        <v>176</v>
      </c>
      <c r="B2001" s="95" t="s">
        <v>11</v>
      </c>
      <c r="C2001" s="95" t="s">
        <v>153</v>
      </c>
      <c r="D2001" s="96">
        <v>82714</v>
      </c>
      <c r="E2001" s="96">
        <v>39577</v>
      </c>
      <c r="F2001" s="96">
        <v>43137</v>
      </c>
    </row>
    <row r="2002" spans="1:6" hidden="1" x14ac:dyDescent="0.2">
      <c r="A2002" s="97" t="s">
        <v>176</v>
      </c>
      <c r="B2002" s="97" t="s">
        <v>11</v>
      </c>
      <c r="C2002" s="97" t="s">
        <v>154</v>
      </c>
      <c r="D2002" s="98">
        <v>1967.18534524647</v>
      </c>
      <c r="E2002" s="98">
        <v>1029.2338022133299</v>
      </c>
      <c r="F2002" s="98">
        <v>1254.0341937651301</v>
      </c>
    </row>
    <row r="2003" spans="1:6" hidden="1" x14ac:dyDescent="0.2">
      <c r="A2003" s="97" t="s">
        <v>176</v>
      </c>
      <c r="B2003" s="97" t="s">
        <v>11</v>
      </c>
      <c r="C2003" s="97" t="s">
        <v>155</v>
      </c>
      <c r="D2003" s="98">
        <v>79477.375678558004</v>
      </c>
      <c r="E2003" s="98">
        <v>37883.594157615298</v>
      </c>
      <c r="F2003" s="98">
        <v>41073.7284423565</v>
      </c>
    </row>
    <row r="2004" spans="1:6" hidden="1" x14ac:dyDescent="0.2">
      <c r="A2004" s="97" t="s">
        <v>176</v>
      </c>
      <c r="B2004" s="97" t="s">
        <v>11</v>
      </c>
      <c r="C2004" s="97" t="s">
        <v>156</v>
      </c>
      <c r="D2004" s="98">
        <v>85950.624321441894</v>
      </c>
      <c r="E2004" s="98">
        <v>41270.4058423846</v>
      </c>
      <c r="F2004" s="98">
        <v>45200.271557643398</v>
      </c>
    </row>
    <row r="2005" spans="1:6" hidden="1" x14ac:dyDescent="0.2">
      <c r="A2005" s="97" t="s">
        <v>176</v>
      </c>
      <c r="B2005" s="97" t="s">
        <v>11</v>
      </c>
      <c r="C2005" s="97" t="s">
        <v>157</v>
      </c>
      <c r="D2005" s="99">
        <v>2.3782979244704299</v>
      </c>
      <c r="E2005" s="99">
        <v>2.6005856993034602</v>
      </c>
      <c r="F2005" s="99">
        <v>2.9070964456618</v>
      </c>
    </row>
    <row r="2006" spans="1:6" hidden="1" x14ac:dyDescent="0.2">
      <c r="A2006" s="97" t="s">
        <v>176</v>
      </c>
      <c r="B2006" s="97" t="s">
        <v>11</v>
      </c>
      <c r="C2006" s="97" t="s">
        <v>158</v>
      </c>
      <c r="D2006" s="99">
        <v>1.2280820669427801</v>
      </c>
      <c r="E2006" s="99">
        <v>1.3112154400616201</v>
      </c>
      <c r="F2006" s="99">
        <v>1.6431009967967201</v>
      </c>
    </row>
    <row r="2007" spans="1:6" hidden="1" x14ac:dyDescent="0.2">
      <c r="A2007" s="100" t="s">
        <v>176</v>
      </c>
      <c r="B2007" s="100" t="s">
        <v>12</v>
      </c>
      <c r="C2007" s="100" t="s">
        <v>153</v>
      </c>
      <c r="D2007" s="101">
        <v>78852</v>
      </c>
      <c r="E2007" s="101">
        <v>38729</v>
      </c>
      <c r="F2007" s="101">
        <v>40123</v>
      </c>
    </row>
    <row r="2008" spans="1:6" hidden="1" x14ac:dyDescent="0.2">
      <c r="A2008" s="102" t="s">
        <v>176</v>
      </c>
      <c r="B2008" s="102" t="s">
        <v>12</v>
      </c>
      <c r="C2008" s="102" t="s">
        <v>154</v>
      </c>
      <c r="D2008" s="103">
        <v>1957.3289217297799</v>
      </c>
      <c r="E2008" s="103">
        <v>1152.95784159204</v>
      </c>
      <c r="F2008" s="103">
        <v>1109.51780141635</v>
      </c>
    </row>
    <row r="2009" spans="1:6" hidden="1" x14ac:dyDescent="0.2">
      <c r="A2009" s="102" t="s">
        <v>176</v>
      </c>
      <c r="B2009" s="102" t="s">
        <v>12</v>
      </c>
      <c r="C2009" s="102" t="s">
        <v>155</v>
      </c>
      <c r="D2009" s="103">
        <v>75631.592523683299</v>
      </c>
      <c r="E2009" s="103">
        <v>36832.030097946103</v>
      </c>
      <c r="F2009" s="103">
        <v>38297.502311226199</v>
      </c>
    </row>
    <row r="2010" spans="1:6" hidden="1" x14ac:dyDescent="0.2">
      <c r="A2010" s="102" t="s">
        <v>176</v>
      </c>
      <c r="B2010" s="102" t="s">
        <v>12</v>
      </c>
      <c r="C2010" s="102" t="s">
        <v>156</v>
      </c>
      <c r="D2010" s="103">
        <v>82072.407476316701</v>
      </c>
      <c r="E2010" s="103">
        <v>40625.969902053803</v>
      </c>
      <c r="F2010" s="103">
        <v>41948.497688773699</v>
      </c>
    </row>
    <row r="2011" spans="1:6" hidden="1" x14ac:dyDescent="0.2">
      <c r="A2011" s="102" t="s">
        <v>176</v>
      </c>
      <c r="B2011" s="102" t="s">
        <v>12</v>
      </c>
      <c r="C2011" s="102" t="s">
        <v>157</v>
      </c>
      <c r="D2011" s="104">
        <v>2.48228189738977</v>
      </c>
      <c r="E2011" s="104">
        <v>2.9769884107311002</v>
      </c>
      <c r="F2011" s="104">
        <v>2.7652912329994201</v>
      </c>
    </row>
    <row r="2012" spans="1:6" hidden="1" x14ac:dyDescent="0.2">
      <c r="A2012" s="102" t="s">
        <v>176</v>
      </c>
      <c r="B2012" s="102" t="s">
        <v>12</v>
      </c>
      <c r="C2012" s="102" t="s">
        <v>158</v>
      </c>
      <c r="D2012" s="104">
        <v>1.4414617429672001</v>
      </c>
      <c r="E2012" s="104">
        <v>1.7676455877952</v>
      </c>
      <c r="F2012" s="104">
        <v>1.6262994062139899</v>
      </c>
    </row>
    <row r="2013" spans="1:6" hidden="1" x14ac:dyDescent="0.2">
      <c r="A2013" s="95" t="s">
        <v>176</v>
      </c>
      <c r="B2013" s="95" t="s">
        <v>13</v>
      </c>
      <c r="C2013" s="95" t="s">
        <v>153</v>
      </c>
      <c r="D2013" s="96">
        <v>65097</v>
      </c>
      <c r="E2013" s="96">
        <v>30853</v>
      </c>
      <c r="F2013" s="96">
        <v>34244</v>
      </c>
    </row>
    <row r="2014" spans="1:6" hidden="1" x14ac:dyDescent="0.2">
      <c r="A2014" s="97" t="s">
        <v>176</v>
      </c>
      <c r="B2014" s="97" t="s">
        <v>13</v>
      </c>
      <c r="C2014" s="97" t="s">
        <v>154</v>
      </c>
      <c r="D2014" s="98">
        <v>1824.9096293155101</v>
      </c>
      <c r="E2014" s="98">
        <v>859.83722683333701</v>
      </c>
      <c r="F2014" s="98">
        <v>1211.1563926846</v>
      </c>
    </row>
    <row r="2015" spans="1:6" hidden="1" x14ac:dyDescent="0.2">
      <c r="A2015" s="97" t="s">
        <v>176</v>
      </c>
      <c r="B2015" s="97" t="s">
        <v>13</v>
      </c>
      <c r="C2015" s="97" t="s">
        <v>155</v>
      </c>
      <c r="D2015" s="98">
        <v>62094.462946260297</v>
      </c>
      <c r="E2015" s="98">
        <v>29438.303572144399</v>
      </c>
      <c r="F2015" s="98">
        <v>32251.275599574099</v>
      </c>
    </row>
    <row r="2016" spans="1:6" hidden="1" x14ac:dyDescent="0.2">
      <c r="A2016" s="97" t="s">
        <v>176</v>
      </c>
      <c r="B2016" s="97" t="s">
        <v>13</v>
      </c>
      <c r="C2016" s="97" t="s">
        <v>156</v>
      </c>
      <c r="D2016" s="98">
        <v>68099.537053739594</v>
      </c>
      <c r="E2016" s="98">
        <v>32267.696427855499</v>
      </c>
      <c r="F2016" s="98">
        <v>36236.724400425897</v>
      </c>
    </row>
    <row r="2017" spans="1:6" hidden="1" x14ac:dyDescent="0.2">
      <c r="A2017" s="97" t="s">
        <v>176</v>
      </c>
      <c r="B2017" s="97" t="s">
        <v>13</v>
      </c>
      <c r="C2017" s="97" t="s">
        <v>157</v>
      </c>
      <c r="D2017" s="99">
        <v>2.80336978557462</v>
      </c>
      <c r="E2017" s="99">
        <v>2.7868836963450399</v>
      </c>
      <c r="F2017" s="99">
        <v>3.5368426372053698</v>
      </c>
    </row>
    <row r="2018" spans="1:6" hidden="1" x14ac:dyDescent="0.2">
      <c r="A2018" s="97" t="s">
        <v>176</v>
      </c>
      <c r="B2018" s="97" t="s">
        <v>13</v>
      </c>
      <c r="C2018" s="97" t="s">
        <v>158</v>
      </c>
      <c r="D2018" s="99">
        <v>1.86439234420404</v>
      </c>
      <c r="E2018" s="99">
        <v>1.60583516258831</v>
      </c>
      <c r="F2018" s="99">
        <v>2.5026735635406601</v>
      </c>
    </row>
    <row r="2019" spans="1:6" hidden="1" x14ac:dyDescent="0.2">
      <c r="A2019" s="100" t="s">
        <v>176</v>
      </c>
      <c r="B2019" s="100" t="s">
        <v>14</v>
      </c>
      <c r="C2019" s="100" t="s">
        <v>153</v>
      </c>
      <c r="D2019" s="101">
        <v>57296</v>
      </c>
      <c r="E2019" s="101">
        <v>28098</v>
      </c>
      <c r="F2019" s="101">
        <v>29198</v>
      </c>
    </row>
    <row r="2020" spans="1:6" hidden="1" x14ac:dyDescent="0.2">
      <c r="A2020" s="102" t="s">
        <v>176</v>
      </c>
      <c r="B2020" s="102" t="s">
        <v>14</v>
      </c>
      <c r="C2020" s="102" t="s">
        <v>154</v>
      </c>
      <c r="D2020" s="103">
        <v>1648.1111062723301</v>
      </c>
      <c r="E2020" s="103">
        <v>863.81388686222397</v>
      </c>
      <c r="F2020" s="103">
        <v>1039.5028243812101</v>
      </c>
    </row>
    <row r="2021" spans="1:6" hidden="1" x14ac:dyDescent="0.2">
      <c r="A2021" s="102" t="s">
        <v>176</v>
      </c>
      <c r="B2021" s="102" t="s">
        <v>14</v>
      </c>
      <c r="C2021" s="102" t="s">
        <v>155</v>
      </c>
      <c r="D2021" s="103">
        <v>54584.350838984399</v>
      </c>
      <c r="E2021" s="103">
        <v>26676.760744546202</v>
      </c>
      <c r="F2021" s="103">
        <v>27487.6984609356</v>
      </c>
    </row>
    <row r="2022" spans="1:6" hidden="1" x14ac:dyDescent="0.2">
      <c r="A2022" s="102" t="s">
        <v>176</v>
      </c>
      <c r="B2022" s="102" t="s">
        <v>14</v>
      </c>
      <c r="C2022" s="102" t="s">
        <v>156</v>
      </c>
      <c r="D2022" s="103">
        <v>60007.649161015499</v>
      </c>
      <c r="E2022" s="103">
        <v>29519.2392554537</v>
      </c>
      <c r="F2022" s="103">
        <v>30908.301539064301</v>
      </c>
    </row>
    <row r="2023" spans="1:6" hidden="1" x14ac:dyDescent="0.2">
      <c r="A2023" s="102" t="s">
        <v>176</v>
      </c>
      <c r="B2023" s="102" t="s">
        <v>14</v>
      </c>
      <c r="C2023" s="102" t="s">
        <v>157</v>
      </c>
      <c r="D2023" s="104">
        <v>2.8764854549572898</v>
      </c>
      <c r="E2023" s="104">
        <v>3.0742895823981198</v>
      </c>
      <c r="F2023" s="104">
        <v>3.5601850276772899</v>
      </c>
    </row>
    <row r="2024" spans="1:6" hidden="1" x14ac:dyDescent="0.2">
      <c r="A2024" s="102" t="s">
        <v>176</v>
      </c>
      <c r="B2024" s="102" t="s">
        <v>14</v>
      </c>
      <c r="C2024" s="102" t="s">
        <v>158</v>
      </c>
      <c r="D2024" s="104">
        <v>1.8650287452841701</v>
      </c>
      <c r="E2024" s="104">
        <v>1.8490401591027501</v>
      </c>
      <c r="F2024" s="104">
        <v>2.3852602064450199</v>
      </c>
    </row>
    <row r="2025" spans="1:6" hidden="1" x14ac:dyDescent="0.2">
      <c r="A2025" s="95" t="s">
        <v>176</v>
      </c>
      <c r="B2025" s="95" t="s">
        <v>15</v>
      </c>
      <c r="C2025" s="95" t="s">
        <v>153</v>
      </c>
      <c r="D2025" s="96">
        <v>46865</v>
      </c>
      <c r="E2025" s="96">
        <v>23271</v>
      </c>
      <c r="F2025" s="96">
        <v>23594</v>
      </c>
    </row>
    <row r="2026" spans="1:6" hidden="1" x14ac:dyDescent="0.2">
      <c r="A2026" s="97" t="s">
        <v>176</v>
      </c>
      <c r="B2026" s="97" t="s">
        <v>15</v>
      </c>
      <c r="C2026" s="97" t="s">
        <v>154</v>
      </c>
      <c r="D2026" s="98">
        <v>1501.54140915423</v>
      </c>
      <c r="E2026" s="98">
        <v>849.22310542956302</v>
      </c>
      <c r="F2026" s="98">
        <v>897.900226401532</v>
      </c>
    </row>
    <row r="2027" spans="1:6" hidden="1" x14ac:dyDescent="0.2">
      <c r="A2027" s="97" t="s">
        <v>176</v>
      </c>
      <c r="B2027" s="97" t="s">
        <v>15</v>
      </c>
      <c r="C2027" s="97" t="s">
        <v>155</v>
      </c>
      <c r="D2027" s="98">
        <v>44394.503025088903</v>
      </c>
      <c r="E2027" s="98">
        <v>21873.7670631008</v>
      </c>
      <c r="F2027" s="98">
        <v>22116.678242788901</v>
      </c>
    </row>
    <row r="2028" spans="1:6" hidden="1" x14ac:dyDescent="0.2">
      <c r="A2028" s="97" t="s">
        <v>176</v>
      </c>
      <c r="B2028" s="97" t="s">
        <v>15</v>
      </c>
      <c r="C2028" s="97" t="s">
        <v>156</v>
      </c>
      <c r="D2028" s="98">
        <v>49335.496974911002</v>
      </c>
      <c r="E2028" s="98">
        <v>24668.2329368992</v>
      </c>
      <c r="F2028" s="98">
        <v>25071.321757211099</v>
      </c>
    </row>
    <row r="2029" spans="1:6" hidden="1" x14ac:dyDescent="0.2">
      <c r="A2029" s="97" t="s">
        <v>176</v>
      </c>
      <c r="B2029" s="97" t="s">
        <v>15</v>
      </c>
      <c r="C2029" s="97" t="s">
        <v>157</v>
      </c>
      <c r="D2029" s="99">
        <v>3.2039718535244499</v>
      </c>
      <c r="E2029" s="99">
        <v>3.6492763758736699</v>
      </c>
      <c r="F2029" s="99">
        <v>3.8056295092037402</v>
      </c>
    </row>
    <row r="2030" spans="1:6" hidden="1" x14ac:dyDescent="0.2">
      <c r="A2030" s="97" t="s">
        <v>176</v>
      </c>
      <c r="B2030" s="97" t="s">
        <v>15</v>
      </c>
      <c r="C2030" s="97" t="s">
        <v>158</v>
      </c>
      <c r="D2030" s="99">
        <v>2.1355325038772701</v>
      </c>
      <c r="E2030" s="99">
        <v>2.2930986389110402</v>
      </c>
      <c r="F2030" s="99">
        <v>2.5296653512591201</v>
      </c>
    </row>
    <row r="2031" spans="1:6" hidden="1" x14ac:dyDescent="0.2">
      <c r="A2031" s="100" t="s">
        <v>176</v>
      </c>
      <c r="B2031" s="100" t="s">
        <v>16</v>
      </c>
      <c r="C2031" s="100" t="s">
        <v>153</v>
      </c>
      <c r="D2031" s="101">
        <v>38166</v>
      </c>
      <c r="E2031" s="101">
        <v>18738</v>
      </c>
      <c r="F2031" s="101">
        <v>19428</v>
      </c>
    </row>
    <row r="2032" spans="1:6" hidden="1" x14ac:dyDescent="0.2">
      <c r="A2032" s="102" t="s">
        <v>176</v>
      </c>
      <c r="B2032" s="102" t="s">
        <v>16</v>
      </c>
      <c r="C2032" s="102" t="s">
        <v>154</v>
      </c>
      <c r="D2032" s="103">
        <v>1383.7955112712</v>
      </c>
      <c r="E2032" s="103">
        <v>771.88813177786301</v>
      </c>
      <c r="F2032" s="103">
        <v>822.87419675553303</v>
      </c>
    </row>
    <row r="2033" spans="1:6" hidden="1" x14ac:dyDescent="0.2">
      <c r="A2033" s="102" t="s">
        <v>176</v>
      </c>
      <c r="B2033" s="102" t="s">
        <v>16</v>
      </c>
      <c r="C2033" s="102" t="s">
        <v>155</v>
      </c>
      <c r="D2033" s="103">
        <v>35889.231205180899</v>
      </c>
      <c r="E2033" s="103">
        <v>17468.006856353601</v>
      </c>
      <c r="F2033" s="103">
        <v>18074.119113716599</v>
      </c>
    </row>
    <row r="2034" spans="1:6" hidden="1" x14ac:dyDescent="0.2">
      <c r="A2034" s="102" t="s">
        <v>176</v>
      </c>
      <c r="B2034" s="102" t="s">
        <v>16</v>
      </c>
      <c r="C2034" s="102" t="s">
        <v>156</v>
      </c>
      <c r="D2034" s="103">
        <v>40442.768794819</v>
      </c>
      <c r="E2034" s="103">
        <v>20007.993143646301</v>
      </c>
      <c r="F2034" s="103">
        <v>20781.880886283299</v>
      </c>
    </row>
    <row r="2035" spans="1:6" hidden="1" x14ac:dyDescent="0.2">
      <c r="A2035" s="102" t="s">
        <v>176</v>
      </c>
      <c r="B2035" s="102" t="s">
        <v>16</v>
      </c>
      <c r="C2035" s="102" t="s">
        <v>157</v>
      </c>
      <c r="D2035" s="104">
        <v>3.6257284265346201</v>
      </c>
      <c r="E2035" s="104">
        <v>4.1193731016002904</v>
      </c>
      <c r="F2035" s="104">
        <v>4.2355064687849104</v>
      </c>
    </row>
    <row r="2036" spans="1:6" hidden="1" x14ac:dyDescent="0.2">
      <c r="A2036" s="102" t="s">
        <v>176</v>
      </c>
      <c r="B2036" s="102" t="s">
        <v>16</v>
      </c>
      <c r="C2036" s="102" t="s">
        <v>158</v>
      </c>
      <c r="D2036" s="104">
        <v>2.5511935727569699</v>
      </c>
      <c r="E2036" s="104">
        <v>2.76665016711797</v>
      </c>
      <c r="F2036" s="104">
        <v>2.7446497196202801</v>
      </c>
    </row>
    <row r="2037" spans="1:6" hidden="1" x14ac:dyDescent="0.2">
      <c r="A2037" s="95" t="s">
        <v>176</v>
      </c>
      <c r="B2037" s="95" t="s">
        <v>17</v>
      </c>
      <c r="C2037" s="95" t="s">
        <v>153</v>
      </c>
      <c r="D2037" s="96">
        <v>29807</v>
      </c>
      <c r="E2037" s="96">
        <v>14484</v>
      </c>
      <c r="F2037" s="96">
        <v>15323</v>
      </c>
    </row>
    <row r="2038" spans="1:6" hidden="1" x14ac:dyDescent="0.2">
      <c r="A2038" s="97" t="s">
        <v>176</v>
      </c>
      <c r="B2038" s="97" t="s">
        <v>17</v>
      </c>
      <c r="C2038" s="97" t="s">
        <v>154</v>
      </c>
      <c r="D2038" s="98">
        <v>1134.03002403245</v>
      </c>
      <c r="E2038" s="98">
        <v>638.14724745267199</v>
      </c>
      <c r="F2038" s="98">
        <v>677.97807235765504</v>
      </c>
    </row>
    <row r="2039" spans="1:6" hidden="1" x14ac:dyDescent="0.2">
      <c r="A2039" s="97" t="s">
        <v>176</v>
      </c>
      <c r="B2039" s="97" t="s">
        <v>17</v>
      </c>
      <c r="C2039" s="97" t="s">
        <v>155</v>
      </c>
      <c r="D2039" s="98">
        <v>27941.172173507599</v>
      </c>
      <c r="E2039" s="98">
        <v>13434.0517036905</v>
      </c>
      <c r="F2039" s="98">
        <v>14207.517758481799</v>
      </c>
    </row>
    <row r="2040" spans="1:6" hidden="1" x14ac:dyDescent="0.2">
      <c r="A2040" s="97" t="s">
        <v>176</v>
      </c>
      <c r="B2040" s="97" t="s">
        <v>17</v>
      </c>
      <c r="C2040" s="97" t="s">
        <v>156</v>
      </c>
      <c r="D2040" s="98">
        <v>31672.827826492299</v>
      </c>
      <c r="E2040" s="98">
        <v>15533.9482963095</v>
      </c>
      <c r="F2040" s="98">
        <v>16438.482241518101</v>
      </c>
    </row>
    <row r="2041" spans="1:6" hidden="1" x14ac:dyDescent="0.2">
      <c r="A2041" s="97" t="s">
        <v>176</v>
      </c>
      <c r="B2041" s="97" t="s">
        <v>17</v>
      </c>
      <c r="C2041" s="97" t="s">
        <v>157</v>
      </c>
      <c r="D2041" s="99">
        <v>3.80457618691065</v>
      </c>
      <c r="E2041" s="99">
        <v>4.4058771572264002</v>
      </c>
      <c r="F2041" s="99">
        <v>4.4245779048336198</v>
      </c>
    </row>
    <row r="2042" spans="1:6" hidden="1" x14ac:dyDescent="0.2">
      <c r="A2042" s="97" t="s">
        <v>176</v>
      </c>
      <c r="B2042" s="97" t="s">
        <v>17</v>
      </c>
      <c r="C2042" s="97" t="s">
        <v>158</v>
      </c>
      <c r="D2042" s="99">
        <v>2.4982073692851001</v>
      </c>
      <c r="E2042" s="99">
        <v>2.6470272076997001</v>
      </c>
      <c r="F2042" s="99">
        <v>2.60115461107381</v>
      </c>
    </row>
    <row r="2043" spans="1:6" hidden="1" x14ac:dyDescent="0.2">
      <c r="A2043" s="100" t="s">
        <v>176</v>
      </c>
      <c r="B2043" s="100" t="s">
        <v>18</v>
      </c>
      <c r="C2043" s="100" t="s">
        <v>153</v>
      </c>
      <c r="D2043" s="101">
        <v>23028</v>
      </c>
      <c r="E2043" s="101">
        <v>11283</v>
      </c>
      <c r="F2043" s="101">
        <v>11745</v>
      </c>
    </row>
    <row r="2044" spans="1:6" hidden="1" x14ac:dyDescent="0.2">
      <c r="A2044" s="102" t="s">
        <v>176</v>
      </c>
      <c r="B2044" s="102" t="s">
        <v>18</v>
      </c>
      <c r="C2044" s="102" t="s">
        <v>154</v>
      </c>
      <c r="D2044" s="103">
        <v>964.35805364154203</v>
      </c>
      <c r="E2044" s="103">
        <v>527.62143005081703</v>
      </c>
      <c r="F2044" s="103">
        <v>560.47369755626198</v>
      </c>
    </row>
    <row r="2045" spans="1:6" hidden="1" x14ac:dyDescent="0.2">
      <c r="A2045" s="102" t="s">
        <v>176</v>
      </c>
      <c r="B2045" s="102" t="s">
        <v>18</v>
      </c>
      <c r="C2045" s="102" t="s">
        <v>155</v>
      </c>
      <c r="D2045" s="103">
        <v>21441.334697446298</v>
      </c>
      <c r="E2045" s="103">
        <v>10414.9006329815</v>
      </c>
      <c r="F2045" s="103">
        <v>10822.848558895201</v>
      </c>
    </row>
    <row r="2046" spans="1:6" hidden="1" x14ac:dyDescent="0.2">
      <c r="A2046" s="102" t="s">
        <v>176</v>
      </c>
      <c r="B2046" s="102" t="s">
        <v>18</v>
      </c>
      <c r="C2046" s="102" t="s">
        <v>156</v>
      </c>
      <c r="D2046" s="103">
        <v>24614.6653025536</v>
      </c>
      <c r="E2046" s="103">
        <v>12151.0993670184</v>
      </c>
      <c r="F2046" s="103">
        <v>12667.151441104699</v>
      </c>
    </row>
    <row r="2047" spans="1:6" hidden="1" x14ac:dyDescent="0.2">
      <c r="A2047" s="102" t="s">
        <v>176</v>
      </c>
      <c r="B2047" s="102" t="s">
        <v>18</v>
      </c>
      <c r="C2047" s="102" t="s">
        <v>157</v>
      </c>
      <c r="D2047" s="104">
        <v>4.1877629565812997</v>
      </c>
      <c r="E2047" s="104">
        <v>4.6762512634123699</v>
      </c>
      <c r="F2047" s="104">
        <v>4.7720195619945702</v>
      </c>
    </row>
    <row r="2048" spans="1:6" hidden="1" x14ac:dyDescent="0.2">
      <c r="A2048" s="102" t="s">
        <v>176</v>
      </c>
      <c r="B2048" s="102" t="s">
        <v>18</v>
      </c>
      <c r="C2048" s="102" t="s">
        <v>158</v>
      </c>
      <c r="D2048" s="104">
        <v>2.4662599216830001</v>
      </c>
      <c r="E2048" s="104">
        <v>2.4161553828093401</v>
      </c>
      <c r="F2048" s="104">
        <v>2.5544982306892501</v>
      </c>
    </row>
    <row r="2049" spans="1:6" hidden="1" x14ac:dyDescent="0.2">
      <c r="A2049" s="95" t="s">
        <v>176</v>
      </c>
      <c r="B2049" s="95" t="s">
        <v>19</v>
      </c>
      <c r="C2049" s="95" t="s">
        <v>153</v>
      </c>
      <c r="D2049" s="96">
        <v>37371</v>
      </c>
      <c r="E2049" s="96">
        <v>17554</v>
      </c>
      <c r="F2049" s="96">
        <v>19817</v>
      </c>
    </row>
    <row r="2050" spans="1:6" hidden="1" x14ac:dyDescent="0.2">
      <c r="A2050" s="97" t="s">
        <v>176</v>
      </c>
      <c r="B2050" s="97" t="s">
        <v>19</v>
      </c>
      <c r="C2050" s="97" t="s">
        <v>154</v>
      </c>
      <c r="D2050" s="98">
        <v>1348.68269684598</v>
      </c>
      <c r="E2050" s="98">
        <v>617.82761322510896</v>
      </c>
      <c r="F2050" s="98">
        <v>931.60214623583795</v>
      </c>
    </row>
    <row r="2051" spans="1:6" hidden="1" x14ac:dyDescent="0.2">
      <c r="A2051" s="97" t="s">
        <v>176</v>
      </c>
      <c r="B2051" s="97" t="s">
        <v>19</v>
      </c>
      <c r="C2051" s="97" t="s">
        <v>155</v>
      </c>
      <c r="D2051" s="98">
        <v>35152.002573515601</v>
      </c>
      <c r="E2051" s="98">
        <v>16537.483745314101</v>
      </c>
      <c r="F2051" s="98">
        <v>18284.2282295613</v>
      </c>
    </row>
    <row r="2052" spans="1:6" hidden="1" x14ac:dyDescent="0.2">
      <c r="A2052" s="97" t="s">
        <v>176</v>
      </c>
      <c r="B2052" s="97" t="s">
        <v>19</v>
      </c>
      <c r="C2052" s="97" t="s">
        <v>156</v>
      </c>
      <c r="D2052" s="98">
        <v>39589.997426484297</v>
      </c>
      <c r="E2052" s="98">
        <v>18570.516254685801</v>
      </c>
      <c r="F2052" s="98">
        <v>21349.771770438601</v>
      </c>
    </row>
    <row r="2053" spans="1:6" hidden="1" x14ac:dyDescent="0.2">
      <c r="A2053" s="97" t="s">
        <v>176</v>
      </c>
      <c r="B2053" s="97" t="s">
        <v>19</v>
      </c>
      <c r="C2053" s="97" t="s">
        <v>157</v>
      </c>
      <c r="D2053" s="99">
        <v>3.60890181382885</v>
      </c>
      <c r="E2053" s="99">
        <v>3.51958307636498</v>
      </c>
      <c r="F2053" s="99">
        <v>4.7010251109443297</v>
      </c>
    </row>
    <row r="2054" spans="1:6" hidden="1" x14ac:dyDescent="0.2">
      <c r="A2054" s="97" t="s">
        <v>176</v>
      </c>
      <c r="B2054" s="97" t="s">
        <v>19</v>
      </c>
      <c r="C2054" s="97" t="s">
        <v>158</v>
      </c>
      <c r="D2054" s="99">
        <v>2.2377077535392198</v>
      </c>
      <c r="E2054" s="99">
        <v>1.81515246435319</v>
      </c>
      <c r="F2054" s="99">
        <v>3.0179974382658501</v>
      </c>
    </row>
    <row r="2055" spans="1:6" hidden="1" x14ac:dyDescent="0.2">
      <c r="A2055" s="100" t="s">
        <v>176</v>
      </c>
      <c r="B2055" s="100" t="s">
        <v>20</v>
      </c>
      <c r="C2055" s="100" t="s">
        <v>153</v>
      </c>
      <c r="D2055" s="101">
        <v>475</v>
      </c>
      <c r="E2055" s="101">
        <v>298</v>
      </c>
      <c r="F2055" s="101">
        <v>177</v>
      </c>
    </row>
    <row r="2056" spans="1:6" hidden="1" x14ac:dyDescent="0.2">
      <c r="A2056" s="102" t="s">
        <v>176</v>
      </c>
      <c r="B2056" s="102" t="s">
        <v>20</v>
      </c>
      <c r="C2056" s="102" t="s">
        <v>154</v>
      </c>
      <c r="D2056" s="103">
        <v>77.266170125876997</v>
      </c>
      <c r="E2056" s="103">
        <v>67.410992112015094</v>
      </c>
      <c r="F2056" s="103">
        <v>33.177585670854903</v>
      </c>
    </row>
    <row r="2057" spans="1:6" hidden="1" x14ac:dyDescent="0.2">
      <c r="A2057" s="102" t="s">
        <v>176</v>
      </c>
      <c r="B2057" s="102" t="s">
        <v>20</v>
      </c>
      <c r="C2057" s="102" t="s">
        <v>155</v>
      </c>
      <c r="D2057" s="103">
        <v>347.87340968740602</v>
      </c>
      <c r="E2057" s="103">
        <v>187.08820557783099</v>
      </c>
      <c r="F2057" s="103">
        <v>122.41267757585899</v>
      </c>
    </row>
    <row r="2058" spans="1:6" hidden="1" x14ac:dyDescent="0.2">
      <c r="A2058" s="102" t="s">
        <v>176</v>
      </c>
      <c r="B2058" s="102" t="s">
        <v>20</v>
      </c>
      <c r="C2058" s="102" t="s">
        <v>156</v>
      </c>
      <c r="D2058" s="103">
        <v>602.12659031259295</v>
      </c>
      <c r="E2058" s="103">
        <v>408.91179442216799</v>
      </c>
      <c r="F2058" s="103">
        <v>231.58732242414001</v>
      </c>
    </row>
    <row r="2059" spans="1:6" hidden="1" x14ac:dyDescent="0.2">
      <c r="A2059" s="102" t="s">
        <v>176</v>
      </c>
      <c r="B2059" s="102" t="s">
        <v>20</v>
      </c>
      <c r="C2059" s="102" t="s">
        <v>157</v>
      </c>
      <c r="D2059" s="104">
        <v>16.2665621317635</v>
      </c>
      <c r="E2059" s="104">
        <v>22.621138292622501</v>
      </c>
      <c r="F2059" s="104">
        <v>18.744398684098801</v>
      </c>
    </row>
    <row r="2060" spans="1:6" hidden="1" x14ac:dyDescent="0.2">
      <c r="A2060" s="102" t="s">
        <v>176</v>
      </c>
      <c r="B2060" s="102" t="s">
        <v>20</v>
      </c>
      <c r="C2060" s="102" t="s">
        <v>158</v>
      </c>
      <c r="D2060" s="104">
        <v>1.8508296596365099</v>
      </c>
      <c r="E2060" s="104">
        <v>2.7955540715568401</v>
      </c>
      <c r="F2060" s="104">
        <v>0.99889226589626001</v>
      </c>
    </row>
    <row r="2061" spans="1:6" hidden="1" x14ac:dyDescent="0.2">
      <c r="A2061" s="95" t="s">
        <v>177</v>
      </c>
      <c r="B2061" s="95" t="s">
        <v>152</v>
      </c>
      <c r="C2061" s="95" t="s">
        <v>153</v>
      </c>
      <c r="D2061" s="96">
        <v>5119504</v>
      </c>
      <c r="E2061" s="96">
        <v>2541857</v>
      </c>
      <c r="F2061" s="96">
        <v>2577647</v>
      </c>
    </row>
    <row r="2062" spans="1:6" hidden="1" x14ac:dyDescent="0.2">
      <c r="A2062" s="97" t="s">
        <v>177</v>
      </c>
      <c r="B2062" s="97" t="s">
        <v>152</v>
      </c>
      <c r="C2062" s="97" t="s">
        <v>154</v>
      </c>
      <c r="D2062" s="98">
        <v>65877.373440418101</v>
      </c>
      <c r="E2062" s="98">
        <v>32855.034433471497</v>
      </c>
      <c r="F2062" s="98">
        <v>33570.605524175502</v>
      </c>
    </row>
    <row r="2063" spans="1:6" hidden="1" x14ac:dyDescent="0.2">
      <c r="A2063" s="97" t="s">
        <v>177</v>
      </c>
      <c r="B2063" s="97" t="s">
        <v>152</v>
      </c>
      <c r="C2063" s="97" t="s">
        <v>155</v>
      </c>
      <c r="D2063" s="98">
        <v>5011130.8111851001</v>
      </c>
      <c r="E2063" s="98">
        <v>2487808.01983841</v>
      </c>
      <c r="F2063" s="98">
        <v>2522420.8520663301</v>
      </c>
    </row>
    <row r="2064" spans="1:6" hidden="1" x14ac:dyDescent="0.2">
      <c r="A2064" s="97" t="s">
        <v>177</v>
      </c>
      <c r="B2064" s="97" t="s">
        <v>152</v>
      </c>
      <c r="C2064" s="97" t="s">
        <v>156</v>
      </c>
      <c r="D2064" s="98">
        <v>5227877.1888148999</v>
      </c>
      <c r="E2064" s="98">
        <v>2595905.9801615798</v>
      </c>
      <c r="F2064" s="98">
        <v>2632873.1479336601</v>
      </c>
    </row>
    <row r="2065" spans="1:6" hidden="1" x14ac:dyDescent="0.2">
      <c r="A2065" s="97" t="s">
        <v>177</v>
      </c>
      <c r="B2065" s="97" t="s">
        <v>152</v>
      </c>
      <c r="C2065" s="97" t="s">
        <v>157</v>
      </c>
      <c r="D2065" s="99">
        <v>1.28679210799362</v>
      </c>
      <c r="E2065" s="99">
        <v>1.29256029876863</v>
      </c>
      <c r="F2065" s="99">
        <v>1.3023740459487101</v>
      </c>
    </row>
    <row r="2066" spans="1:6" hidden="1" x14ac:dyDescent="0.2">
      <c r="A2066" s="97" t="s">
        <v>177</v>
      </c>
      <c r="B2066" s="97" t="s">
        <v>152</v>
      </c>
      <c r="C2066" s="97" t="s">
        <v>158</v>
      </c>
      <c r="D2066" s="99">
        <v>2.3757058939873001</v>
      </c>
      <c r="E2066" s="99">
        <v>1.18611695958374</v>
      </c>
      <c r="F2066" s="99">
        <v>1.2202077461241001</v>
      </c>
    </row>
    <row r="2067" spans="1:6" hidden="1" x14ac:dyDescent="0.2">
      <c r="A2067" s="100" t="s">
        <v>177</v>
      </c>
      <c r="B2067" s="100" t="s">
        <v>4</v>
      </c>
      <c r="C2067" s="100" t="s">
        <v>153</v>
      </c>
      <c r="D2067" s="101">
        <v>431487</v>
      </c>
      <c r="E2067" s="101">
        <v>220162</v>
      </c>
      <c r="F2067" s="101">
        <v>211325</v>
      </c>
    </row>
    <row r="2068" spans="1:6" hidden="1" x14ac:dyDescent="0.2">
      <c r="A2068" s="102" t="s">
        <v>177</v>
      </c>
      <c r="B2068" s="102" t="s">
        <v>4</v>
      </c>
      <c r="C2068" s="102" t="s">
        <v>154</v>
      </c>
      <c r="D2068" s="103">
        <v>7417.4972444894602</v>
      </c>
      <c r="E2068" s="103">
        <v>4098.1238765824301</v>
      </c>
      <c r="F2068" s="103">
        <v>4035.1211606748602</v>
      </c>
    </row>
    <row r="2069" spans="1:6" hidden="1" x14ac:dyDescent="0.2">
      <c r="A2069" s="102" t="s">
        <v>177</v>
      </c>
      <c r="B2069" s="102" t="s">
        <v>4</v>
      </c>
      <c r="C2069" s="102" t="s">
        <v>155</v>
      </c>
      <c r="D2069" s="103">
        <v>419284.66424448998</v>
      </c>
      <c r="E2069" s="103">
        <v>213420.280810703</v>
      </c>
      <c r="F2069" s="103">
        <v>204686.92497364301</v>
      </c>
    </row>
    <row r="2070" spans="1:6" hidden="1" x14ac:dyDescent="0.2">
      <c r="A2070" s="102" t="s">
        <v>177</v>
      </c>
      <c r="B2070" s="102" t="s">
        <v>4</v>
      </c>
      <c r="C2070" s="102" t="s">
        <v>156</v>
      </c>
      <c r="D2070" s="103">
        <v>443689.33575550898</v>
      </c>
      <c r="E2070" s="103">
        <v>226903.71918929601</v>
      </c>
      <c r="F2070" s="103">
        <v>217963.075026356</v>
      </c>
    </row>
    <row r="2071" spans="1:6" hidden="1" x14ac:dyDescent="0.2">
      <c r="A2071" s="102" t="s">
        <v>177</v>
      </c>
      <c r="B2071" s="102" t="s">
        <v>4</v>
      </c>
      <c r="C2071" s="102" t="s">
        <v>157</v>
      </c>
      <c r="D2071" s="104">
        <v>1.71905462841046</v>
      </c>
      <c r="E2071" s="104">
        <v>1.8614129034903499</v>
      </c>
      <c r="F2071" s="104">
        <v>1.9094386185613901</v>
      </c>
    </row>
    <row r="2072" spans="1:6" hidden="1" x14ac:dyDescent="0.2">
      <c r="A2072" s="102" t="s">
        <v>177</v>
      </c>
      <c r="B2072" s="102" t="s">
        <v>4</v>
      </c>
      <c r="C2072" s="102" t="s">
        <v>158</v>
      </c>
      <c r="D2072" s="104">
        <v>1.0240221116505801</v>
      </c>
      <c r="E2072" s="104">
        <v>1.0665557665035299</v>
      </c>
      <c r="F2072" s="104">
        <v>1.12206977171591</v>
      </c>
    </row>
    <row r="2073" spans="1:6" hidden="1" x14ac:dyDescent="0.2">
      <c r="A2073" s="95" t="s">
        <v>177</v>
      </c>
      <c r="B2073" s="95" t="s">
        <v>5</v>
      </c>
      <c r="C2073" s="95" t="s">
        <v>153</v>
      </c>
      <c r="D2073" s="96">
        <v>446965</v>
      </c>
      <c r="E2073" s="96">
        <v>228002</v>
      </c>
      <c r="F2073" s="96">
        <v>218963</v>
      </c>
    </row>
    <row r="2074" spans="1:6" hidden="1" x14ac:dyDescent="0.2">
      <c r="A2074" s="97" t="s">
        <v>177</v>
      </c>
      <c r="B2074" s="97" t="s">
        <v>5</v>
      </c>
      <c r="C2074" s="97" t="s">
        <v>154</v>
      </c>
      <c r="D2074" s="98">
        <v>7702.40107625172</v>
      </c>
      <c r="E2074" s="98">
        <v>4159.5375938585103</v>
      </c>
      <c r="F2074" s="98">
        <v>4078.0206390880799</v>
      </c>
    </row>
    <row r="2075" spans="1:6" hidden="1" x14ac:dyDescent="0.2">
      <c r="A2075" s="97" t="s">
        <v>177</v>
      </c>
      <c r="B2075" s="97" t="s">
        <v>5</v>
      </c>
      <c r="C2075" s="97" t="s">
        <v>155</v>
      </c>
      <c r="D2075" s="98">
        <v>434293.97620880802</v>
      </c>
      <c r="E2075" s="98">
        <v>221159.25066893201</v>
      </c>
      <c r="F2075" s="98">
        <v>212254.35213457301</v>
      </c>
    </row>
    <row r="2076" spans="1:6" hidden="1" x14ac:dyDescent="0.2">
      <c r="A2076" s="97" t="s">
        <v>177</v>
      </c>
      <c r="B2076" s="97" t="s">
        <v>5</v>
      </c>
      <c r="C2076" s="97" t="s">
        <v>156</v>
      </c>
      <c r="D2076" s="98">
        <v>459636.02379119099</v>
      </c>
      <c r="E2076" s="98">
        <v>234844.749331067</v>
      </c>
      <c r="F2076" s="98">
        <v>225671.647865426</v>
      </c>
    </row>
    <row r="2077" spans="1:6" hidden="1" x14ac:dyDescent="0.2">
      <c r="A2077" s="97" t="s">
        <v>177</v>
      </c>
      <c r="B2077" s="97" t="s">
        <v>5</v>
      </c>
      <c r="C2077" s="97" t="s">
        <v>157</v>
      </c>
      <c r="D2077" s="99">
        <v>1.72326716325701</v>
      </c>
      <c r="E2077" s="99">
        <v>1.82434259079241</v>
      </c>
      <c r="F2077" s="99">
        <v>1.8624245370624599</v>
      </c>
    </row>
    <row r="2078" spans="1:6" hidden="1" x14ac:dyDescent="0.2">
      <c r="A2078" s="97" t="s">
        <v>177</v>
      </c>
      <c r="B2078" s="97" t="s">
        <v>5</v>
      </c>
      <c r="C2078" s="97" t="s">
        <v>158</v>
      </c>
      <c r="D2078" s="99">
        <v>1.0717551046992799</v>
      </c>
      <c r="E2078" s="99">
        <v>1.08062996683566</v>
      </c>
      <c r="F2078" s="99">
        <v>1.10604917004958</v>
      </c>
    </row>
    <row r="2079" spans="1:6" hidden="1" x14ac:dyDescent="0.2">
      <c r="A2079" s="100" t="s">
        <v>177</v>
      </c>
      <c r="B2079" s="100" t="s">
        <v>6</v>
      </c>
      <c r="C2079" s="100" t="s">
        <v>153</v>
      </c>
      <c r="D2079" s="101">
        <v>449679</v>
      </c>
      <c r="E2079" s="101">
        <v>228018</v>
      </c>
      <c r="F2079" s="101">
        <v>221661</v>
      </c>
    </row>
    <row r="2080" spans="1:6" hidden="1" x14ac:dyDescent="0.2">
      <c r="A2080" s="102" t="s">
        <v>177</v>
      </c>
      <c r="B2080" s="102" t="s">
        <v>6</v>
      </c>
      <c r="C2080" s="102" t="s">
        <v>154</v>
      </c>
      <c r="D2080" s="103">
        <v>7655.6025365002797</v>
      </c>
      <c r="E2080" s="103">
        <v>4119.5198441286602</v>
      </c>
      <c r="F2080" s="103">
        <v>4168.3499144548996</v>
      </c>
    </row>
    <row r="2081" spans="1:6" hidden="1" x14ac:dyDescent="0.2">
      <c r="A2081" s="102" t="s">
        <v>177</v>
      </c>
      <c r="B2081" s="102" t="s">
        <v>6</v>
      </c>
      <c r="C2081" s="102" t="s">
        <v>155</v>
      </c>
      <c r="D2081" s="103">
        <v>437084.963294357</v>
      </c>
      <c r="E2081" s="103">
        <v>221241.08284955699</v>
      </c>
      <c r="F2081" s="103">
        <v>214803.75374481399</v>
      </c>
    </row>
    <row r="2082" spans="1:6" hidden="1" x14ac:dyDescent="0.2">
      <c r="A2082" s="102" t="s">
        <v>177</v>
      </c>
      <c r="B2082" s="102" t="s">
        <v>6</v>
      </c>
      <c r="C2082" s="102" t="s">
        <v>156</v>
      </c>
      <c r="D2082" s="103">
        <v>462273.036705643</v>
      </c>
      <c r="E2082" s="103">
        <v>234794.91715044199</v>
      </c>
      <c r="F2082" s="103">
        <v>228518.24625518601</v>
      </c>
    </row>
    <row r="2083" spans="1:6" hidden="1" x14ac:dyDescent="0.2">
      <c r="A2083" s="102" t="s">
        <v>177</v>
      </c>
      <c r="B2083" s="102" t="s">
        <v>6</v>
      </c>
      <c r="C2083" s="102" t="s">
        <v>157</v>
      </c>
      <c r="D2083" s="104">
        <v>1.7024594291706501</v>
      </c>
      <c r="E2083" s="104">
        <v>1.80666431778572</v>
      </c>
      <c r="F2083" s="104">
        <v>1.8805066811278901</v>
      </c>
    </row>
    <row r="2084" spans="1:6" hidden="1" x14ac:dyDescent="0.2">
      <c r="A2084" s="102" t="s">
        <v>177</v>
      </c>
      <c r="B2084" s="102" t="s">
        <v>6</v>
      </c>
      <c r="C2084" s="102" t="s">
        <v>158</v>
      </c>
      <c r="D2084" s="104">
        <v>1.07971303030115</v>
      </c>
      <c r="E2084" s="104">
        <v>1.07075418298615</v>
      </c>
      <c r="F2084" s="104">
        <v>1.1756959011235399</v>
      </c>
    </row>
    <row r="2085" spans="1:6" hidden="1" x14ac:dyDescent="0.2">
      <c r="A2085" s="95" t="s">
        <v>177</v>
      </c>
      <c r="B2085" s="95" t="s">
        <v>7</v>
      </c>
      <c r="C2085" s="95" t="s">
        <v>153</v>
      </c>
      <c r="D2085" s="96">
        <v>442103</v>
      </c>
      <c r="E2085" s="96">
        <v>222377</v>
      </c>
      <c r="F2085" s="96">
        <v>219726</v>
      </c>
    </row>
    <row r="2086" spans="1:6" hidden="1" x14ac:dyDescent="0.2">
      <c r="A2086" s="97" t="s">
        <v>177</v>
      </c>
      <c r="B2086" s="97" t="s">
        <v>7</v>
      </c>
      <c r="C2086" s="97" t="s">
        <v>154</v>
      </c>
      <c r="D2086" s="98">
        <v>7052.3879296403402</v>
      </c>
      <c r="E2086" s="98">
        <v>3948.3247626247799</v>
      </c>
      <c r="F2086" s="98">
        <v>3731.1746275506098</v>
      </c>
    </row>
    <row r="2087" spans="1:6" hidden="1" x14ac:dyDescent="0.2">
      <c r="A2087" s="97" t="s">
        <v>177</v>
      </c>
      <c r="B2087" s="97" t="s">
        <v>7</v>
      </c>
      <c r="C2087" s="97" t="s">
        <v>155</v>
      </c>
      <c r="D2087" s="98">
        <v>430501.29627715598</v>
      </c>
      <c r="E2087" s="98">
        <v>215881.711516929</v>
      </c>
      <c r="F2087" s="98">
        <v>213587.93967222099</v>
      </c>
    </row>
    <row r="2088" spans="1:6" hidden="1" x14ac:dyDescent="0.2">
      <c r="A2088" s="97" t="s">
        <v>177</v>
      </c>
      <c r="B2088" s="97" t="s">
        <v>7</v>
      </c>
      <c r="C2088" s="97" t="s">
        <v>156</v>
      </c>
      <c r="D2088" s="98">
        <v>453704.70372284303</v>
      </c>
      <c r="E2088" s="98">
        <v>228872.28848307001</v>
      </c>
      <c r="F2088" s="98">
        <v>225864.06032777901</v>
      </c>
    </row>
    <row r="2089" spans="1:6" hidden="1" x14ac:dyDescent="0.2">
      <c r="A2089" s="97" t="s">
        <v>177</v>
      </c>
      <c r="B2089" s="97" t="s">
        <v>7</v>
      </c>
      <c r="C2089" s="97" t="s">
        <v>157</v>
      </c>
      <c r="D2089" s="99">
        <v>1.59519114994477</v>
      </c>
      <c r="E2089" s="99">
        <v>1.77550950081383</v>
      </c>
      <c r="F2089" s="99">
        <v>1.6981033776387899</v>
      </c>
    </row>
    <row r="2090" spans="1:6" hidden="1" x14ac:dyDescent="0.2">
      <c r="A2090" s="97" t="s">
        <v>177</v>
      </c>
      <c r="B2090" s="97" t="s">
        <v>7</v>
      </c>
      <c r="C2090" s="97" t="s">
        <v>158</v>
      </c>
      <c r="D2090" s="99">
        <v>1.02487237273333</v>
      </c>
      <c r="E2090" s="99">
        <v>1.1001933093765599</v>
      </c>
      <c r="F2090" s="99">
        <v>1.04485857299188</v>
      </c>
    </row>
    <row r="2091" spans="1:6" hidden="1" x14ac:dyDescent="0.2">
      <c r="A2091" s="100" t="s">
        <v>177</v>
      </c>
      <c r="B2091" s="100" t="s">
        <v>8</v>
      </c>
      <c r="C2091" s="100" t="s">
        <v>153</v>
      </c>
      <c r="D2091" s="101">
        <v>457576</v>
      </c>
      <c r="E2091" s="101">
        <v>233009</v>
      </c>
      <c r="F2091" s="101">
        <v>224567</v>
      </c>
    </row>
    <row r="2092" spans="1:6" hidden="1" x14ac:dyDescent="0.2">
      <c r="A2092" s="102" t="s">
        <v>177</v>
      </c>
      <c r="B2092" s="102" t="s">
        <v>8</v>
      </c>
      <c r="C2092" s="102" t="s">
        <v>154</v>
      </c>
      <c r="D2092" s="103">
        <v>7534.0135622221696</v>
      </c>
      <c r="E2092" s="103">
        <v>4110.9370049118397</v>
      </c>
      <c r="F2092" s="103">
        <v>4009.4384270272599</v>
      </c>
    </row>
    <row r="2093" spans="1:6" hidden="1" x14ac:dyDescent="0.2">
      <c r="A2093" s="102" t="s">
        <v>177</v>
      </c>
      <c r="B2093" s="102" t="s">
        <v>8</v>
      </c>
      <c r="C2093" s="102" t="s">
        <v>155</v>
      </c>
      <c r="D2093" s="103">
        <v>445181.98621845199</v>
      </c>
      <c r="E2093" s="103">
        <v>226246.202259704</v>
      </c>
      <c r="F2093" s="103">
        <v>217971.17498449699</v>
      </c>
    </row>
    <row r="2094" spans="1:6" hidden="1" x14ac:dyDescent="0.2">
      <c r="A2094" s="102" t="s">
        <v>177</v>
      </c>
      <c r="B2094" s="102" t="s">
        <v>8</v>
      </c>
      <c r="C2094" s="102" t="s">
        <v>156</v>
      </c>
      <c r="D2094" s="103">
        <v>469970.01378154801</v>
      </c>
      <c r="E2094" s="103">
        <v>239771.79774029501</v>
      </c>
      <c r="F2094" s="103">
        <v>231162.82501550301</v>
      </c>
    </row>
    <row r="2095" spans="1:6" hidden="1" x14ac:dyDescent="0.2">
      <c r="A2095" s="102" t="s">
        <v>177</v>
      </c>
      <c r="B2095" s="102" t="s">
        <v>8</v>
      </c>
      <c r="C2095" s="102" t="s">
        <v>157</v>
      </c>
      <c r="D2095" s="104">
        <v>1.64650540286688</v>
      </c>
      <c r="E2095" s="104">
        <v>1.76428249763392</v>
      </c>
      <c r="F2095" s="104">
        <v>1.7854085538067701</v>
      </c>
    </row>
    <row r="2096" spans="1:6" hidden="1" x14ac:dyDescent="0.2">
      <c r="A2096" s="102" t="s">
        <v>177</v>
      </c>
      <c r="B2096" s="102" t="s">
        <v>8</v>
      </c>
      <c r="C2096" s="102" t="s">
        <v>158</v>
      </c>
      <c r="D2096" s="104">
        <v>1.0409732439035899</v>
      </c>
      <c r="E2096" s="104">
        <v>1.0729911052405801</v>
      </c>
      <c r="F2096" s="104">
        <v>1.0820156515216801</v>
      </c>
    </row>
    <row r="2097" spans="1:6" hidden="1" x14ac:dyDescent="0.2">
      <c r="A2097" s="95" t="s">
        <v>177</v>
      </c>
      <c r="B2097" s="95" t="s">
        <v>9</v>
      </c>
      <c r="C2097" s="95" t="s">
        <v>153</v>
      </c>
      <c r="D2097" s="96">
        <v>404419</v>
      </c>
      <c r="E2097" s="96">
        <v>202609</v>
      </c>
      <c r="F2097" s="96">
        <v>201810</v>
      </c>
    </row>
    <row r="2098" spans="1:6" hidden="1" x14ac:dyDescent="0.2">
      <c r="A2098" s="97" t="s">
        <v>177</v>
      </c>
      <c r="B2098" s="97" t="s">
        <v>9</v>
      </c>
      <c r="C2098" s="97" t="s">
        <v>154</v>
      </c>
      <c r="D2098" s="98">
        <v>6807.7274253694304</v>
      </c>
      <c r="E2098" s="98">
        <v>3816.6922538701301</v>
      </c>
      <c r="F2098" s="98">
        <v>3480.5817906213501</v>
      </c>
    </row>
    <row r="2099" spans="1:6" hidden="1" x14ac:dyDescent="0.2">
      <c r="A2099" s="97" t="s">
        <v>177</v>
      </c>
      <c r="B2099" s="97" t="s">
        <v>9</v>
      </c>
      <c r="C2099" s="97" t="s">
        <v>155</v>
      </c>
      <c r="D2099" s="98">
        <v>393219.78103998402</v>
      </c>
      <c r="E2099" s="98">
        <v>196330.256803731</v>
      </c>
      <c r="F2099" s="98">
        <v>196084.18356437801</v>
      </c>
    </row>
    <row r="2100" spans="1:6" hidden="1" x14ac:dyDescent="0.2">
      <c r="A2100" s="97" t="s">
        <v>177</v>
      </c>
      <c r="B2100" s="97" t="s">
        <v>9</v>
      </c>
      <c r="C2100" s="97" t="s">
        <v>156</v>
      </c>
      <c r="D2100" s="98">
        <v>415618.21896001499</v>
      </c>
      <c r="E2100" s="98">
        <v>208887.74319626801</v>
      </c>
      <c r="F2100" s="98">
        <v>207535.816435621</v>
      </c>
    </row>
    <row r="2101" spans="1:6" hidden="1" x14ac:dyDescent="0.2">
      <c r="A2101" s="97" t="s">
        <v>177</v>
      </c>
      <c r="B2101" s="97" t="s">
        <v>9</v>
      </c>
      <c r="C2101" s="97" t="s">
        <v>157</v>
      </c>
      <c r="D2101" s="99">
        <v>1.68333521060321</v>
      </c>
      <c r="E2101" s="99">
        <v>1.8837723170590299</v>
      </c>
      <c r="F2101" s="99">
        <v>1.7246825185180901</v>
      </c>
    </row>
    <row r="2102" spans="1:6" hidden="1" x14ac:dyDescent="0.2">
      <c r="A2102" s="97" t="s">
        <v>177</v>
      </c>
      <c r="B2102" s="97" t="s">
        <v>9</v>
      </c>
      <c r="C2102" s="97" t="s">
        <v>158</v>
      </c>
      <c r="D2102" s="99">
        <v>1.0457575269000801</v>
      </c>
      <c r="E2102" s="99">
        <v>1.1388980472216801</v>
      </c>
      <c r="F2102" s="99">
        <v>1.00943365013681</v>
      </c>
    </row>
    <row r="2103" spans="1:6" hidden="1" x14ac:dyDescent="0.2">
      <c r="A2103" s="100" t="s">
        <v>177</v>
      </c>
      <c r="B2103" s="100" t="s">
        <v>10</v>
      </c>
      <c r="C2103" s="100" t="s">
        <v>153</v>
      </c>
      <c r="D2103" s="101">
        <v>399622</v>
      </c>
      <c r="E2103" s="101">
        <v>198060</v>
      </c>
      <c r="F2103" s="101">
        <v>201562</v>
      </c>
    </row>
    <row r="2104" spans="1:6" hidden="1" x14ac:dyDescent="0.2">
      <c r="A2104" s="102" t="s">
        <v>177</v>
      </c>
      <c r="B2104" s="102" t="s">
        <v>10</v>
      </c>
      <c r="C2104" s="102" t="s">
        <v>154</v>
      </c>
      <c r="D2104" s="103">
        <v>7424.1916029467902</v>
      </c>
      <c r="E2104" s="103">
        <v>3641.69960625985</v>
      </c>
      <c r="F2104" s="103">
        <v>4207.2304450739402</v>
      </c>
    </row>
    <row r="2105" spans="1:6" hidden="1" x14ac:dyDescent="0.2">
      <c r="A2105" s="102" t="s">
        <v>177</v>
      </c>
      <c r="B2105" s="102" t="s">
        <v>10</v>
      </c>
      <c r="C2105" s="102" t="s">
        <v>155</v>
      </c>
      <c r="D2105" s="103">
        <v>387408.65152593103</v>
      </c>
      <c r="E2105" s="103">
        <v>192069.13275036201</v>
      </c>
      <c r="F2105" s="103">
        <v>194640.79237437699</v>
      </c>
    </row>
    <row r="2106" spans="1:6" hidden="1" x14ac:dyDescent="0.2">
      <c r="A2106" s="102" t="s">
        <v>177</v>
      </c>
      <c r="B2106" s="102" t="s">
        <v>10</v>
      </c>
      <c r="C2106" s="102" t="s">
        <v>156</v>
      </c>
      <c r="D2106" s="103">
        <v>411835.34847406799</v>
      </c>
      <c r="E2106" s="103">
        <v>204050.867249637</v>
      </c>
      <c r="F2106" s="103">
        <v>208483.20762562199</v>
      </c>
    </row>
    <row r="2107" spans="1:6" hidden="1" x14ac:dyDescent="0.2">
      <c r="A2107" s="102" t="s">
        <v>177</v>
      </c>
      <c r="B2107" s="102" t="s">
        <v>10</v>
      </c>
      <c r="C2107" s="102" t="s">
        <v>157</v>
      </c>
      <c r="D2107" s="104">
        <v>1.8578035250678799</v>
      </c>
      <c r="E2107" s="104">
        <v>1.8386850480964601</v>
      </c>
      <c r="F2107" s="104">
        <v>2.0873133056200701</v>
      </c>
    </row>
    <row r="2108" spans="1:6" hidden="1" x14ac:dyDescent="0.2">
      <c r="A2108" s="102" t="s">
        <v>177</v>
      </c>
      <c r="B2108" s="102" t="s">
        <v>10</v>
      </c>
      <c r="C2108" s="102" t="s">
        <v>158</v>
      </c>
      <c r="D2108" s="104">
        <v>1.19820973240955</v>
      </c>
      <c r="E2108" s="104">
        <v>1.08248887508547</v>
      </c>
      <c r="F2108" s="104">
        <v>1.33609169457184</v>
      </c>
    </row>
    <row r="2109" spans="1:6" hidden="1" x14ac:dyDescent="0.2">
      <c r="A2109" s="95" t="s">
        <v>177</v>
      </c>
      <c r="B2109" s="95" t="s">
        <v>11</v>
      </c>
      <c r="C2109" s="95" t="s">
        <v>153</v>
      </c>
      <c r="D2109" s="96">
        <v>394106</v>
      </c>
      <c r="E2109" s="96">
        <v>195135</v>
      </c>
      <c r="F2109" s="96">
        <v>198971</v>
      </c>
    </row>
    <row r="2110" spans="1:6" hidden="1" x14ac:dyDescent="0.2">
      <c r="A2110" s="97" t="s">
        <v>177</v>
      </c>
      <c r="B2110" s="97" t="s">
        <v>11</v>
      </c>
      <c r="C2110" s="97" t="s">
        <v>154</v>
      </c>
      <c r="D2110" s="98">
        <v>7251.98994574674</v>
      </c>
      <c r="E2110" s="98">
        <v>3817.8921600161498</v>
      </c>
      <c r="F2110" s="98">
        <v>3854.9779536010701</v>
      </c>
    </row>
    <row r="2111" spans="1:6" hidden="1" x14ac:dyDescent="0.2">
      <c r="A2111" s="97" t="s">
        <v>177</v>
      </c>
      <c r="B2111" s="97" t="s">
        <v>11</v>
      </c>
      <c r="C2111" s="97" t="s">
        <v>155</v>
      </c>
      <c r="D2111" s="98">
        <v>382175.936085339</v>
      </c>
      <c r="E2111" s="98">
        <v>188854.28286869801</v>
      </c>
      <c r="F2111" s="98">
        <v>192629.27397443599</v>
      </c>
    </row>
    <row r="2112" spans="1:6" hidden="1" x14ac:dyDescent="0.2">
      <c r="A2112" s="97" t="s">
        <v>177</v>
      </c>
      <c r="B2112" s="97" t="s">
        <v>11</v>
      </c>
      <c r="C2112" s="97" t="s">
        <v>156</v>
      </c>
      <c r="D2112" s="98">
        <v>406036.063914661</v>
      </c>
      <c r="E2112" s="98">
        <v>201415.717131301</v>
      </c>
      <c r="F2112" s="98">
        <v>205312.726025563</v>
      </c>
    </row>
    <row r="2113" spans="1:6" hidden="1" x14ac:dyDescent="0.2">
      <c r="A2113" s="97" t="s">
        <v>177</v>
      </c>
      <c r="B2113" s="97" t="s">
        <v>11</v>
      </c>
      <c r="C2113" s="97" t="s">
        <v>157</v>
      </c>
      <c r="D2113" s="99">
        <v>1.8401115298287101</v>
      </c>
      <c r="E2113" s="99">
        <v>1.95653888847011</v>
      </c>
      <c r="F2113" s="99">
        <v>1.93745719406399</v>
      </c>
    </row>
    <row r="2114" spans="1:6" hidden="1" x14ac:dyDescent="0.2">
      <c r="A2114" s="97" t="s">
        <v>177</v>
      </c>
      <c r="B2114" s="97" t="s">
        <v>11</v>
      </c>
      <c r="C2114" s="97" t="s">
        <v>158</v>
      </c>
      <c r="D2114" s="99">
        <v>1.17415384806756</v>
      </c>
      <c r="E2114" s="99">
        <v>1.1930441516488499</v>
      </c>
      <c r="F2114" s="99">
        <v>1.1751207228434599</v>
      </c>
    </row>
    <row r="2115" spans="1:6" hidden="1" x14ac:dyDescent="0.2">
      <c r="A2115" s="100" t="s">
        <v>177</v>
      </c>
      <c r="B2115" s="100" t="s">
        <v>12</v>
      </c>
      <c r="C2115" s="100" t="s">
        <v>153</v>
      </c>
      <c r="D2115" s="101">
        <v>383239</v>
      </c>
      <c r="E2115" s="101">
        <v>189626</v>
      </c>
      <c r="F2115" s="101">
        <v>193613</v>
      </c>
    </row>
    <row r="2116" spans="1:6" hidden="1" x14ac:dyDescent="0.2">
      <c r="A2116" s="102" t="s">
        <v>177</v>
      </c>
      <c r="B2116" s="102" t="s">
        <v>12</v>
      </c>
      <c r="C2116" s="102" t="s">
        <v>154</v>
      </c>
      <c r="D2116" s="103">
        <v>6437.0936404677404</v>
      </c>
      <c r="E2116" s="103">
        <v>3521.1077623521501</v>
      </c>
      <c r="F2116" s="103">
        <v>3369.0159590683802</v>
      </c>
    </row>
    <row r="2117" spans="1:6" hidden="1" x14ac:dyDescent="0.2">
      <c r="A2117" s="102" t="s">
        <v>177</v>
      </c>
      <c r="B2117" s="102" t="s">
        <v>12</v>
      </c>
      <c r="C2117" s="102" t="s">
        <v>155</v>
      </c>
      <c r="D2117" s="103">
        <v>372649.50123759703</v>
      </c>
      <c r="E2117" s="103">
        <v>183833.515320687</v>
      </c>
      <c r="F2117" s="103">
        <v>188070.717671716</v>
      </c>
    </row>
    <row r="2118" spans="1:6" hidden="1" x14ac:dyDescent="0.2">
      <c r="A2118" s="102" t="s">
        <v>177</v>
      </c>
      <c r="B2118" s="102" t="s">
        <v>12</v>
      </c>
      <c r="C2118" s="102" t="s">
        <v>156</v>
      </c>
      <c r="D2118" s="103">
        <v>393828.49876240199</v>
      </c>
      <c r="E2118" s="103">
        <v>195418.484679313</v>
      </c>
      <c r="F2118" s="103">
        <v>199155.28232828301</v>
      </c>
    </row>
    <row r="2119" spans="1:6" hidden="1" x14ac:dyDescent="0.2">
      <c r="A2119" s="102" t="s">
        <v>177</v>
      </c>
      <c r="B2119" s="102" t="s">
        <v>12</v>
      </c>
      <c r="C2119" s="102" t="s">
        <v>157</v>
      </c>
      <c r="D2119" s="104">
        <v>1.6796551604789001</v>
      </c>
      <c r="E2119" s="104">
        <v>1.85686971319975</v>
      </c>
      <c r="F2119" s="104">
        <v>1.7400773496967601</v>
      </c>
    </row>
    <row r="2120" spans="1:6" hidden="1" x14ac:dyDescent="0.2">
      <c r="A2120" s="102" t="s">
        <v>177</v>
      </c>
      <c r="B2120" s="102" t="s">
        <v>12</v>
      </c>
      <c r="C2120" s="102" t="s">
        <v>158</v>
      </c>
      <c r="D2120" s="104">
        <v>1.05938541374119</v>
      </c>
      <c r="E2120" s="104">
        <v>1.12349000771039</v>
      </c>
      <c r="F2120" s="104">
        <v>1.04512334987707</v>
      </c>
    </row>
    <row r="2121" spans="1:6" hidden="1" x14ac:dyDescent="0.2">
      <c r="A2121" s="95" t="s">
        <v>177</v>
      </c>
      <c r="B2121" s="95" t="s">
        <v>13</v>
      </c>
      <c r="C2121" s="95" t="s">
        <v>153</v>
      </c>
      <c r="D2121" s="96">
        <v>314635</v>
      </c>
      <c r="E2121" s="96">
        <v>153817</v>
      </c>
      <c r="F2121" s="96">
        <v>160818</v>
      </c>
    </row>
    <row r="2122" spans="1:6" hidden="1" x14ac:dyDescent="0.2">
      <c r="A2122" s="97" t="s">
        <v>177</v>
      </c>
      <c r="B2122" s="97" t="s">
        <v>13</v>
      </c>
      <c r="C2122" s="97" t="s">
        <v>154</v>
      </c>
      <c r="D2122" s="98">
        <v>5514.2792391254397</v>
      </c>
      <c r="E2122" s="98">
        <v>2861.8030369828198</v>
      </c>
      <c r="F2122" s="98">
        <v>3055.5537681323899</v>
      </c>
    </row>
    <row r="2123" spans="1:6" hidden="1" x14ac:dyDescent="0.2">
      <c r="A2123" s="97" t="s">
        <v>177</v>
      </c>
      <c r="B2123" s="97" t="s">
        <v>13</v>
      </c>
      <c r="C2123" s="97" t="s">
        <v>155</v>
      </c>
      <c r="D2123" s="98">
        <v>305563.59970046702</v>
      </c>
      <c r="E2123" s="98">
        <v>149109.12072854501</v>
      </c>
      <c r="F2123" s="98">
        <v>155791.38633654799</v>
      </c>
    </row>
    <row r="2124" spans="1:6" hidden="1" x14ac:dyDescent="0.2">
      <c r="A2124" s="97" t="s">
        <v>177</v>
      </c>
      <c r="B2124" s="97" t="s">
        <v>13</v>
      </c>
      <c r="C2124" s="97" t="s">
        <v>156</v>
      </c>
      <c r="D2124" s="98">
        <v>323706.40029953199</v>
      </c>
      <c r="E2124" s="98">
        <v>158524.879271454</v>
      </c>
      <c r="F2124" s="98">
        <v>165844.61366345099</v>
      </c>
    </row>
    <row r="2125" spans="1:6" hidden="1" x14ac:dyDescent="0.2">
      <c r="A2125" s="97" t="s">
        <v>177</v>
      </c>
      <c r="B2125" s="97" t="s">
        <v>13</v>
      </c>
      <c r="C2125" s="97" t="s">
        <v>157</v>
      </c>
      <c r="D2125" s="99">
        <v>1.7525956232222799</v>
      </c>
      <c r="E2125" s="99">
        <v>1.8605245434398101</v>
      </c>
      <c r="F2125" s="99">
        <v>1.9000073176711501</v>
      </c>
    </row>
    <row r="2126" spans="1:6" hidden="1" x14ac:dyDescent="0.2">
      <c r="A2126" s="97" t="s">
        <v>177</v>
      </c>
      <c r="B2126" s="97" t="s">
        <v>13</v>
      </c>
      <c r="C2126" s="97" t="s">
        <v>158</v>
      </c>
      <c r="D2126" s="99">
        <v>1.16232437370829</v>
      </c>
      <c r="E2126" s="99">
        <v>1.1629221879760601</v>
      </c>
      <c r="F2126" s="99">
        <v>1.20666972898734</v>
      </c>
    </row>
    <row r="2127" spans="1:6" hidden="1" x14ac:dyDescent="0.2">
      <c r="A2127" s="100" t="s">
        <v>177</v>
      </c>
      <c r="B2127" s="100" t="s">
        <v>14</v>
      </c>
      <c r="C2127" s="100" t="s">
        <v>153</v>
      </c>
      <c r="D2127" s="101">
        <v>275167</v>
      </c>
      <c r="E2127" s="101">
        <v>132339</v>
      </c>
      <c r="F2127" s="101">
        <v>142828</v>
      </c>
    </row>
    <row r="2128" spans="1:6" hidden="1" x14ac:dyDescent="0.2">
      <c r="A2128" s="102" t="s">
        <v>177</v>
      </c>
      <c r="B2128" s="102" t="s">
        <v>14</v>
      </c>
      <c r="C2128" s="102" t="s">
        <v>154</v>
      </c>
      <c r="D2128" s="103">
        <v>5172.0552387340404</v>
      </c>
      <c r="E2128" s="103">
        <v>2643.5375762963899</v>
      </c>
      <c r="F2128" s="103">
        <v>2934.0603955552501</v>
      </c>
    </row>
    <row r="2129" spans="1:6" hidden="1" x14ac:dyDescent="0.2">
      <c r="A2129" s="102" t="s">
        <v>177</v>
      </c>
      <c r="B2129" s="102" t="s">
        <v>14</v>
      </c>
      <c r="C2129" s="102" t="s">
        <v>155</v>
      </c>
      <c r="D2129" s="103">
        <v>266658.583685324</v>
      </c>
      <c r="E2129" s="103">
        <v>127990.183677589</v>
      </c>
      <c r="F2129" s="103">
        <v>138001.25198872</v>
      </c>
    </row>
    <row r="2130" spans="1:6" hidden="1" x14ac:dyDescent="0.2">
      <c r="A2130" s="102" t="s">
        <v>177</v>
      </c>
      <c r="B2130" s="102" t="s">
        <v>14</v>
      </c>
      <c r="C2130" s="102" t="s">
        <v>156</v>
      </c>
      <c r="D2130" s="103">
        <v>283675.41631467501</v>
      </c>
      <c r="E2130" s="103">
        <v>136687.816322411</v>
      </c>
      <c r="F2130" s="103">
        <v>147654.74801127901</v>
      </c>
    </row>
    <row r="2131" spans="1:6" hidden="1" x14ac:dyDescent="0.2">
      <c r="A2131" s="102" t="s">
        <v>177</v>
      </c>
      <c r="B2131" s="102" t="s">
        <v>14</v>
      </c>
      <c r="C2131" s="102" t="s">
        <v>157</v>
      </c>
      <c r="D2131" s="104">
        <v>1.8796059261226901</v>
      </c>
      <c r="E2131" s="104">
        <v>1.99754991068119</v>
      </c>
      <c r="F2131" s="104">
        <v>2.0542613462033001</v>
      </c>
    </row>
    <row r="2132" spans="1:6" hidden="1" x14ac:dyDescent="0.2">
      <c r="A2132" s="102" t="s">
        <v>177</v>
      </c>
      <c r="B2132" s="102" t="s">
        <v>14</v>
      </c>
      <c r="C2132" s="102" t="s">
        <v>158</v>
      </c>
      <c r="D2132" s="104">
        <v>1.23430944403888</v>
      </c>
      <c r="E2132" s="104">
        <v>1.25506010200235</v>
      </c>
      <c r="F2132" s="104">
        <v>1.2700746198638</v>
      </c>
    </row>
    <row r="2133" spans="1:6" hidden="1" x14ac:dyDescent="0.2">
      <c r="A2133" s="95" t="s">
        <v>177</v>
      </c>
      <c r="B2133" s="95" t="s">
        <v>15</v>
      </c>
      <c r="C2133" s="95" t="s">
        <v>153</v>
      </c>
      <c r="D2133" s="96">
        <v>210836</v>
      </c>
      <c r="E2133" s="96">
        <v>100376</v>
      </c>
      <c r="F2133" s="96">
        <v>110460</v>
      </c>
    </row>
    <row r="2134" spans="1:6" hidden="1" x14ac:dyDescent="0.2">
      <c r="A2134" s="97" t="s">
        <v>177</v>
      </c>
      <c r="B2134" s="97" t="s">
        <v>15</v>
      </c>
      <c r="C2134" s="97" t="s">
        <v>154</v>
      </c>
      <c r="D2134" s="98">
        <v>4195.9659230966799</v>
      </c>
      <c r="E2134" s="98">
        <v>2223.0856618154598</v>
      </c>
      <c r="F2134" s="98">
        <v>2369.2567232227698</v>
      </c>
    </row>
    <row r="2135" spans="1:6" hidden="1" x14ac:dyDescent="0.2">
      <c r="A2135" s="97" t="s">
        <v>177</v>
      </c>
      <c r="B2135" s="97" t="s">
        <v>15</v>
      </c>
      <c r="C2135" s="97" t="s">
        <v>155</v>
      </c>
      <c r="D2135" s="98">
        <v>203933.32335251701</v>
      </c>
      <c r="E2135" s="98">
        <v>96718.858411051697</v>
      </c>
      <c r="F2135" s="98">
        <v>106562.39612165101</v>
      </c>
    </row>
    <row r="2136" spans="1:6" hidden="1" x14ac:dyDescent="0.2">
      <c r="A2136" s="97" t="s">
        <v>177</v>
      </c>
      <c r="B2136" s="97" t="s">
        <v>15</v>
      </c>
      <c r="C2136" s="97" t="s">
        <v>156</v>
      </c>
      <c r="D2136" s="98">
        <v>217738.676647482</v>
      </c>
      <c r="E2136" s="98">
        <v>104033.141588948</v>
      </c>
      <c r="F2136" s="98">
        <v>114357.603878348</v>
      </c>
    </row>
    <row r="2137" spans="1:6" hidden="1" x14ac:dyDescent="0.2">
      <c r="A2137" s="97" t="s">
        <v>177</v>
      </c>
      <c r="B2137" s="97" t="s">
        <v>15</v>
      </c>
      <c r="C2137" s="97" t="s">
        <v>157</v>
      </c>
      <c r="D2137" s="99">
        <v>1.9901562935630901</v>
      </c>
      <c r="E2137" s="99">
        <v>2.2147581710921602</v>
      </c>
      <c r="F2137" s="99">
        <v>2.1449001658725</v>
      </c>
    </row>
    <row r="2138" spans="1:6" hidden="1" x14ac:dyDescent="0.2">
      <c r="A2138" s="97" t="s">
        <v>177</v>
      </c>
      <c r="B2138" s="97" t="s">
        <v>15</v>
      </c>
      <c r="C2138" s="97" t="s">
        <v>158</v>
      </c>
      <c r="D2138" s="99">
        <v>1.2279713835081301</v>
      </c>
      <c r="E2138" s="99">
        <v>1.2997963240871899</v>
      </c>
      <c r="F2138" s="99">
        <v>1.25844754570357</v>
      </c>
    </row>
    <row r="2139" spans="1:6" hidden="1" x14ac:dyDescent="0.2">
      <c r="A2139" s="100" t="s">
        <v>177</v>
      </c>
      <c r="B2139" s="100" t="s">
        <v>16</v>
      </c>
      <c r="C2139" s="100" t="s">
        <v>153</v>
      </c>
      <c r="D2139" s="101">
        <v>162227</v>
      </c>
      <c r="E2139" s="101">
        <v>79120</v>
      </c>
      <c r="F2139" s="101">
        <v>83107</v>
      </c>
    </row>
    <row r="2140" spans="1:6" hidden="1" x14ac:dyDescent="0.2">
      <c r="A2140" s="102" t="s">
        <v>177</v>
      </c>
      <c r="B2140" s="102" t="s">
        <v>16</v>
      </c>
      <c r="C2140" s="102" t="s">
        <v>154</v>
      </c>
      <c r="D2140" s="103">
        <v>3392.4942387267702</v>
      </c>
      <c r="E2140" s="103">
        <v>1861.2352208027701</v>
      </c>
      <c r="F2140" s="103">
        <v>1914.94200421345</v>
      </c>
    </row>
    <row r="2141" spans="1:6" hidden="1" x14ac:dyDescent="0.2">
      <c r="A2141" s="102" t="s">
        <v>177</v>
      </c>
      <c r="B2141" s="102" t="s">
        <v>16</v>
      </c>
      <c r="C2141" s="102" t="s">
        <v>155</v>
      </c>
      <c r="D2141" s="103">
        <v>156646.094151962</v>
      </c>
      <c r="E2141" s="103">
        <v>76058.129353389595</v>
      </c>
      <c r="F2141" s="103">
        <v>79956.777692185802</v>
      </c>
    </row>
    <row r="2142" spans="1:6" hidden="1" x14ac:dyDescent="0.2">
      <c r="A2142" s="102" t="s">
        <v>177</v>
      </c>
      <c r="B2142" s="102" t="s">
        <v>16</v>
      </c>
      <c r="C2142" s="102" t="s">
        <v>156</v>
      </c>
      <c r="D2142" s="103">
        <v>167807.90584803699</v>
      </c>
      <c r="E2142" s="103">
        <v>82181.870646610303</v>
      </c>
      <c r="F2142" s="103">
        <v>86257.222307814096</v>
      </c>
    </row>
    <row r="2143" spans="1:6" hidden="1" x14ac:dyDescent="0.2">
      <c r="A2143" s="102" t="s">
        <v>177</v>
      </c>
      <c r="B2143" s="102" t="s">
        <v>16</v>
      </c>
      <c r="C2143" s="102" t="s">
        <v>157</v>
      </c>
      <c r="D2143" s="104">
        <v>2.09120198162252</v>
      </c>
      <c r="E2143" s="104">
        <v>2.3524206531885299</v>
      </c>
      <c r="F2143" s="104">
        <v>2.3041885812428</v>
      </c>
    </row>
    <row r="2144" spans="1:6" hidden="1" x14ac:dyDescent="0.2">
      <c r="A2144" s="102" t="s">
        <v>177</v>
      </c>
      <c r="B2144" s="102" t="s">
        <v>16</v>
      </c>
      <c r="C2144" s="102" t="s">
        <v>158</v>
      </c>
      <c r="D2144" s="104">
        <v>1.29881170819958</v>
      </c>
      <c r="E2144" s="104">
        <v>1.3769883910179099</v>
      </c>
      <c r="F2144" s="104">
        <v>1.3600571848989</v>
      </c>
    </row>
    <row r="2145" spans="1:6" hidden="1" x14ac:dyDescent="0.2">
      <c r="A2145" s="95" t="s">
        <v>177</v>
      </c>
      <c r="B2145" s="95" t="s">
        <v>17</v>
      </c>
      <c r="C2145" s="95" t="s">
        <v>153</v>
      </c>
      <c r="D2145" s="96">
        <v>125050</v>
      </c>
      <c r="E2145" s="96">
        <v>58983</v>
      </c>
      <c r="F2145" s="96">
        <v>66067</v>
      </c>
    </row>
    <row r="2146" spans="1:6" hidden="1" x14ac:dyDescent="0.2">
      <c r="A2146" s="97" t="s">
        <v>177</v>
      </c>
      <c r="B2146" s="97" t="s">
        <v>17</v>
      </c>
      <c r="C2146" s="97" t="s">
        <v>154</v>
      </c>
      <c r="D2146" s="98">
        <v>2847.2653331070401</v>
      </c>
      <c r="E2146" s="98">
        <v>1483.8202131988</v>
      </c>
      <c r="F2146" s="98">
        <v>1682.98730555366</v>
      </c>
    </row>
    <row r="2147" spans="1:6" hidden="1" x14ac:dyDescent="0.2">
      <c r="A2147" s="97" t="s">
        <v>177</v>
      </c>
      <c r="B2147" s="97" t="s">
        <v>17</v>
      </c>
      <c r="C2147" s="97" t="s">
        <v>155</v>
      </c>
      <c r="D2147" s="98">
        <v>120366.03633484201</v>
      </c>
      <c r="E2147" s="98">
        <v>56542.005167718104</v>
      </c>
      <c r="F2147" s="98">
        <v>63298.360457884497</v>
      </c>
    </row>
    <row r="2148" spans="1:6" hidden="1" x14ac:dyDescent="0.2">
      <c r="A2148" s="97" t="s">
        <v>177</v>
      </c>
      <c r="B2148" s="97" t="s">
        <v>17</v>
      </c>
      <c r="C2148" s="97" t="s">
        <v>156</v>
      </c>
      <c r="D2148" s="98">
        <v>129733.963665157</v>
      </c>
      <c r="E2148" s="98">
        <v>61423.994832281802</v>
      </c>
      <c r="F2148" s="98">
        <v>68835.639542115401</v>
      </c>
    </row>
    <row r="2149" spans="1:6" hidden="1" x14ac:dyDescent="0.2">
      <c r="A2149" s="97" t="s">
        <v>177</v>
      </c>
      <c r="B2149" s="97" t="s">
        <v>17</v>
      </c>
      <c r="C2149" s="97" t="s">
        <v>157</v>
      </c>
      <c r="D2149" s="99">
        <v>2.2769015058832802</v>
      </c>
      <c r="E2149" s="99">
        <v>2.5156743692229901</v>
      </c>
      <c r="F2149" s="99">
        <v>2.5473947743255398</v>
      </c>
    </row>
    <row r="2150" spans="1:6" hidden="1" x14ac:dyDescent="0.2">
      <c r="A2150" s="97" t="s">
        <v>177</v>
      </c>
      <c r="B2150" s="97" t="s">
        <v>17</v>
      </c>
      <c r="C2150" s="97" t="s">
        <v>158</v>
      </c>
      <c r="D2150" s="99">
        <v>1.39914000269004</v>
      </c>
      <c r="E2150" s="99">
        <v>1.4157662598139999</v>
      </c>
      <c r="F2150" s="99">
        <v>1.4915670768163301</v>
      </c>
    </row>
    <row r="2151" spans="1:6" hidden="1" x14ac:dyDescent="0.2">
      <c r="A2151" s="100" t="s">
        <v>177</v>
      </c>
      <c r="B2151" s="100" t="s">
        <v>18</v>
      </c>
      <c r="C2151" s="100" t="s">
        <v>153</v>
      </c>
      <c r="D2151" s="101">
        <v>92128</v>
      </c>
      <c r="E2151" s="101">
        <v>43227</v>
      </c>
      <c r="F2151" s="101">
        <v>48901</v>
      </c>
    </row>
    <row r="2152" spans="1:6" hidden="1" x14ac:dyDescent="0.2">
      <c r="A2152" s="102" t="s">
        <v>177</v>
      </c>
      <c r="B2152" s="102" t="s">
        <v>18</v>
      </c>
      <c r="C2152" s="102" t="s">
        <v>154</v>
      </c>
      <c r="D2152" s="103">
        <v>2341.55413483551</v>
      </c>
      <c r="E2152" s="103">
        <v>1297.31116077468</v>
      </c>
      <c r="F2152" s="103">
        <v>1360.00450808716</v>
      </c>
    </row>
    <row r="2153" spans="1:6" hidden="1" x14ac:dyDescent="0.2">
      <c r="A2153" s="102" t="s">
        <v>177</v>
      </c>
      <c r="B2153" s="102" t="s">
        <v>18</v>
      </c>
      <c r="C2153" s="102" t="s">
        <v>155</v>
      </c>
      <c r="D2153" s="103">
        <v>88275.968944081294</v>
      </c>
      <c r="E2153" s="103">
        <v>41092.826458526397</v>
      </c>
      <c r="F2153" s="103">
        <v>46663.691229981203</v>
      </c>
    </row>
    <row r="2154" spans="1:6" hidden="1" x14ac:dyDescent="0.2">
      <c r="A2154" s="102" t="s">
        <v>177</v>
      </c>
      <c r="B2154" s="102" t="s">
        <v>18</v>
      </c>
      <c r="C2154" s="102" t="s">
        <v>156</v>
      </c>
      <c r="D2154" s="103">
        <v>95980.031055918604</v>
      </c>
      <c r="E2154" s="103">
        <v>45361.173541473501</v>
      </c>
      <c r="F2154" s="103">
        <v>51138.308770018702</v>
      </c>
    </row>
    <row r="2155" spans="1:6" hidden="1" x14ac:dyDescent="0.2">
      <c r="A2155" s="102" t="s">
        <v>177</v>
      </c>
      <c r="B2155" s="102" t="s">
        <v>18</v>
      </c>
      <c r="C2155" s="102" t="s">
        <v>157</v>
      </c>
      <c r="D2155" s="104">
        <v>2.54163135510974</v>
      </c>
      <c r="E2155" s="104">
        <v>3.0011593697797201</v>
      </c>
      <c r="F2155" s="104">
        <v>2.78113843906497</v>
      </c>
    </row>
    <row r="2156" spans="1:6" hidden="1" x14ac:dyDescent="0.2">
      <c r="A2156" s="102" t="s">
        <v>177</v>
      </c>
      <c r="B2156" s="102" t="s">
        <v>18</v>
      </c>
      <c r="C2156" s="102" t="s">
        <v>158</v>
      </c>
      <c r="D2156" s="104">
        <v>1.55550378921148</v>
      </c>
      <c r="E2156" s="104">
        <v>1.7092849155312799</v>
      </c>
      <c r="F2156" s="104">
        <v>1.5359635612418101</v>
      </c>
    </row>
    <row r="2157" spans="1:6" hidden="1" x14ac:dyDescent="0.2">
      <c r="A2157" s="95" t="s">
        <v>177</v>
      </c>
      <c r="B2157" s="95" t="s">
        <v>19</v>
      </c>
      <c r="C2157" s="95" t="s">
        <v>153</v>
      </c>
      <c r="D2157" s="96">
        <v>125054</v>
      </c>
      <c r="E2157" s="96">
        <v>54212</v>
      </c>
      <c r="F2157" s="96">
        <v>70842</v>
      </c>
    </row>
    <row r="2158" spans="1:6" hidden="1" x14ac:dyDescent="0.2">
      <c r="A2158" s="97" t="s">
        <v>177</v>
      </c>
      <c r="B2158" s="97" t="s">
        <v>19</v>
      </c>
      <c r="C2158" s="97" t="s">
        <v>154</v>
      </c>
      <c r="D2158" s="98">
        <v>2974.5849012154699</v>
      </c>
      <c r="E2158" s="98">
        <v>1373.8661584952299</v>
      </c>
      <c r="F2158" s="98">
        <v>1951.71580237533</v>
      </c>
    </row>
    <row r="2159" spans="1:6" hidden="1" x14ac:dyDescent="0.2">
      <c r="A2159" s="97" t="s">
        <v>177</v>
      </c>
      <c r="B2159" s="97" t="s">
        <v>19</v>
      </c>
      <c r="C2159" s="97" t="s">
        <v>155</v>
      </c>
      <c r="D2159" s="98">
        <v>120160.58615682401</v>
      </c>
      <c r="E2159" s="98">
        <v>51951.887782021702</v>
      </c>
      <c r="F2159" s="98">
        <v>67631.282053645496</v>
      </c>
    </row>
    <row r="2160" spans="1:6" hidden="1" x14ac:dyDescent="0.2">
      <c r="A2160" s="97" t="s">
        <v>177</v>
      </c>
      <c r="B2160" s="97" t="s">
        <v>19</v>
      </c>
      <c r="C2160" s="97" t="s">
        <v>156</v>
      </c>
      <c r="D2160" s="98">
        <v>129947.413843175</v>
      </c>
      <c r="E2160" s="98">
        <v>56472.112217978203</v>
      </c>
      <c r="F2160" s="98">
        <v>74052.717946354504</v>
      </c>
    </row>
    <row r="2161" spans="1:6" hidden="1" x14ac:dyDescent="0.2">
      <c r="A2161" s="97" t="s">
        <v>177</v>
      </c>
      <c r="B2161" s="97" t="s">
        <v>19</v>
      </c>
      <c r="C2161" s="97" t="s">
        <v>157</v>
      </c>
      <c r="D2161" s="99">
        <v>2.3786403483418899</v>
      </c>
      <c r="E2161" s="99">
        <v>2.53424732253972</v>
      </c>
      <c r="F2161" s="99">
        <v>2.7550264001232798</v>
      </c>
    </row>
    <row r="2162" spans="1:6" hidden="1" x14ac:dyDescent="0.2">
      <c r="A2162" s="97" t="s">
        <v>177</v>
      </c>
      <c r="B2162" s="97" t="s">
        <v>19</v>
      </c>
      <c r="C2162" s="97" t="s">
        <v>158</v>
      </c>
      <c r="D2162" s="99">
        <v>1.41270011016653</v>
      </c>
      <c r="E2162" s="99">
        <v>1.3556252258338399</v>
      </c>
      <c r="F2162" s="99">
        <v>1.57171430080452</v>
      </c>
    </row>
    <row r="2163" spans="1:6" hidden="1" x14ac:dyDescent="0.2">
      <c r="A2163" s="100" t="s">
        <v>177</v>
      </c>
      <c r="B2163" s="100" t="s">
        <v>20</v>
      </c>
      <c r="C2163" s="100" t="s">
        <v>153</v>
      </c>
      <c r="D2163" s="101">
        <v>5211</v>
      </c>
      <c r="E2163" s="101">
        <v>2785</v>
      </c>
      <c r="F2163" s="101">
        <v>2426</v>
      </c>
    </row>
    <row r="2164" spans="1:6" hidden="1" x14ac:dyDescent="0.2">
      <c r="A2164" s="102" t="s">
        <v>177</v>
      </c>
      <c r="B2164" s="102" t="s">
        <v>20</v>
      </c>
      <c r="C2164" s="102" t="s">
        <v>154</v>
      </c>
      <c r="D2164" s="103">
        <v>437.05040358836698</v>
      </c>
      <c r="E2164" s="103">
        <v>299.96711351687497</v>
      </c>
      <c r="F2164" s="103">
        <v>251.36170876990801</v>
      </c>
    </row>
    <row r="2165" spans="1:6" hidden="1" x14ac:dyDescent="0.2">
      <c r="A2165" s="102" t="s">
        <v>177</v>
      </c>
      <c r="B2165" s="102" t="s">
        <v>20</v>
      </c>
      <c r="C2165" s="102" t="s">
        <v>155</v>
      </c>
      <c r="D2165" s="103">
        <v>4492.0195149545598</v>
      </c>
      <c r="E2165" s="103">
        <v>2291.5317432421998</v>
      </c>
      <c r="F2165" s="103">
        <v>2012.49125636444</v>
      </c>
    </row>
    <row r="2166" spans="1:6" hidden="1" x14ac:dyDescent="0.2">
      <c r="A2166" s="102" t="s">
        <v>177</v>
      </c>
      <c r="B2166" s="102" t="s">
        <v>20</v>
      </c>
      <c r="C2166" s="102" t="s">
        <v>156</v>
      </c>
      <c r="D2166" s="103">
        <v>5929.9804850454302</v>
      </c>
      <c r="E2166" s="103">
        <v>3278.4682567577902</v>
      </c>
      <c r="F2166" s="103">
        <v>2839.5087436355502</v>
      </c>
    </row>
    <row r="2167" spans="1:6" hidden="1" x14ac:dyDescent="0.2">
      <c r="A2167" s="102" t="s">
        <v>177</v>
      </c>
      <c r="B2167" s="102" t="s">
        <v>20</v>
      </c>
      <c r="C2167" s="102" t="s">
        <v>157</v>
      </c>
      <c r="D2167" s="104">
        <v>8.3870735672302192</v>
      </c>
      <c r="E2167" s="104">
        <v>10.770811975471201</v>
      </c>
      <c r="F2167" s="104">
        <v>10.361158646739799</v>
      </c>
    </row>
    <row r="2168" spans="1:6" hidden="1" x14ac:dyDescent="0.2">
      <c r="A2168" s="102" t="s">
        <v>177</v>
      </c>
      <c r="B2168" s="102" t="s">
        <v>20</v>
      </c>
      <c r="C2168" s="102" t="s">
        <v>158</v>
      </c>
      <c r="D2168" s="104">
        <v>2.10719703023232</v>
      </c>
      <c r="E2168" s="104">
        <v>2.4902937560568601</v>
      </c>
      <c r="F2168" s="104">
        <v>1.86673012711122</v>
      </c>
    </row>
    <row r="2169" spans="1:6" hidden="1" x14ac:dyDescent="0.2">
      <c r="A2169" s="95" t="s">
        <v>178</v>
      </c>
      <c r="B2169" s="95" t="s">
        <v>152</v>
      </c>
      <c r="C2169" s="95" t="s">
        <v>153</v>
      </c>
      <c r="D2169" s="96">
        <v>3967889</v>
      </c>
      <c r="E2169" s="96">
        <v>1888678</v>
      </c>
      <c r="F2169" s="96">
        <v>2079211</v>
      </c>
    </row>
    <row r="2170" spans="1:6" hidden="1" x14ac:dyDescent="0.2">
      <c r="A2170" s="97" t="s">
        <v>178</v>
      </c>
      <c r="B2170" s="97" t="s">
        <v>152</v>
      </c>
      <c r="C2170" s="97" t="s">
        <v>154</v>
      </c>
      <c r="D2170" s="98">
        <v>27770.673801806199</v>
      </c>
      <c r="E2170" s="98">
        <v>13165.051618253399</v>
      </c>
      <c r="F2170" s="98">
        <v>14866.4037787288</v>
      </c>
    </row>
    <row r="2171" spans="1:6" hidden="1" x14ac:dyDescent="0.2">
      <c r="A2171" s="97" t="s">
        <v>178</v>
      </c>
      <c r="B2171" s="97" t="s">
        <v>152</v>
      </c>
      <c r="C2171" s="97" t="s">
        <v>155</v>
      </c>
      <c r="D2171" s="98">
        <v>3922208.6873433101</v>
      </c>
      <c r="E2171" s="98">
        <v>1867022.6495264999</v>
      </c>
      <c r="F2171" s="98">
        <v>2054757.07505962</v>
      </c>
    </row>
    <row r="2172" spans="1:6" hidden="1" x14ac:dyDescent="0.2">
      <c r="A2172" s="97" t="s">
        <v>178</v>
      </c>
      <c r="B2172" s="97" t="s">
        <v>152</v>
      </c>
      <c r="C2172" s="97" t="s">
        <v>156</v>
      </c>
      <c r="D2172" s="98">
        <v>4013569.3126566801</v>
      </c>
      <c r="E2172" s="98">
        <v>1910333.3504734901</v>
      </c>
      <c r="F2172" s="98">
        <v>2103664.92494037</v>
      </c>
    </row>
    <row r="2173" spans="1:6" hidden="1" x14ac:dyDescent="0.2">
      <c r="A2173" s="97" t="s">
        <v>178</v>
      </c>
      <c r="B2173" s="97" t="s">
        <v>152</v>
      </c>
      <c r="C2173" s="97" t="s">
        <v>157</v>
      </c>
      <c r="D2173" s="99">
        <v>0.69988534966089</v>
      </c>
      <c r="E2173" s="99">
        <v>0.69705114467650997</v>
      </c>
      <c r="F2173" s="99">
        <v>0.71500217047374004</v>
      </c>
    </row>
    <row r="2174" spans="1:6" hidden="1" x14ac:dyDescent="0.2">
      <c r="A2174" s="97" t="s">
        <v>178</v>
      </c>
      <c r="B2174" s="97" t="s">
        <v>152</v>
      </c>
      <c r="C2174" s="97" t="s">
        <v>158</v>
      </c>
      <c r="D2174" s="99">
        <v>1.60974990743678</v>
      </c>
      <c r="E2174" s="99">
        <v>0.99316290464121004</v>
      </c>
      <c r="F2174" s="99">
        <v>1.06622311870079</v>
      </c>
    </row>
    <row r="2175" spans="1:6" hidden="1" x14ac:dyDescent="0.2">
      <c r="A2175" s="100" t="s">
        <v>178</v>
      </c>
      <c r="B2175" s="100" t="s">
        <v>4</v>
      </c>
      <c r="C2175" s="100" t="s">
        <v>153</v>
      </c>
      <c r="D2175" s="101">
        <v>369238</v>
      </c>
      <c r="E2175" s="101">
        <v>186838</v>
      </c>
      <c r="F2175" s="101">
        <v>182400</v>
      </c>
    </row>
    <row r="2176" spans="1:6" hidden="1" x14ac:dyDescent="0.2">
      <c r="A2176" s="102" t="s">
        <v>178</v>
      </c>
      <c r="B2176" s="102" t="s">
        <v>4</v>
      </c>
      <c r="C2176" s="102" t="s">
        <v>154</v>
      </c>
      <c r="D2176" s="103">
        <v>2982.4162189885601</v>
      </c>
      <c r="E2176" s="103">
        <v>1630.86433118438</v>
      </c>
      <c r="F2176" s="103">
        <v>1590.84728801708</v>
      </c>
    </row>
    <row r="2177" spans="1:6" hidden="1" x14ac:dyDescent="0.2">
      <c r="A2177" s="102" t="s">
        <v>178</v>
      </c>
      <c r="B2177" s="102" t="s">
        <v>4</v>
      </c>
      <c r="C2177" s="102" t="s">
        <v>155</v>
      </c>
      <c r="D2177" s="103">
        <v>364332.18797944603</v>
      </c>
      <c r="E2177" s="103">
        <v>184155.371804486</v>
      </c>
      <c r="F2177" s="103">
        <v>179783.196316218</v>
      </c>
    </row>
    <row r="2178" spans="1:6" hidden="1" x14ac:dyDescent="0.2">
      <c r="A2178" s="102" t="s">
        <v>178</v>
      </c>
      <c r="B2178" s="102" t="s">
        <v>4</v>
      </c>
      <c r="C2178" s="102" t="s">
        <v>156</v>
      </c>
      <c r="D2178" s="103">
        <v>374143.81202055298</v>
      </c>
      <c r="E2178" s="103">
        <v>189520.62819551301</v>
      </c>
      <c r="F2178" s="103">
        <v>185016.80368378101</v>
      </c>
    </row>
    <row r="2179" spans="1:6" hidden="1" x14ac:dyDescent="0.2">
      <c r="A2179" s="102" t="s">
        <v>178</v>
      </c>
      <c r="B2179" s="102" t="s">
        <v>4</v>
      </c>
      <c r="C2179" s="102" t="s">
        <v>157</v>
      </c>
      <c r="D2179" s="104">
        <v>0.80772190808870004</v>
      </c>
      <c r="E2179" s="104">
        <v>0.87287614467312002</v>
      </c>
      <c r="F2179" s="104">
        <v>0.87217504825498005</v>
      </c>
    </row>
    <row r="2180" spans="1:6" hidden="1" x14ac:dyDescent="0.2">
      <c r="A2180" s="102" t="s">
        <v>178</v>
      </c>
      <c r="B2180" s="102" t="s">
        <v>4</v>
      </c>
      <c r="C2180" s="102" t="s">
        <v>158</v>
      </c>
      <c r="D2180" s="104">
        <v>0.80140422662362998</v>
      </c>
      <c r="E2180" s="104">
        <v>0.87482873655603</v>
      </c>
      <c r="F2180" s="104">
        <v>0.86653660699969004</v>
      </c>
    </row>
    <row r="2181" spans="1:6" hidden="1" x14ac:dyDescent="0.2">
      <c r="A2181" s="95" t="s">
        <v>178</v>
      </c>
      <c r="B2181" s="95" t="s">
        <v>5</v>
      </c>
      <c r="C2181" s="95" t="s">
        <v>153</v>
      </c>
      <c r="D2181" s="96">
        <v>396224</v>
      </c>
      <c r="E2181" s="96">
        <v>199528</v>
      </c>
      <c r="F2181" s="96">
        <v>196696</v>
      </c>
    </row>
    <row r="2182" spans="1:6" hidden="1" x14ac:dyDescent="0.2">
      <c r="A2182" s="97" t="s">
        <v>178</v>
      </c>
      <c r="B2182" s="97" t="s">
        <v>5</v>
      </c>
      <c r="C2182" s="97" t="s">
        <v>154</v>
      </c>
      <c r="D2182" s="98">
        <v>3215.18291347998</v>
      </c>
      <c r="E2182" s="98">
        <v>1718.2051316585801</v>
      </c>
      <c r="F2182" s="98">
        <v>1734.7981580945</v>
      </c>
    </row>
    <row r="2183" spans="1:6" hidden="1" x14ac:dyDescent="0.2">
      <c r="A2183" s="97" t="s">
        <v>178</v>
      </c>
      <c r="B2183" s="97" t="s">
        <v>5</v>
      </c>
      <c r="C2183" s="97" t="s">
        <v>155</v>
      </c>
      <c r="D2183" s="98">
        <v>390935.30726663599</v>
      </c>
      <c r="E2183" s="98">
        <v>196701.70387976</v>
      </c>
      <c r="F2183" s="98">
        <v>193842.409812611</v>
      </c>
    </row>
    <row r="2184" spans="1:6" hidden="1" x14ac:dyDescent="0.2">
      <c r="A2184" s="97" t="s">
        <v>178</v>
      </c>
      <c r="B2184" s="97" t="s">
        <v>5</v>
      </c>
      <c r="C2184" s="97" t="s">
        <v>156</v>
      </c>
      <c r="D2184" s="98">
        <v>401512.69273336302</v>
      </c>
      <c r="E2184" s="98">
        <v>202354.29612023901</v>
      </c>
      <c r="F2184" s="98">
        <v>199549.59018738801</v>
      </c>
    </row>
    <row r="2185" spans="1:6" hidden="1" x14ac:dyDescent="0.2">
      <c r="A2185" s="97" t="s">
        <v>178</v>
      </c>
      <c r="B2185" s="97" t="s">
        <v>5</v>
      </c>
      <c r="C2185" s="97" t="s">
        <v>157</v>
      </c>
      <c r="D2185" s="99">
        <v>0.81145587179977996</v>
      </c>
      <c r="E2185" s="99">
        <v>0.86113484406127005</v>
      </c>
      <c r="F2185" s="99">
        <v>0.88196921040311005</v>
      </c>
    </row>
    <row r="2186" spans="1:6" hidden="1" x14ac:dyDescent="0.2">
      <c r="A2186" s="97" t="s">
        <v>178</v>
      </c>
      <c r="B2186" s="97" t="s">
        <v>5</v>
      </c>
      <c r="C2186" s="97" t="s">
        <v>158</v>
      </c>
      <c r="D2186" s="99">
        <v>0.77933432945945003</v>
      </c>
      <c r="E2186" s="99">
        <v>0.83108180942153997</v>
      </c>
      <c r="F2186" s="99">
        <v>0.85284877385479996</v>
      </c>
    </row>
    <row r="2187" spans="1:6" hidden="1" x14ac:dyDescent="0.2">
      <c r="A2187" s="100" t="s">
        <v>178</v>
      </c>
      <c r="B2187" s="100" t="s">
        <v>6</v>
      </c>
      <c r="C2187" s="100" t="s">
        <v>153</v>
      </c>
      <c r="D2187" s="101">
        <v>404120</v>
      </c>
      <c r="E2187" s="101">
        <v>204445</v>
      </c>
      <c r="F2187" s="101">
        <v>199675</v>
      </c>
    </row>
    <row r="2188" spans="1:6" hidden="1" x14ac:dyDescent="0.2">
      <c r="A2188" s="102" t="s">
        <v>178</v>
      </c>
      <c r="B2188" s="102" t="s">
        <v>6</v>
      </c>
      <c r="C2188" s="102" t="s">
        <v>154</v>
      </c>
      <c r="D2188" s="103">
        <v>3104.7101021979702</v>
      </c>
      <c r="E2188" s="103">
        <v>1691.2542310905201</v>
      </c>
      <c r="F2188" s="103">
        <v>1670.6487967192199</v>
      </c>
    </row>
    <row r="2189" spans="1:6" hidden="1" x14ac:dyDescent="0.2">
      <c r="A2189" s="102" t="s">
        <v>178</v>
      </c>
      <c r="B2189" s="102" t="s">
        <v>6</v>
      </c>
      <c r="C2189" s="102" t="s">
        <v>155</v>
      </c>
      <c r="D2189" s="103">
        <v>399013.025311918</v>
      </c>
      <c r="E2189" s="103">
        <v>201663.03573764401</v>
      </c>
      <c r="F2189" s="103">
        <v>196926.92986247601</v>
      </c>
    </row>
    <row r="2190" spans="1:6" hidden="1" x14ac:dyDescent="0.2">
      <c r="A2190" s="102" t="s">
        <v>178</v>
      </c>
      <c r="B2190" s="102" t="s">
        <v>6</v>
      </c>
      <c r="C2190" s="102" t="s">
        <v>156</v>
      </c>
      <c r="D2190" s="103">
        <v>409226.97468808101</v>
      </c>
      <c r="E2190" s="103">
        <v>207226.964262355</v>
      </c>
      <c r="F2190" s="103">
        <v>202423.070137523</v>
      </c>
    </row>
    <row r="2191" spans="1:6" hidden="1" x14ac:dyDescent="0.2">
      <c r="A2191" s="102" t="s">
        <v>178</v>
      </c>
      <c r="B2191" s="102" t="s">
        <v>6</v>
      </c>
      <c r="C2191" s="102" t="s">
        <v>157</v>
      </c>
      <c r="D2191" s="104">
        <v>0.76826440220675996</v>
      </c>
      <c r="E2191" s="104">
        <v>0.82724166944191002</v>
      </c>
      <c r="F2191" s="104">
        <v>0.83668400987566005</v>
      </c>
    </row>
    <row r="2192" spans="1:6" hidden="1" x14ac:dyDescent="0.2">
      <c r="A2192" s="102" t="s">
        <v>178</v>
      </c>
      <c r="B2192" s="102" t="s">
        <v>6</v>
      </c>
      <c r="C2192" s="102" t="s">
        <v>158</v>
      </c>
      <c r="D2192" s="104">
        <v>0.72316052993707003</v>
      </c>
      <c r="E2192" s="104">
        <v>0.79074412517200998</v>
      </c>
      <c r="F2192" s="104">
        <v>0.79416317221459998</v>
      </c>
    </row>
    <row r="2193" spans="1:6" hidden="1" x14ac:dyDescent="0.2">
      <c r="A2193" s="95" t="s">
        <v>178</v>
      </c>
      <c r="B2193" s="95" t="s">
        <v>7</v>
      </c>
      <c r="C2193" s="95" t="s">
        <v>153</v>
      </c>
      <c r="D2193" s="96">
        <v>369335</v>
      </c>
      <c r="E2193" s="96">
        <v>183174</v>
      </c>
      <c r="F2193" s="96">
        <v>186161</v>
      </c>
    </row>
    <row r="2194" spans="1:6" hidden="1" x14ac:dyDescent="0.2">
      <c r="A2194" s="97" t="s">
        <v>178</v>
      </c>
      <c r="B2194" s="97" t="s">
        <v>7</v>
      </c>
      <c r="C2194" s="97" t="s">
        <v>154</v>
      </c>
      <c r="D2194" s="98">
        <v>2929.6462461158999</v>
      </c>
      <c r="E2194" s="98">
        <v>1545.25298759306</v>
      </c>
      <c r="F2194" s="98">
        <v>1637.1761776854</v>
      </c>
    </row>
    <row r="2195" spans="1:6" hidden="1" x14ac:dyDescent="0.2">
      <c r="A2195" s="97" t="s">
        <v>178</v>
      </c>
      <c r="B2195" s="97" t="s">
        <v>7</v>
      </c>
      <c r="C2195" s="97" t="s">
        <v>155</v>
      </c>
      <c r="D2195" s="98">
        <v>364515.98993739998</v>
      </c>
      <c r="E2195" s="98">
        <v>180632.194924952</v>
      </c>
      <c r="F2195" s="98">
        <v>183467.98937287199</v>
      </c>
    </row>
    <row r="2196" spans="1:6" hidden="1" x14ac:dyDescent="0.2">
      <c r="A2196" s="97" t="s">
        <v>178</v>
      </c>
      <c r="B2196" s="97" t="s">
        <v>7</v>
      </c>
      <c r="C2196" s="97" t="s">
        <v>156</v>
      </c>
      <c r="D2196" s="98">
        <v>374154.01006259897</v>
      </c>
      <c r="E2196" s="98">
        <v>185715.805075048</v>
      </c>
      <c r="F2196" s="98">
        <v>188854.01062712699</v>
      </c>
    </row>
    <row r="2197" spans="1:6" hidden="1" x14ac:dyDescent="0.2">
      <c r="A2197" s="97" t="s">
        <v>178</v>
      </c>
      <c r="B2197" s="97" t="s">
        <v>7</v>
      </c>
      <c r="C2197" s="97" t="s">
        <v>157</v>
      </c>
      <c r="D2197" s="99">
        <v>0.79322193838002997</v>
      </c>
      <c r="E2197" s="99">
        <v>0.84359842968600995</v>
      </c>
      <c r="F2197" s="99">
        <v>0.87944100949467996</v>
      </c>
    </row>
    <row r="2198" spans="1:6" hidden="1" x14ac:dyDescent="0.2">
      <c r="A2198" s="97" t="s">
        <v>178</v>
      </c>
      <c r="B2198" s="97" t="s">
        <v>7</v>
      </c>
      <c r="C2198" s="97" t="s">
        <v>158</v>
      </c>
      <c r="D2198" s="99">
        <v>0.82605155954531995</v>
      </c>
      <c r="E2198" s="99">
        <v>0.86773458855518004</v>
      </c>
      <c r="F2198" s="99">
        <v>0.93894060703468996</v>
      </c>
    </row>
    <row r="2199" spans="1:6" hidden="1" x14ac:dyDescent="0.2">
      <c r="A2199" s="100" t="s">
        <v>178</v>
      </c>
      <c r="B2199" s="100" t="s">
        <v>8</v>
      </c>
      <c r="C2199" s="100" t="s">
        <v>153</v>
      </c>
      <c r="D2199" s="101">
        <v>338793</v>
      </c>
      <c r="E2199" s="101">
        <v>159320</v>
      </c>
      <c r="F2199" s="101">
        <v>179473</v>
      </c>
    </row>
    <row r="2200" spans="1:6" hidden="1" x14ac:dyDescent="0.2">
      <c r="A2200" s="102" t="s">
        <v>178</v>
      </c>
      <c r="B2200" s="102" t="s">
        <v>8</v>
      </c>
      <c r="C2200" s="102" t="s">
        <v>154</v>
      </c>
      <c r="D2200" s="103">
        <v>3059.5271083583202</v>
      </c>
      <c r="E2200" s="103">
        <v>1576.75007462957</v>
      </c>
      <c r="F2200" s="103">
        <v>1718.80401225643</v>
      </c>
    </row>
    <row r="2201" spans="1:6" hidden="1" x14ac:dyDescent="0.2">
      <c r="A2201" s="102" t="s">
        <v>178</v>
      </c>
      <c r="B2201" s="102" t="s">
        <v>8</v>
      </c>
      <c r="C2201" s="102" t="s">
        <v>155</v>
      </c>
      <c r="D2201" s="103">
        <v>333760.347357544</v>
      </c>
      <c r="E2201" s="103">
        <v>156726.38499070701</v>
      </c>
      <c r="F2201" s="103">
        <v>176645.71877391901</v>
      </c>
    </row>
    <row r="2202" spans="1:6" hidden="1" x14ac:dyDescent="0.2">
      <c r="A2202" s="102" t="s">
        <v>178</v>
      </c>
      <c r="B2202" s="102" t="s">
        <v>8</v>
      </c>
      <c r="C2202" s="102" t="s">
        <v>156</v>
      </c>
      <c r="D2202" s="103">
        <v>343825.65264245501</v>
      </c>
      <c r="E2202" s="103">
        <v>161913.615009292</v>
      </c>
      <c r="F2202" s="103">
        <v>182300.28122608</v>
      </c>
    </row>
    <row r="2203" spans="1:6" hidden="1" x14ac:dyDescent="0.2">
      <c r="A2203" s="102" t="s">
        <v>178</v>
      </c>
      <c r="B2203" s="102" t="s">
        <v>8</v>
      </c>
      <c r="C2203" s="102" t="s">
        <v>157</v>
      </c>
      <c r="D2203" s="104">
        <v>0.90306680136788997</v>
      </c>
      <c r="E2203" s="104">
        <v>0.98967491503237004</v>
      </c>
      <c r="F2203" s="104">
        <v>0.95769503616500995</v>
      </c>
    </row>
    <row r="2204" spans="1:6" hidden="1" x14ac:dyDescent="0.2">
      <c r="A2204" s="102" t="s">
        <v>178</v>
      </c>
      <c r="B2204" s="102" t="s">
        <v>8</v>
      </c>
      <c r="C2204" s="102" t="s">
        <v>158</v>
      </c>
      <c r="D2204" s="104">
        <v>1.13763031083148</v>
      </c>
      <c r="E2204" s="104">
        <v>1.24343059476849</v>
      </c>
      <c r="F2204" s="104">
        <v>1.1992774968689801</v>
      </c>
    </row>
    <row r="2205" spans="1:6" hidden="1" x14ac:dyDescent="0.2">
      <c r="A2205" s="95" t="s">
        <v>178</v>
      </c>
      <c r="B2205" s="95" t="s">
        <v>9</v>
      </c>
      <c r="C2205" s="95" t="s">
        <v>153</v>
      </c>
      <c r="D2205" s="96">
        <v>280892</v>
      </c>
      <c r="E2205" s="96">
        <v>127978</v>
      </c>
      <c r="F2205" s="96">
        <v>152914</v>
      </c>
    </row>
    <row r="2206" spans="1:6" hidden="1" x14ac:dyDescent="0.2">
      <c r="A2206" s="97" t="s">
        <v>178</v>
      </c>
      <c r="B2206" s="97" t="s">
        <v>9</v>
      </c>
      <c r="C2206" s="97" t="s">
        <v>154</v>
      </c>
      <c r="D2206" s="98">
        <v>2423.4414087813402</v>
      </c>
      <c r="E2206" s="98">
        <v>1232.1223872195001</v>
      </c>
      <c r="F2206" s="98">
        <v>1402.95530858286</v>
      </c>
    </row>
    <row r="2207" spans="1:6" hidden="1" x14ac:dyDescent="0.2">
      <c r="A2207" s="97" t="s">
        <v>178</v>
      </c>
      <c r="B2207" s="97" t="s">
        <v>9</v>
      </c>
      <c r="C2207" s="97" t="s">
        <v>155</v>
      </c>
      <c r="D2207" s="98">
        <v>276905.65231364599</v>
      </c>
      <c r="E2207" s="98">
        <v>125951.267185334</v>
      </c>
      <c r="F2207" s="98">
        <v>150606.262074848</v>
      </c>
    </row>
    <row r="2208" spans="1:6" hidden="1" x14ac:dyDescent="0.2">
      <c r="A2208" s="97" t="s">
        <v>178</v>
      </c>
      <c r="B2208" s="97" t="s">
        <v>9</v>
      </c>
      <c r="C2208" s="97" t="s">
        <v>156</v>
      </c>
      <c r="D2208" s="98">
        <v>284878.34768635302</v>
      </c>
      <c r="E2208" s="98">
        <v>130004.732814665</v>
      </c>
      <c r="F2208" s="98">
        <v>155221.73792515101</v>
      </c>
    </row>
    <row r="2209" spans="1:6" hidden="1" x14ac:dyDescent="0.2">
      <c r="A2209" s="97" t="s">
        <v>178</v>
      </c>
      <c r="B2209" s="97" t="s">
        <v>9</v>
      </c>
      <c r="C2209" s="97" t="s">
        <v>157</v>
      </c>
      <c r="D2209" s="99">
        <v>0.86276626204425</v>
      </c>
      <c r="E2209" s="99">
        <v>0.96276108957751005</v>
      </c>
      <c r="F2209" s="99">
        <v>0.91747996166659995</v>
      </c>
    </row>
    <row r="2210" spans="1:6" hidden="1" x14ac:dyDescent="0.2">
      <c r="A2210" s="97" t="s">
        <v>178</v>
      </c>
      <c r="B2210" s="97" t="s">
        <v>9</v>
      </c>
      <c r="C2210" s="97" t="s">
        <v>158</v>
      </c>
      <c r="D2210" s="99">
        <v>1.0560830715331799</v>
      </c>
      <c r="E2210" s="99">
        <v>1.1771487670638101</v>
      </c>
      <c r="F2210" s="99">
        <v>1.1198007312249501</v>
      </c>
    </row>
    <row r="2211" spans="1:6" hidden="1" x14ac:dyDescent="0.2">
      <c r="A2211" s="100" t="s">
        <v>178</v>
      </c>
      <c r="B2211" s="100" t="s">
        <v>10</v>
      </c>
      <c r="C2211" s="100" t="s">
        <v>153</v>
      </c>
      <c r="D2211" s="101">
        <v>275537</v>
      </c>
      <c r="E2211" s="101">
        <v>125072</v>
      </c>
      <c r="F2211" s="101">
        <v>150465</v>
      </c>
    </row>
    <row r="2212" spans="1:6" hidden="1" x14ac:dyDescent="0.2">
      <c r="A2212" s="102" t="s">
        <v>178</v>
      </c>
      <c r="B2212" s="102" t="s">
        <v>10</v>
      </c>
      <c r="C2212" s="102" t="s">
        <v>154</v>
      </c>
      <c r="D2212" s="103">
        <v>2281.07231598215</v>
      </c>
      <c r="E2212" s="103">
        <v>1171.9157252085199</v>
      </c>
      <c r="F2212" s="103">
        <v>1323.03338308664</v>
      </c>
    </row>
    <row r="2213" spans="1:6" hidden="1" x14ac:dyDescent="0.2">
      <c r="A2213" s="102" t="s">
        <v>178</v>
      </c>
      <c r="B2213" s="102" t="s">
        <v>10</v>
      </c>
      <c r="C2213" s="102" t="s">
        <v>155</v>
      </c>
      <c r="D2213" s="103">
        <v>271784.83693293697</v>
      </c>
      <c r="E2213" s="103">
        <v>123144.301841976</v>
      </c>
      <c r="F2213" s="103">
        <v>148288.72660361201</v>
      </c>
    </row>
    <row r="2214" spans="1:6" hidden="1" x14ac:dyDescent="0.2">
      <c r="A2214" s="102" t="s">
        <v>178</v>
      </c>
      <c r="B2214" s="102" t="s">
        <v>10</v>
      </c>
      <c r="C2214" s="102" t="s">
        <v>156</v>
      </c>
      <c r="D2214" s="103">
        <v>279289.16306706198</v>
      </c>
      <c r="E2214" s="103">
        <v>126999.69815802301</v>
      </c>
      <c r="F2214" s="103">
        <v>152641.273396387</v>
      </c>
    </row>
    <row r="2215" spans="1:6" hidden="1" x14ac:dyDescent="0.2">
      <c r="A2215" s="102" t="s">
        <v>178</v>
      </c>
      <c r="B2215" s="102" t="s">
        <v>10</v>
      </c>
      <c r="C2215" s="102" t="s">
        <v>157</v>
      </c>
      <c r="D2215" s="104">
        <v>0.82786424907803002</v>
      </c>
      <c r="E2215" s="104">
        <v>0.93699287227239003</v>
      </c>
      <c r="F2215" s="104">
        <v>0.87929643643814004</v>
      </c>
    </row>
    <row r="2216" spans="1:6" hidden="1" x14ac:dyDescent="0.2">
      <c r="A2216" s="102" t="s">
        <v>178</v>
      </c>
      <c r="B2216" s="102" t="s">
        <v>10</v>
      </c>
      <c r="C2216" s="102" t="s">
        <v>158</v>
      </c>
      <c r="D2216" s="104">
        <v>0.98738768139080002</v>
      </c>
      <c r="E2216" s="104">
        <v>1.1261462030173</v>
      </c>
      <c r="F2216" s="104">
        <v>1.0507440573000799</v>
      </c>
    </row>
    <row r="2217" spans="1:6" hidden="1" x14ac:dyDescent="0.2">
      <c r="A2217" s="95" t="s">
        <v>178</v>
      </c>
      <c r="B2217" s="95" t="s">
        <v>11</v>
      </c>
      <c r="C2217" s="95" t="s">
        <v>153</v>
      </c>
      <c r="D2217" s="96">
        <v>260356</v>
      </c>
      <c r="E2217" s="96">
        <v>117973</v>
      </c>
      <c r="F2217" s="96">
        <v>142383</v>
      </c>
    </row>
    <row r="2218" spans="1:6" hidden="1" x14ac:dyDescent="0.2">
      <c r="A2218" s="97" t="s">
        <v>178</v>
      </c>
      <c r="B2218" s="97" t="s">
        <v>11</v>
      </c>
      <c r="C2218" s="97" t="s">
        <v>154</v>
      </c>
      <c r="D2218" s="98">
        <v>2238.4359262120101</v>
      </c>
      <c r="E2218" s="98">
        <v>1092.0022692078101</v>
      </c>
      <c r="F2218" s="98">
        <v>1329.9060020285899</v>
      </c>
    </row>
    <row r="2219" spans="1:6" hidden="1" x14ac:dyDescent="0.2">
      <c r="A2219" s="97" t="s">
        <v>178</v>
      </c>
      <c r="B2219" s="97" t="s">
        <v>11</v>
      </c>
      <c r="C2219" s="97" t="s">
        <v>155</v>
      </c>
      <c r="D2219" s="98">
        <v>256673.97003914599</v>
      </c>
      <c r="E2219" s="98">
        <v>116176.75243916499</v>
      </c>
      <c r="F2219" s="98">
        <v>140195.42175072001</v>
      </c>
    </row>
    <row r="2220" spans="1:6" hidden="1" x14ac:dyDescent="0.2">
      <c r="A2220" s="97" t="s">
        <v>178</v>
      </c>
      <c r="B2220" s="97" t="s">
        <v>11</v>
      </c>
      <c r="C2220" s="97" t="s">
        <v>156</v>
      </c>
      <c r="D2220" s="98">
        <v>264038.02996085299</v>
      </c>
      <c r="E2220" s="98">
        <v>119769.247560834</v>
      </c>
      <c r="F2220" s="98">
        <v>144570.578249279</v>
      </c>
    </row>
    <row r="2221" spans="1:6" hidden="1" x14ac:dyDescent="0.2">
      <c r="A2221" s="97" t="s">
        <v>178</v>
      </c>
      <c r="B2221" s="97" t="s">
        <v>11</v>
      </c>
      <c r="C2221" s="97" t="s">
        <v>157</v>
      </c>
      <c r="D2221" s="99">
        <v>0.85975968528169</v>
      </c>
      <c r="E2221" s="99">
        <v>0.92563745027066002</v>
      </c>
      <c r="F2221" s="99">
        <v>0.93403426113271004</v>
      </c>
    </row>
    <row r="2222" spans="1:6" hidden="1" x14ac:dyDescent="0.2">
      <c r="A2222" s="97" t="s">
        <v>178</v>
      </c>
      <c r="B2222" s="97" t="s">
        <v>11</v>
      </c>
      <c r="C2222" s="97" t="s">
        <v>158</v>
      </c>
      <c r="D2222" s="99">
        <v>1.0712049331862801</v>
      </c>
      <c r="E2222" s="99">
        <v>1.1166964411121301</v>
      </c>
      <c r="F2222" s="99">
        <v>1.1791189341633399</v>
      </c>
    </row>
    <row r="2223" spans="1:6" hidden="1" x14ac:dyDescent="0.2">
      <c r="A2223" s="100" t="s">
        <v>178</v>
      </c>
      <c r="B2223" s="100" t="s">
        <v>12</v>
      </c>
      <c r="C2223" s="100" t="s">
        <v>153</v>
      </c>
      <c r="D2223" s="101">
        <v>242541</v>
      </c>
      <c r="E2223" s="101">
        <v>112606</v>
      </c>
      <c r="F2223" s="101">
        <v>129935</v>
      </c>
    </row>
    <row r="2224" spans="1:6" hidden="1" x14ac:dyDescent="0.2">
      <c r="A2224" s="102" t="s">
        <v>178</v>
      </c>
      <c r="B2224" s="102" t="s">
        <v>12</v>
      </c>
      <c r="C2224" s="102" t="s">
        <v>154</v>
      </c>
      <c r="D2224" s="103">
        <v>2091.90551207833</v>
      </c>
      <c r="E2224" s="103">
        <v>1098.8670330310899</v>
      </c>
      <c r="F2224" s="103">
        <v>1177.1729660092501</v>
      </c>
    </row>
    <row r="2225" spans="1:6" hidden="1" x14ac:dyDescent="0.2">
      <c r="A2225" s="102" t="s">
        <v>178</v>
      </c>
      <c r="B2225" s="102" t="s">
        <v>12</v>
      </c>
      <c r="C2225" s="102" t="s">
        <v>155</v>
      </c>
      <c r="D2225" s="103">
        <v>239099.99966554699</v>
      </c>
      <c r="E2225" s="103">
        <v>110798.460507251</v>
      </c>
      <c r="F2225" s="103">
        <v>127998.654143861</v>
      </c>
    </row>
    <row r="2226" spans="1:6" hidden="1" x14ac:dyDescent="0.2">
      <c r="A2226" s="102" t="s">
        <v>178</v>
      </c>
      <c r="B2226" s="102" t="s">
        <v>12</v>
      </c>
      <c r="C2226" s="102" t="s">
        <v>156</v>
      </c>
      <c r="D2226" s="103">
        <v>245982.00033445199</v>
      </c>
      <c r="E2226" s="103">
        <v>114413.53949274799</v>
      </c>
      <c r="F2226" s="103">
        <v>131871.34585613801</v>
      </c>
    </row>
    <row r="2227" spans="1:6" hidden="1" x14ac:dyDescent="0.2">
      <c r="A2227" s="102" t="s">
        <v>178</v>
      </c>
      <c r="B2227" s="102" t="s">
        <v>12</v>
      </c>
      <c r="C2227" s="102" t="s">
        <v>157</v>
      </c>
      <c r="D2227" s="104">
        <v>0.86249562427727</v>
      </c>
      <c r="E2227" s="104">
        <v>0.97585122731566998</v>
      </c>
      <c r="F2227" s="104">
        <v>0.90597065148669997</v>
      </c>
    </row>
    <row r="2228" spans="1:6" hidden="1" x14ac:dyDescent="0.2">
      <c r="A2228" s="102" t="s">
        <v>178</v>
      </c>
      <c r="B2228" s="102" t="s">
        <v>12</v>
      </c>
      <c r="C2228" s="102" t="s">
        <v>158</v>
      </c>
      <c r="D2228" s="104">
        <v>1.09959028830912</v>
      </c>
      <c r="E2228" s="104">
        <v>1.2539059277445299</v>
      </c>
      <c r="F2228" s="104">
        <v>1.12571696963775</v>
      </c>
    </row>
    <row r="2229" spans="1:6" hidden="1" x14ac:dyDescent="0.2">
      <c r="A2229" s="95" t="s">
        <v>178</v>
      </c>
      <c r="B2229" s="95" t="s">
        <v>13</v>
      </c>
      <c r="C2229" s="95" t="s">
        <v>153</v>
      </c>
      <c r="D2229" s="96">
        <v>203743</v>
      </c>
      <c r="E2229" s="96">
        <v>92239</v>
      </c>
      <c r="F2229" s="96">
        <v>111504</v>
      </c>
    </row>
    <row r="2230" spans="1:6" hidden="1" x14ac:dyDescent="0.2">
      <c r="A2230" s="97" t="s">
        <v>178</v>
      </c>
      <c r="B2230" s="97" t="s">
        <v>13</v>
      </c>
      <c r="C2230" s="97" t="s">
        <v>154</v>
      </c>
      <c r="D2230" s="98">
        <v>1808.23683807267</v>
      </c>
      <c r="E2230" s="98">
        <v>917.84618683613803</v>
      </c>
      <c r="F2230" s="98">
        <v>1089.9032601036399</v>
      </c>
    </row>
    <row r="2231" spans="1:6" hidden="1" x14ac:dyDescent="0.2">
      <c r="A2231" s="97" t="s">
        <v>178</v>
      </c>
      <c r="B2231" s="97" t="s">
        <v>13</v>
      </c>
      <c r="C2231" s="97" t="s">
        <v>155</v>
      </c>
      <c r="D2231" s="98">
        <v>200768.60965174899</v>
      </c>
      <c r="E2231" s="98">
        <v>90729.223856840705</v>
      </c>
      <c r="F2231" s="98">
        <v>109711.20512428301</v>
      </c>
    </row>
    <row r="2232" spans="1:6" hidden="1" x14ac:dyDescent="0.2">
      <c r="A2232" s="97" t="s">
        <v>178</v>
      </c>
      <c r="B2232" s="97" t="s">
        <v>13</v>
      </c>
      <c r="C2232" s="97" t="s">
        <v>156</v>
      </c>
      <c r="D2232" s="98">
        <v>206717.39034824999</v>
      </c>
      <c r="E2232" s="98">
        <v>93748.776143159193</v>
      </c>
      <c r="F2232" s="98">
        <v>113296.794875716</v>
      </c>
    </row>
    <row r="2233" spans="1:6" hidden="1" x14ac:dyDescent="0.2">
      <c r="A2233" s="97" t="s">
        <v>178</v>
      </c>
      <c r="B2233" s="97" t="s">
        <v>13</v>
      </c>
      <c r="C2233" s="97" t="s">
        <v>157</v>
      </c>
      <c r="D2233" s="99">
        <v>0.88750869383127995</v>
      </c>
      <c r="E2233" s="99">
        <v>0.99507386987730995</v>
      </c>
      <c r="F2233" s="99">
        <v>0.97745664738811</v>
      </c>
    </row>
    <row r="2234" spans="1:6" hidden="1" x14ac:dyDescent="0.2">
      <c r="A2234" s="97" t="s">
        <v>178</v>
      </c>
      <c r="B2234" s="97" t="s">
        <v>13</v>
      </c>
      <c r="C2234" s="97" t="s">
        <v>158</v>
      </c>
      <c r="D2234" s="99">
        <v>1.13720330588522</v>
      </c>
      <c r="E2234" s="99">
        <v>1.2351475125884599</v>
      </c>
      <c r="F2234" s="99">
        <v>1.2767962063230101</v>
      </c>
    </row>
    <row r="2235" spans="1:6" hidden="1" x14ac:dyDescent="0.2">
      <c r="A2235" s="100" t="s">
        <v>178</v>
      </c>
      <c r="B2235" s="100" t="s">
        <v>14</v>
      </c>
      <c r="C2235" s="100" t="s">
        <v>153</v>
      </c>
      <c r="D2235" s="101">
        <v>192767</v>
      </c>
      <c r="E2235" s="101">
        <v>88561</v>
      </c>
      <c r="F2235" s="101">
        <v>104206</v>
      </c>
    </row>
    <row r="2236" spans="1:6" hidden="1" x14ac:dyDescent="0.2">
      <c r="A2236" s="102" t="s">
        <v>178</v>
      </c>
      <c r="B2236" s="102" t="s">
        <v>14</v>
      </c>
      <c r="C2236" s="102" t="s">
        <v>154</v>
      </c>
      <c r="D2236" s="103">
        <v>1767.8178586672</v>
      </c>
      <c r="E2236" s="103">
        <v>907.03641206749603</v>
      </c>
      <c r="F2236" s="103">
        <v>1037.0533952462499</v>
      </c>
    </row>
    <row r="2237" spans="1:6" hidden="1" x14ac:dyDescent="0.2">
      <c r="A2237" s="102" t="s">
        <v>178</v>
      </c>
      <c r="B2237" s="102" t="s">
        <v>14</v>
      </c>
      <c r="C2237" s="102" t="s">
        <v>155</v>
      </c>
      <c r="D2237" s="103">
        <v>189859.09531319499</v>
      </c>
      <c r="E2237" s="103">
        <v>87069.004984324507</v>
      </c>
      <c r="F2237" s="103">
        <v>102500.138497516</v>
      </c>
    </row>
    <row r="2238" spans="1:6" hidden="1" x14ac:dyDescent="0.2">
      <c r="A2238" s="102" t="s">
        <v>178</v>
      </c>
      <c r="B2238" s="102" t="s">
        <v>14</v>
      </c>
      <c r="C2238" s="102" t="s">
        <v>156</v>
      </c>
      <c r="D2238" s="103">
        <v>195674.90468680399</v>
      </c>
      <c r="E2238" s="103">
        <v>90052.995015675406</v>
      </c>
      <c r="F2238" s="103">
        <v>105911.86150248301</v>
      </c>
    </row>
    <row r="2239" spans="1:6" hidden="1" x14ac:dyDescent="0.2">
      <c r="A2239" s="102" t="s">
        <v>178</v>
      </c>
      <c r="B2239" s="102" t="s">
        <v>14</v>
      </c>
      <c r="C2239" s="102" t="s">
        <v>157</v>
      </c>
      <c r="D2239" s="104">
        <v>0.91707494470899997</v>
      </c>
      <c r="E2239" s="104">
        <v>1.0241939590423501</v>
      </c>
      <c r="F2239" s="104">
        <v>0.99519547362556005</v>
      </c>
    </row>
    <row r="2240" spans="1:6" hidden="1" x14ac:dyDescent="0.2">
      <c r="A2240" s="102" t="s">
        <v>178</v>
      </c>
      <c r="B2240" s="102" t="s">
        <v>14</v>
      </c>
      <c r="C2240" s="102" t="s">
        <v>158</v>
      </c>
      <c r="D2240" s="104">
        <v>1.2173435064750799</v>
      </c>
      <c r="E2240" s="104">
        <v>1.32288372119438</v>
      </c>
      <c r="F2240" s="104">
        <v>1.3043012673326899</v>
      </c>
    </row>
    <row r="2241" spans="1:6" hidden="1" x14ac:dyDescent="0.2">
      <c r="A2241" s="95" t="s">
        <v>178</v>
      </c>
      <c r="B2241" s="95" t="s">
        <v>15</v>
      </c>
      <c r="C2241" s="95" t="s">
        <v>153</v>
      </c>
      <c r="D2241" s="96">
        <v>158278</v>
      </c>
      <c r="E2241" s="96">
        <v>72799</v>
      </c>
      <c r="F2241" s="96">
        <v>85479</v>
      </c>
    </row>
    <row r="2242" spans="1:6" hidden="1" x14ac:dyDescent="0.2">
      <c r="A2242" s="97" t="s">
        <v>178</v>
      </c>
      <c r="B2242" s="97" t="s">
        <v>15</v>
      </c>
      <c r="C2242" s="97" t="s">
        <v>154</v>
      </c>
      <c r="D2242" s="98">
        <v>1411.3039519285701</v>
      </c>
      <c r="E2242" s="98">
        <v>747.53769860520299</v>
      </c>
      <c r="F2242" s="98">
        <v>831.59225277698101</v>
      </c>
    </row>
    <row r="2243" spans="1:6" hidden="1" x14ac:dyDescent="0.2">
      <c r="A2243" s="97" t="s">
        <v>178</v>
      </c>
      <c r="B2243" s="97" t="s">
        <v>15</v>
      </c>
      <c r="C2243" s="97" t="s">
        <v>155</v>
      </c>
      <c r="D2243" s="98">
        <v>155956.529291805</v>
      </c>
      <c r="E2243" s="98">
        <v>71569.366321009904</v>
      </c>
      <c r="F2243" s="98">
        <v>84111.103982033601</v>
      </c>
    </row>
    <row r="2244" spans="1:6" hidden="1" x14ac:dyDescent="0.2">
      <c r="A2244" s="97" t="s">
        <v>178</v>
      </c>
      <c r="B2244" s="97" t="s">
        <v>15</v>
      </c>
      <c r="C2244" s="97" t="s">
        <v>156</v>
      </c>
      <c r="D2244" s="98">
        <v>160599.47070819401</v>
      </c>
      <c r="E2244" s="98">
        <v>74028.633678989994</v>
      </c>
      <c r="F2244" s="98">
        <v>86846.896017966297</v>
      </c>
    </row>
    <row r="2245" spans="1:6" hidden="1" x14ac:dyDescent="0.2">
      <c r="A2245" s="97" t="s">
        <v>178</v>
      </c>
      <c r="B2245" s="97" t="s">
        <v>15</v>
      </c>
      <c r="C2245" s="97" t="s">
        <v>157</v>
      </c>
      <c r="D2245" s="99">
        <v>0.89166147659723005</v>
      </c>
      <c r="E2245" s="99">
        <v>1.02685160318851</v>
      </c>
      <c r="F2245" s="99">
        <v>0.97286146629812997</v>
      </c>
    </row>
    <row r="2246" spans="1:6" hidden="1" x14ac:dyDescent="0.2">
      <c r="A2246" s="97" t="s">
        <v>178</v>
      </c>
      <c r="B2246" s="97" t="s">
        <v>15</v>
      </c>
      <c r="C2246" s="97" t="s">
        <v>158</v>
      </c>
      <c r="D2246" s="99">
        <v>1.10365307093873</v>
      </c>
      <c r="E2246" s="99">
        <v>1.2417283991070001</v>
      </c>
      <c r="F2246" s="99">
        <v>1.18749537480204</v>
      </c>
    </row>
    <row r="2247" spans="1:6" hidden="1" x14ac:dyDescent="0.2">
      <c r="A2247" s="100" t="s">
        <v>178</v>
      </c>
      <c r="B2247" s="100" t="s">
        <v>16</v>
      </c>
      <c r="C2247" s="100" t="s">
        <v>153</v>
      </c>
      <c r="D2247" s="101">
        <v>129228</v>
      </c>
      <c r="E2247" s="101">
        <v>59416</v>
      </c>
      <c r="F2247" s="101">
        <v>69812</v>
      </c>
    </row>
    <row r="2248" spans="1:6" hidden="1" x14ac:dyDescent="0.2">
      <c r="A2248" s="102" t="s">
        <v>178</v>
      </c>
      <c r="B2248" s="102" t="s">
        <v>16</v>
      </c>
      <c r="C2248" s="102" t="s">
        <v>154</v>
      </c>
      <c r="D2248" s="103">
        <v>1258.15181950637</v>
      </c>
      <c r="E2248" s="103">
        <v>678.71450458433105</v>
      </c>
      <c r="F2248" s="103">
        <v>774.13601711788795</v>
      </c>
    </row>
    <row r="2249" spans="1:6" hidden="1" x14ac:dyDescent="0.2">
      <c r="A2249" s="102" t="s">
        <v>178</v>
      </c>
      <c r="B2249" s="102" t="s">
        <v>16</v>
      </c>
      <c r="C2249" s="102" t="s">
        <v>155</v>
      </c>
      <c r="D2249" s="103">
        <v>127158.45106161899</v>
      </c>
      <c r="E2249" s="103">
        <v>58299.574413955103</v>
      </c>
      <c r="F2249" s="103">
        <v>68538.614429555193</v>
      </c>
    </row>
    <row r="2250" spans="1:6" hidden="1" x14ac:dyDescent="0.2">
      <c r="A2250" s="102" t="s">
        <v>178</v>
      </c>
      <c r="B2250" s="102" t="s">
        <v>16</v>
      </c>
      <c r="C2250" s="102" t="s">
        <v>156</v>
      </c>
      <c r="D2250" s="103">
        <v>131297.54893838</v>
      </c>
      <c r="E2250" s="103">
        <v>60532.425586044803</v>
      </c>
      <c r="F2250" s="103">
        <v>71085.385570444705</v>
      </c>
    </row>
    <row r="2251" spans="1:6" hidden="1" x14ac:dyDescent="0.2">
      <c r="A2251" s="102" t="s">
        <v>178</v>
      </c>
      <c r="B2251" s="102" t="s">
        <v>16</v>
      </c>
      <c r="C2251" s="102" t="s">
        <v>157</v>
      </c>
      <c r="D2251" s="104">
        <v>0.97359072299065996</v>
      </c>
      <c r="E2251" s="104">
        <v>1.14230931833905</v>
      </c>
      <c r="F2251" s="104">
        <v>1.10888674886536</v>
      </c>
    </row>
    <row r="2252" spans="1:6" hidden="1" x14ac:dyDescent="0.2">
      <c r="A2252" s="102" t="s">
        <v>178</v>
      </c>
      <c r="B2252" s="102" t="s">
        <v>16</v>
      </c>
      <c r="C2252" s="102" t="s">
        <v>158</v>
      </c>
      <c r="D2252" s="104">
        <v>1.2623376776650801</v>
      </c>
      <c r="E2252" s="104">
        <v>1.4357615301745601</v>
      </c>
      <c r="F2252" s="104">
        <v>1.44543296476961</v>
      </c>
    </row>
    <row r="2253" spans="1:6" hidden="1" x14ac:dyDescent="0.2">
      <c r="A2253" s="95" t="s">
        <v>178</v>
      </c>
      <c r="B2253" s="95" t="s">
        <v>17</v>
      </c>
      <c r="C2253" s="95" t="s">
        <v>153</v>
      </c>
      <c r="D2253" s="96">
        <v>106350</v>
      </c>
      <c r="E2253" s="96">
        <v>48214</v>
      </c>
      <c r="F2253" s="96">
        <v>58136</v>
      </c>
    </row>
    <row r="2254" spans="1:6" hidden="1" x14ac:dyDescent="0.2">
      <c r="A2254" s="97" t="s">
        <v>178</v>
      </c>
      <c r="B2254" s="97" t="s">
        <v>17</v>
      </c>
      <c r="C2254" s="97" t="s">
        <v>154</v>
      </c>
      <c r="D2254" s="98">
        <v>1058.2519843304001</v>
      </c>
      <c r="E2254" s="98">
        <v>558.29368029853401</v>
      </c>
      <c r="F2254" s="98">
        <v>682.60811064165205</v>
      </c>
    </row>
    <row r="2255" spans="1:6" hidden="1" x14ac:dyDescent="0.2">
      <c r="A2255" s="97" t="s">
        <v>178</v>
      </c>
      <c r="B2255" s="97" t="s">
        <v>17</v>
      </c>
      <c r="C2255" s="97" t="s">
        <v>155</v>
      </c>
      <c r="D2255" s="98">
        <v>104609.26868542</v>
      </c>
      <c r="E2255" s="98">
        <v>47295.656064512397</v>
      </c>
      <c r="F2255" s="98">
        <v>57013.169774898503</v>
      </c>
    </row>
    <row r="2256" spans="1:6" hidden="1" x14ac:dyDescent="0.2">
      <c r="A2256" s="97" t="s">
        <v>178</v>
      </c>
      <c r="B2256" s="97" t="s">
        <v>17</v>
      </c>
      <c r="C2256" s="97" t="s">
        <v>156</v>
      </c>
      <c r="D2256" s="98">
        <v>108090.731314579</v>
      </c>
      <c r="E2256" s="98">
        <v>49132.343935487501</v>
      </c>
      <c r="F2256" s="98">
        <v>59258.830225101497</v>
      </c>
    </row>
    <row r="2257" spans="1:6" hidden="1" x14ac:dyDescent="0.2">
      <c r="A2257" s="97" t="s">
        <v>178</v>
      </c>
      <c r="B2257" s="97" t="s">
        <v>17</v>
      </c>
      <c r="C2257" s="97" t="s">
        <v>157</v>
      </c>
      <c r="D2257" s="99">
        <v>0.99506533552458998</v>
      </c>
      <c r="E2257" s="99">
        <v>1.1579493099484199</v>
      </c>
      <c r="F2257" s="99">
        <v>1.1741573390698501</v>
      </c>
    </row>
    <row r="2258" spans="1:6" hidden="1" x14ac:dyDescent="0.2">
      <c r="A2258" s="97" t="s">
        <v>178</v>
      </c>
      <c r="B2258" s="97" t="s">
        <v>17</v>
      </c>
      <c r="C2258" s="97" t="s">
        <v>158</v>
      </c>
      <c r="D2258" s="99">
        <v>1.2474546226966099</v>
      </c>
      <c r="E2258" s="99">
        <v>1.36359439119829</v>
      </c>
      <c r="F2258" s="99">
        <v>1.49721435025626</v>
      </c>
    </row>
    <row r="2259" spans="1:6" hidden="1" x14ac:dyDescent="0.2">
      <c r="A2259" s="100" t="s">
        <v>178</v>
      </c>
      <c r="B2259" s="100" t="s">
        <v>18</v>
      </c>
      <c r="C2259" s="100" t="s">
        <v>153</v>
      </c>
      <c r="D2259" s="101">
        <v>87396</v>
      </c>
      <c r="E2259" s="101">
        <v>40446</v>
      </c>
      <c r="F2259" s="101">
        <v>46950</v>
      </c>
    </row>
    <row r="2260" spans="1:6" hidden="1" x14ac:dyDescent="0.2">
      <c r="A2260" s="102" t="s">
        <v>178</v>
      </c>
      <c r="B2260" s="102" t="s">
        <v>18</v>
      </c>
      <c r="C2260" s="102" t="s">
        <v>154</v>
      </c>
      <c r="D2260" s="103">
        <v>951.14065737610701</v>
      </c>
      <c r="E2260" s="103">
        <v>495.691190440995</v>
      </c>
      <c r="F2260" s="103">
        <v>625.77815082626398</v>
      </c>
    </row>
    <row r="2261" spans="1:6" hidden="1" x14ac:dyDescent="0.2">
      <c r="A2261" s="102" t="s">
        <v>178</v>
      </c>
      <c r="B2261" s="102" t="s">
        <v>18</v>
      </c>
      <c r="C2261" s="102" t="s">
        <v>155</v>
      </c>
      <c r="D2261" s="103">
        <v>85831.457385027403</v>
      </c>
      <c r="E2261" s="103">
        <v>39630.6316469628</v>
      </c>
      <c r="F2261" s="103">
        <v>45920.650053812897</v>
      </c>
    </row>
    <row r="2262" spans="1:6" hidden="1" x14ac:dyDescent="0.2">
      <c r="A2262" s="102" t="s">
        <v>178</v>
      </c>
      <c r="B2262" s="102" t="s">
        <v>18</v>
      </c>
      <c r="C2262" s="102" t="s">
        <v>156</v>
      </c>
      <c r="D2262" s="103">
        <v>88960.542614972597</v>
      </c>
      <c r="E2262" s="103">
        <v>41261.368353037098</v>
      </c>
      <c r="F2262" s="103">
        <v>47979.349946187001</v>
      </c>
    </row>
    <row r="2263" spans="1:6" hidden="1" x14ac:dyDescent="0.2">
      <c r="A2263" s="102" t="s">
        <v>178</v>
      </c>
      <c r="B2263" s="102" t="s">
        <v>18</v>
      </c>
      <c r="C2263" s="102" t="s">
        <v>157</v>
      </c>
      <c r="D2263" s="104">
        <v>1.0883114300152199</v>
      </c>
      <c r="E2263" s="104">
        <v>1.2255629492186899</v>
      </c>
      <c r="F2263" s="104">
        <v>1.3328608111315501</v>
      </c>
    </row>
    <row r="2264" spans="1:6" hidden="1" x14ac:dyDescent="0.2">
      <c r="A2264" s="102" t="s">
        <v>178</v>
      </c>
      <c r="B2264" s="102" t="s">
        <v>18</v>
      </c>
      <c r="C2264" s="102" t="s">
        <v>158</v>
      </c>
      <c r="D2264" s="104">
        <v>1.3650111570193499</v>
      </c>
      <c r="E2264" s="104">
        <v>1.39077809756077</v>
      </c>
      <c r="F2264" s="104">
        <v>1.7158855508879101</v>
      </c>
    </row>
    <row r="2265" spans="1:6" hidden="1" x14ac:dyDescent="0.2">
      <c r="A2265" s="95" t="s">
        <v>178</v>
      </c>
      <c r="B2265" s="95" t="s">
        <v>19</v>
      </c>
      <c r="C2265" s="95" t="s">
        <v>153</v>
      </c>
      <c r="D2265" s="96">
        <v>149757</v>
      </c>
      <c r="E2265" s="96">
        <v>68557</v>
      </c>
      <c r="F2265" s="96">
        <v>81200</v>
      </c>
    </row>
    <row r="2266" spans="1:6" hidden="1" x14ac:dyDescent="0.2">
      <c r="A2266" s="97" t="s">
        <v>178</v>
      </c>
      <c r="B2266" s="97" t="s">
        <v>19</v>
      </c>
      <c r="C2266" s="97" t="s">
        <v>154</v>
      </c>
      <c r="D2266" s="98">
        <v>1392.21861294121</v>
      </c>
      <c r="E2266" s="98">
        <v>660.74439034624504</v>
      </c>
      <c r="F2266" s="98">
        <v>924.24649041979399</v>
      </c>
    </row>
    <row r="2267" spans="1:6" hidden="1" x14ac:dyDescent="0.2">
      <c r="A2267" s="97" t="s">
        <v>178</v>
      </c>
      <c r="B2267" s="97" t="s">
        <v>19</v>
      </c>
      <c r="C2267" s="97" t="s">
        <v>155</v>
      </c>
      <c r="D2267" s="98">
        <v>147466.92299360401</v>
      </c>
      <c r="E2267" s="98">
        <v>67470.133669259099</v>
      </c>
      <c r="F2267" s="98">
        <v>79679.695921116698</v>
      </c>
    </row>
    <row r="2268" spans="1:6" hidden="1" x14ac:dyDescent="0.2">
      <c r="A2268" s="97" t="s">
        <v>178</v>
      </c>
      <c r="B2268" s="97" t="s">
        <v>19</v>
      </c>
      <c r="C2268" s="97" t="s">
        <v>156</v>
      </c>
      <c r="D2268" s="98">
        <v>152047.077006395</v>
      </c>
      <c r="E2268" s="98">
        <v>69643.866330740799</v>
      </c>
      <c r="F2268" s="98">
        <v>82720.304078883302</v>
      </c>
    </row>
    <row r="2269" spans="1:6" hidden="1" x14ac:dyDescent="0.2">
      <c r="A2269" s="97" t="s">
        <v>178</v>
      </c>
      <c r="B2269" s="97" t="s">
        <v>19</v>
      </c>
      <c r="C2269" s="97" t="s">
        <v>157</v>
      </c>
      <c r="D2269" s="99">
        <v>0.92965177784091002</v>
      </c>
      <c r="E2269" s="99">
        <v>0.96378836639036003</v>
      </c>
      <c r="F2269" s="99">
        <v>1.1382345941130401</v>
      </c>
    </row>
    <row r="2270" spans="1:6" hidden="1" x14ac:dyDescent="0.2">
      <c r="A2270" s="97" t="s">
        <v>178</v>
      </c>
      <c r="B2270" s="97" t="s">
        <v>19</v>
      </c>
      <c r="C2270" s="97" t="s">
        <v>158</v>
      </c>
      <c r="D2270" s="99">
        <v>1.0884761457413099</v>
      </c>
      <c r="E2270" s="99">
        <v>1.0320829030932901</v>
      </c>
      <c r="F2270" s="99">
        <v>1.4297909031209399</v>
      </c>
    </row>
    <row r="2271" spans="1:6" hidden="1" x14ac:dyDescent="0.2">
      <c r="A2271" s="100" t="s">
        <v>178</v>
      </c>
      <c r="B2271" s="100" t="s">
        <v>20</v>
      </c>
      <c r="C2271" s="100" t="s">
        <v>153</v>
      </c>
      <c r="D2271" s="101">
        <v>3334</v>
      </c>
      <c r="E2271" s="101">
        <v>1512</v>
      </c>
      <c r="F2271" s="101">
        <v>1822</v>
      </c>
    </row>
    <row r="2272" spans="1:6" hidden="1" x14ac:dyDescent="0.2">
      <c r="A2272" s="102" t="s">
        <v>178</v>
      </c>
      <c r="B2272" s="102" t="s">
        <v>20</v>
      </c>
      <c r="C2272" s="102" t="s">
        <v>154</v>
      </c>
      <c r="D2272" s="103">
        <v>214.20147109070999</v>
      </c>
      <c r="E2272" s="103">
        <v>102.70806471411601</v>
      </c>
      <c r="F2272" s="103">
        <v>151.91743562333301</v>
      </c>
    </row>
    <row r="2273" spans="1:6" hidden="1" x14ac:dyDescent="0.2">
      <c r="A2273" s="102" t="s">
        <v>178</v>
      </c>
      <c r="B2273" s="102" t="s">
        <v>20</v>
      </c>
      <c r="C2273" s="102" t="s">
        <v>155</v>
      </c>
      <c r="D2273" s="103">
        <v>2981.6574446562399</v>
      </c>
      <c r="E2273" s="103">
        <v>1343.0542789855101</v>
      </c>
      <c r="F2273" s="103">
        <v>1572.10919768086</v>
      </c>
    </row>
    <row r="2274" spans="1:6" hidden="1" x14ac:dyDescent="0.2">
      <c r="A2274" s="102" t="s">
        <v>178</v>
      </c>
      <c r="B2274" s="102" t="s">
        <v>20</v>
      </c>
      <c r="C2274" s="102" t="s">
        <v>156</v>
      </c>
      <c r="D2274" s="103">
        <v>3686.3425553437501</v>
      </c>
      <c r="E2274" s="103">
        <v>1680.9457210144799</v>
      </c>
      <c r="F2274" s="103">
        <v>2071.8908023191302</v>
      </c>
    </row>
    <row r="2275" spans="1:6" hidden="1" x14ac:dyDescent="0.2">
      <c r="A2275" s="102" t="s">
        <v>178</v>
      </c>
      <c r="B2275" s="102" t="s">
        <v>20</v>
      </c>
      <c r="C2275" s="102" t="s">
        <v>157</v>
      </c>
      <c r="D2275" s="104">
        <v>6.4247591808851299</v>
      </c>
      <c r="E2275" s="104">
        <v>6.7928614228913</v>
      </c>
      <c r="F2275" s="104">
        <v>8.3379492658251202</v>
      </c>
    </row>
    <row r="2276" spans="1:6" hidden="1" x14ac:dyDescent="0.2">
      <c r="A2276" s="102" t="s">
        <v>178</v>
      </c>
      <c r="B2276" s="102" t="s">
        <v>20</v>
      </c>
      <c r="C2276" s="102" t="s">
        <v>158</v>
      </c>
      <c r="D2276" s="104">
        <v>4.4842720024747198</v>
      </c>
      <c r="E2276" s="104">
        <v>3.2693297984440801</v>
      </c>
      <c r="F2276" s="104">
        <v>4.9316927809898701</v>
      </c>
    </row>
    <row r="2277" spans="1:6" hidden="1" x14ac:dyDescent="0.2">
      <c r="A2277" s="95" t="s">
        <v>179</v>
      </c>
      <c r="B2277" s="95" t="s">
        <v>152</v>
      </c>
      <c r="C2277" s="95" t="s">
        <v>153</v>
      </c>
      <c r="D2277" s="96">
        <v>6168883</v>
      </c>
      <c r="E2277" s="96">
        <v>2943677</v>
      </c>
      <c r="F2277" s="96">
        <v>3225206</v>
      </c>
    </row>
    <row r="2278" spans="1:6" hidden="1" x14ac:dyDescent="0.2">
      <c r="A2278" s="97" t="s">
        <v>179</v>
      </c>
      <c r="B2278" s="97" t="s">
        <v>152</v>
      </c>
      <c r="C2278" s="97" t="s">
        <v>154</v>
      </c>
      <c r="D2278" s="98">
        <v>84894.492263510998</v>
      </c>
      <c r="E2278" s="98">
        <v>40585.211121722197</v>
      </c>
      <c r="F2278" s="98">
        <v>44582.120520112599</v>
      </c>
    </row>
    <row r="2279" spans="1:6" hidden="1" x14ac:dyDescent="0.2">
      <c r="A2279" s="97" t="s">
        <v>179</v>
      </c>
      <c r="B2279" s="97" t="s">
        <v>152</v>
      </c>
      <c r="C2279" s="97" t="s">
        <v>155</v>
      </c>
      <c r="D2279" s="98">
        <v>6029236.4123312896</v>
      </c>
      <c r="E2279" s="98">
        <v>2876916.6473334101</v>
      </c>
      <c r="F2279" s="98">
        <v>3151870.9598145401</v>
      </c>
    </row>
    <row r="2280" spans="1:6" hidden="1" x14ac:dyDescent="0.2">
      <c r="A2280" s="97" t="s">
        <v>179</v>
      </c>
      <c r="B2280" s="97" t="s">
        <v>152</v>
      </c>
      <c r="C2280" s="97" t="s">
        <v>156</v>
      </c>
      <c r="D2280" s="98">
        <v>6308529.5876687001</v>
      </c>
      <c r="E2280" s="98">
        <v>3010437.3526665801</v>
      </c>
      <c r="F2280" s="98">
        <v>3298541.0401854501</v>
      </c>
    </row>
    <row r="2281" spans="1:6" hidden="1" x14ac:dyDescent="0.2">
      <c r="A2281" s="97" t="s">
        <v>179</v>
      </c>
      <c r="B2281" s="97" t="s">
        <v>152</v>
      </c>
      <c r="C2281" s="97" t="s">
        <v>157</v>
      </c>
      <c r="D2281" s="99">
        <v>1.37617283815418</v>
      </c>
      <c r="E2281" s="99">
        <v>1.3787250137064</v>
      </c>
      <c r="F2281" s="99">
        <v>1.38230303801098</v>
      </c>
    </row>
    <row r="2282" spans="1:6" hidden="1" x14ac:dyDescent="0.2">
      <c r="A2282" s="97" t="s">
        <v>179</v>
      </c>
      <c r="B2282" s="97" t="s">
        <v>152</v>
      </c>
      <c r="C2282" s="97" t="s">
        <v>158</v>
      </c>
      <c r="D2282" s="99">
        <v>4.1964047845359396</v>
      </c>
      <c r="E2282" s="99">
        <v>2.5975728045411399</v>
      </c>
      <c r="F2282" s="99">
        <v>2.6422162725753302</v>
      </c>
    </row>
    <row r="2283" spans="1:6" hidden="1" x14ac:dyDescent="0.2">
      <c r="A2283" s="100" t="s">
        <v>179</v>
      </c>
      <c r="B2283" s="100" t="s">
        <v>4</v>
      </c>
      <c r="C2283" s="100" t="s">
        <v>153</v>
      </c>
      <c r="D2283" s="101">
        <v>579826</v>
      </c>
      <c r="E2283" s="101">
        <v>293100</v>
      </c>
      <c r="F2283" s="101">
        <v>286726</v>
      </c>
    </row>
    <row r="2284" spans="1:6" hidden="1" x14ac:dyDescent="0.2">
      <c r="A2284" s="102" t="s">
        <v>179</v>
      </c>
      <c r="B2284" s="102" t="s">
        <v>4</v>
      </c>
      <c r="C2284" s="102" t="s">
        <v>154</v>
      </c>
      <c r="D2284" s="103">
        <v>7491.7897639348703</v>
      </c>
      <c r="E2284" s="103">
        <v>3982.02874952414</v>
      </c>
      <c r="F2284" s="103">
        <v>3832.06703873586</v>
      </c>
    </row>
    <row r="2285" spans="1:6" hidden="1" x14ac:dyDescent="0.2">
      <c r="A2285" s="102" t="s">
        <v>179</v>
      </c>
      <c r="B2285" s="102" t="s">
        <v>4</v>
      </c>
      <c r="C2285" s="102" t="s">
        <v>155</v>
      </c>
      <c r="D2285" s="103">
        <v>567502.43402804702</v>
      </c>
      <c r="E2285" s="103">
        <v>286549.79029801203</v>
      </c>
      <c r="F2285" s="103">
        <v>280422.46874126798</v>
      </c>
    </row>
    <row r="2286" spans="1:6" hidden="1" x14ac:dyDescent="0.2">
      <c r="A2286" s="102" t="s">
        <v>179</v>
      </c>
      <c r="B2286" s="102" t="s">
        <v>4</v>
      </c>
      <c r="C2286" s="102" t="s">
        <v>156</v>
      </c>
      <c r="D2286" s="103">
        <v>592149.56597195205</v>
      </c>
      <c r="E2286" s="103">
        <v>299650.20970198698</v>
      </c>
      <c r="F2286" s="103">
        <v>293029.53125873097</v>
      </c>
    </row>
    <row r="2287" spans="1:6" hidden="1" x14ac:dyDescent="0.2">
      <c r="A2287" s="102" t="s">
        <v>179</v>
      </c>
      <c r="B2287" s="102" t="s">
        <v>4</v>
      </c>
      <c r="C2287" s="102" t="s">
        <v>157</v>
      </c>
      <c r="D2287" s="104">
        <v>1.2920755129874899</v>
      </c>
      <c r="E2287" s="104">
        <v>1.3585904979611501</v>
      </c>
      <c r="F2287" s="104">
        <v>1.33649094910676</v>
      </c>
    </row>
    <row r="2288" spans="1:6" hidden="1" x14ac:dyDescent="0.2">
      <c r="A2288" s="102" t="s">
        <v>179</v>
      </c>
      <c r="B2288" s="102" t="s">
        <v>4</v>
      </c>
      <c r="C2288" s="102" t="s">
        <v>158</v>
      </c>
      <c r="D2288" s="104">
        <v>1.55284943291973</v>
      </c>
      <c r="E2288" s="104">
        <v>1.60798650975567</v>
      </c>
      <c r="F2288" s="104">
        <v>1.53385049948132</v>
      </c>
    </row>
    <row r="2289" spans="1:6" hidden="1" x14ac:dyDescent="0.2">
      <c r="A2289" s="95" t="s">
        <v>179</v>
      </c>
      <c r="B2289" s="95" t="s">
        <v>5</v>
      </c>
      <c r="C2289" s="95" t="s">
        <v>153</v>
      </c>
      <c r="D2289" s="96">
        <v>605601</v>
      </c>
      <c r="E2289" s="96">
        <v>306730</v>
      </c>
      <c r="F2289" s="96">
        <v>298871</v>
      </c>
    </row>
    <row r="2290" spans="1:6" hidden="1" x14ac:dyDescent="0.2">
      <c r="A2290" s="97" t="s">
        <v>179</v>
      </c>
      <c r="B2290" s="97" t="s">
        <v>5</v>
      </c>
      <c r="C2290" s="97" t="s">
        <v>154</v>
      </c>
      <c r="D2290" s="98">
        <v>8154.4937044574599</v>
      </c>
      <c r="E2290" s="98">
        <v>4374.6305133578799</v>
      </c>
      <c r="F2290" s="98">
        <v>4134.9413951435699</v>
      </c>
    </row>
    <row r="2291" spans="1:6" hidden="1" x14ac:dyDescent="0.2">
      <c r="A2291" s="97" t="s">
        <v>179</v>
      </c>
      <c r="B2291" s="97" t="s">
        <v>5</v>
      </c>
      <c r="C2291" s="97" t="s">
        <v>155</v>
      </c>
      <c r="D2291" s="98">
        <v>592187.32392241899</v>
      </c>
      <c r="E2291" s="98">
        <v>299533.98283547501</v>
      </c>
      <c r="F2291" s="98">
        <v>292069.25773561897</v>
      </c>
    </row>
    <row r="2292" spans="1:6" hidden="1" x14ac:dyDescent="0.2">
      <c r="A2292" s="97" t="s">
        <v>179</v>
      </c>
      <c r="B2292" s="97" t="s">
        <v>5</v>
      </c>
      <c r="C2292" s="97" t="s">
        <v>156</v>
      </c>
      <c r="D2292" s="98">
        <v>619014.67607757996</v>
      </c>
      <c r="E2292" s="98">
        <v>313926.017164524</v>
      </c>
      <c r="F2292" s="98">
        <v>305672.74226437998</v>
      </c>
    </row>
    <row r="2293" spans="1:6" hidden="1" x14ac:dyDescent="0.2">
      <c r="A2293" s="97" t="s">
        <v>179</v>
      </c>
      <c r="B2293" s="97" t="s">
        <v>5</v>
      </c>
      <c r="C2293" s="97" t="s">
        <v>157</v>
      </c>
      <c r="D2293" s="99">
        <v>1.3465125890573899</v>
      </c>
      <c r="E2293" s="99">
        <v>1.4262154055220799</v>
      </c>
      <c r="F2293" s="99">
        <v>1.3835204469967199</v>
      </c>
    </row>
    <row r="2294" spans="1:6" hidden="1" x14ac:dyDescent="0.2">
      <c r="A2294" s="97" t="s">
        <v>179</v>
      </c>
      <c r="B2294" s="97" t="s">
        <v>5</v>
      </c>
      <c r="C2294" s="97" t="s">
        <v>158</v>
      </c>
      <c r="D2294" s="99">
        <v>1.6476158362554201</v>
      </c>
      <c r="E2294" s="99">
        <v>1.7161700652335901</v>
      </c>
      <c r="F2294" s="99">
        <v>1.6216715844478899</v>
      </c>
    </row>
    <row r="2295" spans="1:6" hidden="1" x14ac:dyDescent="0.2">
      <c r="A2295" s="100" t="s">
        <v>179</v>
      </c>
      <c r="B2295" s="100" t="s">
        <v>6</v>
      </c>
      <c r="C2295" s="100" t="s">
        <v>153</v>
      </c>
      <c r="D2295" s="101">
        <v>630145</v>
      </c>
      <c r="E2295" s="101">
        <v>316804</v>
      </c>
      <c r="F2295" s="101">
        <v>313341</v>
      </c>
    </row>
    <row r="2296" spans="1:6" hidden="1" x14ac:dyDescent="0.2">
      <c r="A2296" s="102" t="s">
        <v>179</v>
      </c>
      <c r="B2296" s="102" t="s">
        <v>6</v>
      </c>
      <c r="C2296" s="102" t="s">
        <v>154</v>
      </c>
      <c r="D2296" s="103">
        <v>8509.09631269893</v>
      </c>
      <c r="E2296" s="103">
        <v>4508.5483981455</v>
      </c>
      <c r="F2296" s="103">
        <v>4375.8170973327196</v>
      </c>
    </row>
    <row r="2297" spans="1:6" hidden="1" x14ac:dyDescent="0.2">
      <c r="A2297" s="102" t="s">
        <v>179</v>
      </c>
      <c r="B2297" s="102" t="s">
        <v>6</v>
      </c>
      <c r="C2297" s="102" t="s">
        <v>155</v>
      </c>
      <c r="D2297" s="103">
        <v>616148.02289900696</v>
      </c>
      <c r="E2297" s="103">
        <v>309387.69556901301</v>
      </c>
      <c r="F2297" s="103">
        <v>306143.03097265499</v>
      </c>
    </row>
    <row r="2298" spans="1:6" hidden="1" x14ac:dyDescent="0.2">
      <c r="A2298" s="102" t="s">
        <v>179</v>
      </c>
      <c r="B2298" s="102" t="s">
        <v>6</v>
      </c>
      <c r="C2298" s="102" t="s">
        <v>156</v>
      </c>
      <c r="D2298" s="103">
        <v>644141.97710099199</v>
      </c>
      <c r="E2298" s="103">
        <v>324220.304430986</v>
      </c>
      <c r="F2298" s="103">
        <v>320538.96902734402</v>
      </c>
    </row>
    <row r="2299" spans="1:6" hidden="1" x14ac:dyDescent="0.2">
      <c r="A2299" s="102" t="s">
        <v>179</v>
      </c>
      <c r="B2299" s="102" t="s">
        <v>6</v>
      </c>
      <c r="C2299" s="102" t="s">
        <v>157</v>
      </c>
      <c r="D2299" s="104">
        <v>1.35033941595964</v>
      </c>
      <c r="E2299" s="104">
        <v>1.4231349345795801</v>
      </c>
      <c r="F2299" s="104">
        <v>1.3965032017299699</v>
      </c>
    </row>
    <row r="2300" spans="1:6" hidden="1" x14ac:dyDescent="0.2">
      <c r="A2300" s="102" t="s">
        <v>179</v>
      </c>
      <c r="B2300" s="102" t="s">
        <v>6</v>
      </c>
      <c r="C2300" s="102" t="s">
        <v>158</v>
      </c>
      <c r="D2300" s="104">
        <v>1.6817015714461001</v>
      </c>
      <c r="E2300" s="104">
        <v>1.7296638668206099</v>
      </c>
      <c r="F2300" s="104">
        <v>1.6849046420851499</v>
      </c>
    </row>
    <row r="2301" spans="1:6" hidden="1" x14ac:dyDescent="0.2">
      <c r="A2301" s="95" t="s">
        <v>179</v>
      </c>
      <c r="B2301" s="95" t="s">
        <v>7</v>
      </c>
      <c r="C2301" s="95" t="s">
        <v>153</v>
      </c>
      <c r="D2301" s="96">
        <v>587791</v>
      </c>
      <c r="E2301" s="96">
        <v>294501</v>
      </c>
      <c r="F2301" s="96">
        <v>293290</v>
      </c>
    </row>
    <row r="2302" spans="1:6" hidden="1" x14ac:dyDescent="0.2">
      <c r="A2302" s="97" t="s">
        <v>179</v>
      </c>
      <c r="B2302" s="97" t="s">
        <v>7</v>
      </c>
      <c r="C2302" s="97" t="s">
        <v>154</v>
      </c>
      <c r="D2302" s="98">
        <v>8455.5141926930191</v>
      </c>
      <c r="E2302" s="98">
        <v>4245.0648943974602</v>
      </c>
      <c r="F2302" s="98">
        <v>4583.7799423114802</v>
      </c>
    </row>
    <row r="2303" spans="1:6" hidden="1" x14ac:dyDescent="0.2">
      <c r="A2303" s="97" t="s">
        <v>179</v>
      </c>
      <c r="B2303" s="97" t="s">
        <v>7</v>
      </c>
      <c r="C2303" s="97" t="s">
        <v>155</v>
      </c>
      <c r="D2303" s="98">
        <v>573882.16242395598</v>
      </c>
      <c r="E2303" s="98">
        <v>287518.11087340303</v>
      </c>
      <c r="F2303" s="98">
        <v>285749.94397868402</v>
      </c>
    </row>
    <row r="2304" spans="1:6" hidden="1" x14ac:dyDescent="0.2">
      <c r="A2304" s="97" t="s">
        <v>179</v>
      </c>
      <c r="B2304" s="97" t="s">
        <v>7</v>
      </c>
      <c r="C2304" s="97" t="s">
        <v>156</v>
      </c>
      <c r="D2304" s="98">
        <v>601699.83757604298</v>
      </c>
      <c r="E2304" s="98">
        <v>301483.88912659598</v>
      </c>
      <c r="F2304" s="98">
        <v>300830.05602131499</v>
      </c>
    </row>
    <row r="2305" spans="1:6" hidden="1" x14ac:dyDescent="0.2">
      <c r="A2305" s="97" t="s">
        <v>179</v>
      </c>
      <c r="B2305" s="97" t="s">
        <v>7</v>
      </c>
      <c r="C2305" s="97" t="s">
        <v>157</v>
      </c>
      <c r="D2305" s="99">
        <v>1.43852392988205</v>
      </c>
      <c r="E2305" s="99">
        <v>1.44144328691497</v>
      </c>
      <c r="F2305" s="99">
        <v>1.5628831335236399</v>
      </c>
    </row>
    <row r="2306" spans="1:6" hidden="1" x14ac:dyDescent="0.2">
      <c r="A2306" s="97" t="s">
        <v>179</v>
      </c>
      <c r="B2306" s="97" t="s">
        <v>7</v>
      </c>
      <c r="C2306" s="97" t="s">
        <v>158</v>
      </c>
      <c r="D2306" s="99">
        <v>1.9627332703556499</v>
      </c>
      <c r="E2306" s="99">
        <v>1.84938129327479</v>
      </c>
      <c r="F2306" s="99">
        <v>2.1267233092143401</v>
      </c>
    </row>
    <row r="2307" spans="1:6" hidden="1" x14ac:dyDescent="0.2">
      <c r="A2307" s="100" t="s">
        <v>179</v>
      </c>
      <c r="B2307" s="100" t="s">
        <v>8</v>
      </c>
      <c r="C2307" s="100" t="s">
        <v>153</v>
      </c>
      <c r="D2307" s="101">
        <v>573210</v>
      </c>
      <c r="E2307" s="101">
        <v>277848</v>
      </c>
      <c r="F2307" s="101">
        <v>295362</v>
      </c>
    </row>
    <row r="2308" spans="1:6" hidden="1" x14ac:dyDescent="0.2">
      <c r="A2308" s="102" t="s">
        <v>179</v>
      </c>
      <c r="B2308" s="102" t="s">
        <v>8</v>
      </c>
      <c r="C2308" s="102" t="s">
        <v>154</v>
      </c>
      <c r="D2308" s="103">
        <v>9162.5134952390399</v>
      </c>
      <c r="E2308" s="103">
        <v>4718.7929889785601</v>
      </c>
      <c r="F2308" s="103">
        <v>4752.0462676288798</v>
      </c>
    </row>
    <row r="2309" spans="1:6" hidden="1" x14ac:dyDescent="0.2">
      <c r="A2309" s="102" t="s">
        <v>179</v>
      </c>
      <c r="B2309" s="102" t="s">
        <v>8</v>
      </c>
      <c r="C2309" s="102" t="s">
        <v>155</v>
      </c>
      <c r="D2309" s="103">
        <v>558138.18897947995</v>
      </c>
      <c r="E2309" s="103">
        <v>270085.85523352301</v>
      </c>
      <c r="F2309" s="103">
        <v>287545.15549071901</v>
      </c>
    </row>
    <row r="2310" spans="1:6" hidden="1" x14ac:dyDescent="0.2">
      <c r="A2310" s="102" t="s">
        <v>179</v>
      </c>
      <c r="B2310" s="102" t="s">
        <v>8</v>
      </c>
      <c r="C2310" s="102" t="s">
        <v>156</v>
      </c>
      <c r="D2310" s="103">
        <v>588281.811020519</v>
      </c>
      <c r="E2310" s="103">
        <v>285610.14476647601</v>
      </c>
      <c r="F2310" s="103">
        <v>303178.84450928</v>
      </c>
    </row>
    <row r="2311" spans="1:6" hidden="1" x14ac:dyDescent="0.2">
      <c r="A2311" s="102" t="s">
        <v>179</v>
      </c>
      <c r="B2311" s="102" t="s">
        <v>8</v>
      </c>
      <c r="C2311" s="102" t="s">
        <v>157</v>
      </c>
      <c r="D2311" s="104">
        <v>1.5984566729887799</v>
      </c>
      <c r="E2311" s="104">
        <v>1.6983361366569301</v>
      </c>
      <c r="F2311" s="104">
        <v>1.6088888440723099</v>
      </c>
    </row>
    <row r="2312" spans="1:6" hidden="1" x14ac:dyDescent="0.2">
      <c r="A2312" s="102" t="s">
        <v>179</v>
      </c>
      <c r="B2312" s="102" t="s">
        <v>8</v>
      </c>
      <c r="C2312" s="102" t="s">
        <v>158</v>
      </c>
      <c r="D2312" s="104">
        <v>2.3432318209999701</v>
      </c>
      <c r="E2312" s="104">
        <v>2.39349911326042</v>
      </c>
      <c r="F2312" s="104">
        <v>2.2825600181789598</v>
      </c>
    </row>
    <row r="2313" spans="1:6" hidden="1" x14ac:dyDescent="0.2">
      <c r="A2313" s="95" t="s">
        <v>179</v>
      </c>
      <c r="B2313" s="95" t="s">
        <v>9</v>
      </c>
      <c r="C2313" s="95" t="s">
        <v>153</v>
      </c>
      <c r="D2313" s="96">
        <v>461035</v>
      </c>
      <c r="E2313" s="96">
        <v>214506</v>
      </c>
      <c r="F2313" s="96">
        <v>246529</v>
      </c>
    </row>
    <row r="2314" spans="1:6" hidden="1" x14ac:dyDescent="0.2">
      <c r="A2314" s="97" t="s">
        <v>179</v>
      </c>
      <c r="B2314" s="97" t="s">
        <v>9</v>
      </c>
      <c r="C2314" s="97" t="s">
        <v>154</v>
      </c>
      <c r="D2314" s="98">
        <v>6726.7664455637796</v>
      </c>
      <c r="E2314" s="98">
        <v>3318.7720662626798</v>
      </c>
      <c r="F2314" s="98">
        <v>3735.0307605583398</v>
      </c>
    </row>
    <row r="2315" spans="1:6" hidden="1" x14ac:dyDescent="0.2">
      <c r="A2315" s="97" t="s">
        <v>179</v>
      </c>
      <c r="B2315" s="97" t="s">
        <v>9</v>
      </c>
      <c r="C2315" s="97" t="s">
        <v>155</v>
      </c>
      <c r="D2315" s="98">
        <v>449969.85366221901</v>
      </c>
      <c r="E2315" s="98">
        <v>209046.80963385399</v>
      </c>
      <c r="F2315" s="98">
        <v>240385.08787280699</v>
      </c>
    </row>
    <row r="2316" spans="1:6" hidden="1" x14ac:dyDescent="0.2">
      <c r="A2316" s="97" t="s">
        <v>179</v>
      </c>
      <c r="B2316" s="97" t="s">
        <v>9</v>
      </c>
      <c r="C2316" s="97" t="s">
        <v>156</v>
      </c>
      <c r="D2316" s="98">
        <v>472100.14633778</v>
      </c>
      <c r="E2316" s="98">
        <v>219965.19036614499</v>
      </c>
      <c r="F2316" s="98">
        <v>252672.91212719199</v>
      </c>
    </row>
    <row r="2317" spans="1:6" hidden="1" x14ac:dyDescent="0.2">
      <c r="A2317" s="97" t="s">
        <v>179</v>
      </c>
      <c r="B2317" s="97" t="s">
        <v>9</v>
      </c>
      <c r="C2317" s="97" t="s">
        <v>157</v>
      </c>
      <c r="D2317" s="99">
        <v>1.4590576519274601</v>
      </c>
      <c r="E2317" s="99">
        <v>1.5471698070276201</v>
      </c>
      <c r="F2317" s="99">
        <v>1.51504721982336</v>
      </c>
    </row>
    <row r="2318" spans="1:6" hidden="1" x14ac:dyDescent="0.2">
      <c r="A2318" s="97" t="s">
        <v>179</v>
      </c>
      <c r="B2318" s="97" t="s">
        <v>9</v>
      </c>
      <c r="C2318" s="97" t="s">
        <v>158</v>
      </c>
      <c r="D2318" s="99">
        <v>2.0196988372323901</v>
      </c>
      <c r="E2318" s="99">
        <v>2.1063907778236</v>
      </c>
      <c r="F2318" s="99">
        <v>2.0114122125469902</v>
      </c>
    </row>
    <row r="2319" spans="1:6" hidden="1" x14ac:dyDescent="0.2">
      <c r="A2319" s="100" t="s">
        <v>179</v>
      </c>
      <c r="B2319" s="100" t="s">
        <v>10</v>
      </c>
      <c r="C2319" s="100" t="s">
        <v>153</v>
      </c>
      <c r="D2319" s="101">
        <v>447844</v>
      </c>
      <c r="E2319" s="101">
        <v>203208</v>
      </c>
      <c r="F2319" s="101">
        <v>244636</v>
      </c>
    </row>
    <row r="2320" spans="1:6" hidden="1" x14ac:dyDescent="0.2">
      <c r="A2320" s="102" t="s">
        <v>179</v>
      </c>
      <c r="B2320" s="102" t="s">
        <v>10</v>
      </c>
      <c r="C2320" s="102" t="s">
        <v>154</v>
      </c>
      <c r="D2320" s="103">
        <v>7569.8618155757204</v>
      </c>
      <c r="E2320" s="103">
        <v>3655.13590817165</v>
      </c>
      <c r="F2320" s="103">
        <v>4169.5045403163303</v>
      </c>
    </row>
    <row r="2321" spans="1:6" hidden="1" x14ac:dyDescent="0.2">
      <c r="A2321" s="102" t="s">
        <v>179</v>
      </c>
      <c r="B2321" s="102" t="s">
        <v>10</v>
      </c>
      <c r="C2321" s="102" t="s">
        <v>155</v>
      </c>
      <c r="D2321" s="103">
        <v>435392.00996526901</v>
      </c>
      <c r="E2321" s="103">
        <v>197195.51033863099</v>
      </c>
      <c r="F2321" s="103">
        <v>237777.40333725</v>
      </c>
    </row>
    <row r="2322" spans="1:6" hidden="1" x14ac:dyDescent="0.2">
      <c r="A2322" s="102" t="s">
        <v>179</v>
      </c>
      <c r="B2322" s="102" t="s">
        <v>10</v>
      </c>
      <c r="C2322" s="102" t="s">
        <v>156</v>
      </c>
      <c r="D2322" s="103">
        <v>460295.99003473</v>
      </c>
      <c r="E2322" s="103">
        <v>209220.48966136799</v>
      </c>
      <c r="F2322" s="103">
        <v>251494.59666274901</v>
      </c>
    </row>
    <row r="2323" spans="1:6" hidden="1" x14ac:dyDescent="0.2">
      <c r="A2323" s="102" t="s">
        <v>179</v>
      </c>
      <c r="B2323" s="102" t="s">
        <v>10</v>
      </c>
      <c r="C2323" s="102" t="s">
        <v>157</v>
      </c>
      <c r="D2323" s="104">
        <v>1.6902898812032101</v>
      </c>
      <c r="E2323" s="104">
        <v>1.79871654077184</v>
      </c>
      <c r="F2323" s="104">
        <v>1.7043707959238701</v>
      </c>
    </row>
    <row r="2324" spans="1:6" hidden="1" x14ac:dyDescent="0.2">
      <c r="A2324" s="102" t="s">
        <v>179</v>
      </c>
      <c r="B2324" s="102" t="s">
        <v>10</v>
      </c>
      <c r="C2324" s="102" t="s">
        <v>158</v>
      </c>
      <c r="D2324" s="104">
        <v>2.51062273849436</v>
      </c>
      <c r="E2324" s="104">
        <v>2.5687742381713301</v>
      </c>
      <c r="F2324" s="104">
        <v>2.4374111164624299</v>
      </c>
    </row>
    <row r="2325" spans="1:6" hidden="1" x14ac:dyDescent="0.2">
      <c r="A2325" s="95" t="s">
        <v>179</v>
      </c>
      <c r="B2325" s="95" t="s">
        <v>11</v>
      </c>
      <c r="C2325" s="95" t="s">
        <v>153</v>
      </c>
      <c r="D2325" s="96">
        <v>428097</v>
      </c>
      <c r="E2325" s="96">
        <v>195614</v>
      </c>
      <c r="F2325" s="96">
        <v>232483</v>
      </c>
    </row>
    <row r="2326" spans="1:6" hidden="1" x14ac:dyDescent="0.2">
      <c r="A2326" s="97" t="s">
        <v>179</v>
      </c>
      <c r="B2326" s="97" t="s">
        <v>11</v>
      </c>
      <c r="C2326" s="97" t="s">
        <v>154</v>
      </c>
      <c r="D2326" s="98">
        <v>7311.3641958953003</v>
      </c>
      <c r="E2326" s="98">
        <v>3512.3299630696602</v>
      </c>
      <c r="F2326" s="98">
        <v>4041.87612376064</v>
      </c>
    </row>
    <row r="2327" spans="1:6" hidden="1" x14ac:dyDescent="0.2">
      <c r="A2327" s="97" t="s">
        <v>179</v>
      </c>
      <c r="B2327" s="97" t="s">
        <v>11</v>
      </c>
      <c r="C2327" s="97" t="s">
        <v>155</v>
      </c>
      <c r="D2327" s="98">
        <v>416070.22377533303</v>
      </c>
      <c r="E2327" s="98">
        <v>189836.41795631699</v>
      </c>
      <c r="F2327" s="98">
        <v>225834.34478794201</v>
      </c>
    </row>
    <row r="2328" spans="1:6" hidden="1" x14ac:dyDescent="0.2">
      <c r="A2328" s="97" t="s">
        <v>179</v>
      </c>
      <c r="B2328" s="97" t="s">
        <v>11</v>
      </c>
      <c r="C2328" s="97" t="s">
        <v>156</v>
      </c>
      <c r="D2328" s="98">
        <v>440123.77622466598</v>
      </c>
      <c r="E2328" s="98">
        <v>201391.58204368199</v>
      </c>
      <c r="F2328" s="98">
        <v>239131.655212057</v>
      </c>
    </row>
    <row r="2329" spans="1:6" hidden="1" x14ac:dyDescent="0.2">
      <c r="A2329" s="97" t="s">
        <v>179</v>
      </c>
      <c r="B2329" s="97" t="s">
        <v>11</v>
      </c>
      <c r="C2329" s="97" t="s">
        <v>157</v>
      </c>
      <c r="D2329" s="99">
        <v>1.70787559732848</v>
      </c>
      <c r="E2329" s="99">
        <v>1.7955412000519699</v>
      </c>
      <c r="F2329" s="99">
        <v>1.73856846468801</v>
      </c>
    </row>
    <row r="2330" spans="1:6" hidden="1" x14ac:dyDescent="0.2">
      <c r="A2330" s="97" t="s">
        <v>179</v>
      </c>
      <c r="B2330" s="97" t="s">
        <v>11</v>
      </c>
      <c r="C2330" s="97" t="s">
        <v>158</v>
      </c>
      <c r="D2330" s="99">
        <v>2.4949316184847601</v>
      </c>
      <c r="E2330" s="99">
        <v>2.4799199545811699</v>
      </c>
      <c r="F2330" s="99">
        <v>2.4899865047857301</v>
      </c>
    </row>
    <row r="2331" spans="1:6" hidden="1" x14ac:dyDescent="0.2">
      <c r="A2331" s="100" t="s">
        <v>179</v>
      </c>
      <c r="B2331" s="100" t="s">
        <v>12</v>
      </c>
      <c r="C2331" s="100" t="s">
        <v>153</v>
      </c>
      <c r="D2331" s="101">
        <v>388885</v>
      </c>
      <c r="E2331" s="101">
        <v>179770</v>
      </c>
      <c r="F2331" s="101">
        <v>209115</v>
      </c>
    </row>
    <row r="2332" spans="1:6" hidden="1" x14ac:dyDescent="0.2">
      <c r="A2332" s="102" t="s">
        <v>179</v>
      </c>
      <c r="B2332" s="102" t="s">
        <v>12</v>
      </c>
      <c r="C2332" s="102" t="s">
        <v>154</v>
      </c>
      <c r="D2332" s="103">
        <v>7063.7693571344898</v>
      </c>
      <c r="E2332" s="103">
        <v>3399.9614432345302</v>
      </c>
      <c r="F2332" s="103">
        <v>3913.9664055131302</v>
      </c>
    </row>
    <row r="2333" spans="1:6" hidden="1" x14ac:dyDescent="0.2">
      <c r="A2333" s="102" t="s">
        <v>179</v>
      </c>
      <c r="B2333" s="102" t="s">
        <v>12</v>
      </c>
      <c r="C2333" s="102" t="s">
        <v>155</v>
      </c>
      <c r="D2333" s="103">
        <v>377265.503133928</v>
      </c>
      <c r="E2333" s="103">
        <v>174177.257749076</v>
      </c>
      <c r="F2333" s="103">
        <v>202676.748963839</v>
      </c>
    </row>
    <row r="2334" spans="1:6" hidden="1" x14ac:dyDescent="0.2">
      <c r="A2334" s="102" t="s">
        <v>179</v>
      </c>
      <c r="B2334" s="102" t="s">
        <v>12</v>
      </c>
      <c r="C2334" s="102" t="s">
        <v>156</v>
      </c>
      <c r="D2334" s="103">
        <v>400504.49686607101</v>
      </c>
      <c r="E2334" s="103">
        <v>185362.74225092301</v>
      </c>
      <c r="F2334" s="103">
        <v>215553.25103616001</v>
      </c>
    </row>
    <row r="2335" spans="1:6" hidden="1" x14ac:dyDescent="0.2">
      <c r="A2335" s="102" t="s">
        <v>179</v>
      </c>
      <c r="B2335" s="102" t="s">
        <v>12</v>
      </c>
      <c r="C2335" s="102" t="s">
        <v>157</v>
      </c>
      <c r="D2335" s="104">
        <v>1.8164159988517099</v>
      </c>
      <c r="E2335" s="104">
        <v>1.89128410926991</v>
      </c>
      <c r="F2335" s="104">
        <v>1.8716813263099801</v>
      </c>
    </row>
    <row r="2336" spans="1:6" hidden="1" x14ac:dyDescent="0.2">
      <c r="A2336" s="102" t="s">
        <v>179</v>
      </c>
      <c r="B2336" s="102" t="s">
        <v>12</v>
      </c>
      <c r="C2336" s="102" t="s">
        <v>158</v>
      </c>
      <c r="D2336" s="104">
        <v>2.7605247252465999</v>
      </c>
      <c r="E2336" s="104">
        <v>2.73281591378064</v>
      </c>
      <c r="F2336" s="104">
        <v>2.7731655848917098</v>
      </c>
    </row>
    <row r="2337" spans="1:6" hidden="1" x14ac:dyDescent="0.2">
      <c r="A2337" s="95" t="s">
        <v>179</v>
      </c>
      <c r="B2337" s="95" t="s">
        <v>13</v>
      </c>
      <c r="C2337" s="95" t="s">
        <v>153</v>
      </c>
      <c r="D2337" s="96">
        <v>320475</v>
      </c>
      <c r="E2337" s="96">
        <v>145494</v>
      </c>
      <c r="F2337" s="96">
        <v>174981</v>
      </c>
    </row>
    <row r="2338" spans="1:6" hidden="1" x14ac:dyDescent="0.2">
      <c r="A2338" s="97" t="s">
        <v>179</v>
      </c>
      <c r="B2338" s="97" t="s">
        <v>13</v>
      </c>
      <c r="C2338" s="97" t="s">
        <v>154</v>
      </c>
      <c r="D2338" s="98">
        <v>6035.4214867436804</v>
      </c>
      <c r="E2338" s="98">
        <v>2966.23187324849</v>
      </c>
      <c r="F2338" s="98">
        <v>3307.9260130955699</v>
      </c>
    </row>
    <row r="2339" spans="1:6" hidden="1" x14ac:dyDescent="0.2">
      <c r="A2339" s="97" t="s">
        <v>179</v>
      </c>
      <c r="B2339" s="97" t="s">
        <v>13</v>
      </c>
      <c r="C2339" s="97" t="s">
        <v>155</v>
      </c>
      <c r="D2339" s="98">
        <v>310547.07660598197</v>
      </c>
      <c r="E2339" s="98">
        <v>140614.718102093</v>
      </c>
      <c r="F2339" s="98">
        <v>169539.650771413</v>
      </c>
    </row>
    <row r="2340" spans="1:6" hidden="1" x14ac:dyDescent="0.2">
      <c r="A2340" s="97" t="s">
        <v>179</v>
      </c>
      <c r="B2340" s="97" t="s">
        <v>13</v>
      </c>
      <c r="C2340" s="97" t="s">
        <v>156</v>
      </c>
      <c r="D2340" s="98">
        <v>330402.92339401698</v>
      </c>
      <c r="E2340" s="98">
        <v>150373.28189790601</v>
      </c>
      <c r="F2340" s="98">
        <v>180422.34922858601</v>
      </c>
    </row>
    <row r="2341" spans="1:6" hidden="1" x14ac:dyDescent="0.2">
      <c r="A2341" s="97" t="s">
        <v>179</v>
      </c>
      <c r="B2341" s="97" t="s">
        <v>13</v>
      </c>
      <c r="C2341" s="97" t="s">
        <v>157</v>
      </c>
      <c r="D2341" s="99">
        <v>1.88327373016418</v>
      </c>
      <c r="E2341" s="99">
        <v>2.0387314069642</v>
      </c>
      <c r="F2341" s="99">
        <v>1.8904486847689601</v>
      </c>
    </row>
    <row r="2342" spans="1:6" hidden="1" x14ac:dyDescent="0.2">
      <c r="A2342" s="97" t="s">
        <v>179</v>
      </c>
      <c r="B2342" s="97" t="s">
        <v>13</v>
      </c>
      <c r="C2342" s="97" t="s">
        <v>158</v>
      </c>
      <c r="D2342" s="99">
        <v>3.0666587230135902</v>
      </c>
      <c r="E2342" s="99">
        <v>3.17261158752676</v>
      </c>
      <c r="F2342" s="99">
        <v>2.9286110584329399</v>
      </c>
    </row>
    <row r="2343" spans="1:6" hidden="1" x14ac:dyDescent="0.2">
      <c r="A2343" s="100" t="s">
        <v>179</v>
      </c>
      <c r="B2343" s="100" t="s">
        <v>14</v>
      </c>
      <c r="C2343" s="100" t="s">
        <v>153</v>
      </c>
      <c r="D2343" s="101">
        <v>288577</v>
      </c>
      <c r="E2343" s="101">
        <v>131549</v>
      </c>
      <c r="F2343" s="101">
        <v>157028</v>
      </c>
    </row>
    <row r="2344" spans="1:6" hidden="1" x14ac:dyDescent="0.2">
      <c r="A2344" s="102" t="s">
        <v>179</v>
      </c>
      <c r="B2344" s="102" t="s">
        <v>14</v>
      </c>
      <c r="C2344" s="102" t="s">
        <v>154</v>
      </c>
      <c r="D2344" s="103">
        <v>4915.6119304847898</v>
      </c>
      <c r="E2344" s="103">
        <v>2417.0470452497002</v>
      </c>
      <c r="F2344" s="103">
        <v>2792.8089133554699</v>
      </c>
    </row>
    <row r="2345" spans="1:6" hidden="1" x14ac:dyDescent="0.2">
      <c r="A2345" s="102" t="s">
        <v>179</v>
      </c>
      <c r="B2345" s="102" t="s">
        <v>14</v>
      </c>
      <c r="C2345" s="102" t="s">
        <v>155</v>
      </c>
      <c r="D2345" s="103">
        <v>280491.09932384</v>
      </c>
      <c r="E2345" s="103">
        <v>127573.095755751</v>
      </c>
      <c r="F2345" s="103">
        <v>152433.98895920999</v>
      </c>
    </row>
    <row r="2346" spans="1:6" hidden="1" x14ac:dyDescent="0.2">
      <c r="A2346" s="102" t="s">
        <v>179</v>
      </c>
      <c r="B2346" s="102" t="s">
        <v>14</v>
      </c>
      <c r="C2346" s="102" t="s">
        <v>156</v>
      </c>
      <c r="D2346" s="103">
        <v>296662.90067615901</v>
      </c>
      <c r="E2346" s="103">
        <v>135524.904244248</v>
      </c>
      <c r="F2346" s="103">
        <v>161622.01104079001</v>
      </c>
    </row>
    <row r="2347" spans="1:6" hidden="1" x14ac:dyDescent="0.2">
      <c r="A2347" s="102" t="s">
        <v>179</v>
      </c>
      <c r="B2347" s="102" t="s">
        <v>14</v>
      </c>
      <c r="C2347" s="102" t="s">
        <v>157</v>
      </c>
      <c r="D2347" s="104">
        <v>1.7033969895330501</v>
      </c>
      <c r="E2347" s="104">
        <v>1.83737394069867</v>
      </c>
      <c r="F2347" s="104">
        <v>1.77854198827946</v>
      </c>
    </row>
    <row r="2348" spans="1:6" hidden="1" x14ac:dyDescent="0.2">
      <c r="A2348" s="102" t="s">
        <v>179</v>
      </c>
      <c r="B2348" s="102" t="s">
        <v>14</v>
      </c>
      <c r="C2348" s="102" t="s">
        <v>158</v>
      </c>
      <c r="D2348" s="104">
        <v>2.5742266639716598</v>
      </c>
      <c r="E2348" s="104">
        <v>2.67667910216817</v>
      </c>
      <c r="F2348" s="104">
        <v>2.57541551553002</v>
      </c>
    </row>
    <row r="2349" spans="1:6" hidden="1" x14ac:dyDescent="0.2">
      <c r="A2349" s="95" t="s">
        <v>179</v>
      </c>
      <c r="B2349" s="95" t="s">
        <v>15</v>
      </c>
      <c r="C2349" s="95" t="s">
        <v>153</v>
      </c>
      <c r="D2349" s="96">
        <v>233470</v>
      </c>
      <c r="E2349" s="96">
        <v>106718</v>
      </c>
      <c r="F2349" s="96">
        <v>126752</v>
      </c>
    </row>
    <row r="2350" spans="1:6" hidden="1" x14ac:dyDescent="0.2">
      <c r="A2350" s="97" t="s">
        <v>179</v>
      </c>
      <c r="B2350" s="97" t="s">
        <v>15</v>
      </c>
      <c r="C2350" s="97" t="s">
        <v>154</v>
      </c>
      <c r="D2350" s="98">
        <v>4007.9247684338902</v>
      </c>
      <c r="E2350" s="98">
        <v>2025.4238963212099</v>
      </c>
      <c r="F2350" s="98">
        <v>2228.9894581298099</v>
      </c>
    </row>
    <row r="2351" spans="1:6" hidden="1" x14ac:dyDescent="0.2">
      <c r="A2351" s="97" t="s">
        <v>179</v>
      </c>
      <c r="B2351" s="97" t="s">
        <v>15</v>
      </c>
      <c r="C2351" s="97" t="s">
        <v>155</v>
      </c>
      <c r="D2351" s="98">
        <v>226877.19282698099</v>
      </c>
      <c r="E2351" s="98">
        <v>103386.29345270099</v>
      </c>
      <c r="F2351" s="98">
        <v>123085.43973822</v>
      </c>
    </row>
    <row r="2352" spans="1:6" hidden="1" x14ac:dyDescent="0.2">
      <c r="A2352" s="97" t="s">
        <v>179</v>
      </c>
      <c r="B2352" s="97" t="s">
        <v>15</v>
      </c>
      <c r="C2352" s="97" t="s">
        <v>156</v>
      </c>
      <c r="D2352" s="98">
        <v>240062.80717301799</v>
      </c>
      <c r="E2352" s="98">
        <v>110049.706547298</v>
      </c>
      <c r="F2352" s="98">
        <v>130418.560261779</v>
      </c>
    </row>
    <row r="2353" spans="1:6" hidden="1" x14ac:dyDescent="0.2">
      <c r="A2353" s="97" t="s">
        <v>179</v>
      </c>
      <c r="B2353" s="97" t="s">
        <v>15</v>
      </c>
      <c r="C2353" s="97" t="s">
        <v>157</v>
      </c>
      <c r="D2353" s="99">
        <v>1.7166765616284301</v>
      </c>
      <c r="E2353" s="99">
        <v>1.89792152806575</v>
      </c>
      <c r="F2353" s="99">
        <v>1.7585438163735601</v>
      </c>
    </row>
    <row r="2354" spans="1:6" hidden="1" x14ac:dyDescent="0.2">
      <c r="A2354" s="97" t="s">
        <v>179</v>
      </c>
      <c r="B2354" s="97" t="s">
        <v>15</v>
      </c>
      <c r="C2354" s="97" t="s">
        <v>158</v>
      </c>
      <c r="D2354" s="99">
        <v>2.61551676175712</v>
      </c>
      <c r="E2354" s="99">
        <v>2.80137660866112</v>
      </c>
      <c r="F2354" s="99">
        <v>2.5063940650118801</v>
      </c>
    </row>
    <row r="2355" spans="1:6" hidden="1" x14ac:dyDescent="0.2">
      <c r="A2355" s="100" t="s">
        <v>179</v>
      </c>
      <c r="B2355" s="100" t="s">
        <v>16</v>
      </c>
      <c r="C2355" s="100" t="s">
        <v>153</v>
      </c>
      <c r="D2355" s="101">
        <v>185118</v>
      </c>
      <c r="E2355" s="101">
        <v>83384</v>
      </c>
      <c r="F2355" s="101">
        <v>101734</v>
      </c>
    </row>
    <row r="2356" spans="1:6" hidden="1" x14ac:dyDescent="0.2">
      <c r="A2356" s="102" t="s">
        <v>179</v>
      </c>
      <c r="B2356" s="102" t="s">
        <v>16</v>
      </c>
      <c r="C2356" s="102" t="s">
        <v>154</v>
      </c>
      <c r="D2356" s="103">
        <v>3106.4536141052699</v>
      </c>
      <c r="E2356" s="103">
        <v>1435.1557004747301</v>
      </c>
      <c r="F2356" s="103">
        <v>1926.99197917272</v>
      </c>
    </row>
    <row r="2357" spans="1:6" hidden="1" x14ac:dyDescent="0.2">
      <c r="A2357" s="102" t="s">
        <v>179</v>
      </c>
      <c r="B2357" s="102" t="s">
        <v>16</v>
      </c>
      <c r="C2357" s="102" t="s">
        <v>155</v>
      </c>
      <c r="D2357" s="103">
        <v>180008.061352691</v>
      </c>
      <c r="E2357" s="103">
        <v>81023.250898368002</v>
      </c>
      <c r="F2357" s="103">
        <v>98564.208330580994</v>
      </c>
    </row>
    <row r="2358" spans="1:6" hidden="1" x14ac:dyDescent="0.2">
      <c r="A2358" s="102" t="s">
        <v>179</v>
      </c>
      <c r="B2358" s="102" t="s">
        <v>16</v>
      </c>
      <c r="C2358" s="102" t="s">
        <v>156</v>
      </c>
      <c r="D2358" s="103">
        <v>190227.93864730801</v>
      </c>
      <c r="E2358" s="103">
        <v>85744.749101631896</v>
      </c>
      <c r="F2358" s="103">
        <v>104903.79166941901</v>
      </c>
    </row>
    <row r="2359" spans="1:6" hidden="1" x14ac:dyDescent="0.2">
      <c r="A2359" s="102" t="s">
        <v>179</v>
      </c>
      <c r="B2359" s="102" t="s">
        <v>16</v>
      </c>
      <c r="C2359" s="102" t="s">
        <v>157</v>
      </c>
      <c r="D2359" s="104">
        <v>1.67809376403444</v>
      </c>
      <c r="E2359" s="104">
        <v>1.7211403872142499</v>
      </c>
      <c r="F2359" s="104">
        <v>1.8941474621785399</v>
      </c>
    </row>
    <row r="2360" spans="1:6" hidden="1" x14ac:dyDescent="0.2">
      <c r="A2360" s="102" t="s">
        <v>179</v>
      </c>
      <c r="B2360" s="102" t="s">
        <v>16</v>
      </c>
      <c r="C2360" s="102" t="s">
        <v>158</v>
      </c>
      <c r="D2360" s="104">
        <v>2.3712608484958202</v>
      </c>
      <c r="E2360" s="104">
        <v>2.16149642650009</v>
      </c>
      <c r="F2360" s="104">
        <v>2.6760657308007501</v>
      </c>
    </row>
    <row r="2361" spans="1:6" hidden="1" x14ac:dyDescent="0.2">
      <c r="A2361" s="95" t="s">
        <v>179</v>
      </c>
      <c r="B2361" s="95" t="s">
        <v>17</v>
      </c>
      <c r="C2361" s="95" t="s">
        <v>153</v>
      </c>
      <c r="D2361" s="96">
        <v>143707</v>
      </c>
      <c r="E2361" s="96">
        <v>65742</v>
      </c>
      <c r="F2361" s="96">
        <v>77965</v>
      </c>
    </row>
    <row r="2362" spans="1:6" hidden="1" x14ac:dyDescent="0.2">
      <c r="A2362" s="97" t="s">
        <v>179</v>
      </c>
      <c r="B2362" s="97" t="s">
        <v>17</v>
      </c>
      <c r="C2362" s="97" t="s">
        <v>154</v>
      </c>
      <c r="D2362" s="98">
        <v>2390.36444169377</v>
      </c>
      <c r="E2362" s="98">
        <v>1262.93736119957</v>
      </c>
      <c r="F2362" s="98">
        <v>1414.3959533940899</v>
      </c>
    </row>
    <row r="2363" spans="1:6" hidden="1" x14ac:dyDescent="0.2">
      <c r="A2363" s="97" t="s">
        <v>179</v>
      </c>
      <c r="B2363" s="97" t="s">
        <v>17</v>
      </c>
      <c r="C2363" s="97" t="s">
        <v>155</v>
      </c>
      <c r="D2363" s="98">
        <v>139774.98711356899</v>
      </c>
      <c r="E2363" s="98">
        <v>63664.540223417498</v>
      </c>
      <c r="F2363" s="98">
        <v>75638.399495802107</v>
      </c>
    </row>
    <row r="2364" spans="1:6" hidden="1" x14ac:dyDescent="0.2">
      <c r="A2364" s="97" t="s">
        <v>179</v>
      </c>
      <c r="B2364" s="97" t="s">
        <v>17</v>
      </c>
      <c r="C2364" s="97" t="s">
        <v>156</v>
      </c>
      <c r="D2364" s="98">
        <v>147639.01288643101</v>
      </c>
      <c r="E2364" s="98">
        <v>67819.459776582502</v>
      </c>
      <c r="F2364" s="98">
        <v>80291.600504197806</v>
      </c>
    </row>
    <row r="2365" spans="1:6" hidden="1" x14ac:dyDescent="0.2">
      <c r="A2365" s="97" t="s">
        <v>179</v>
      </c>
      <c r="B2365" s="97" t="s">
        <v>17</v>
      </c>
      <c r="C2365" s="97" t="s">
        <v>157</v>
      </c>
      <c r="D2365" s="99">
        <v>1.66335978184345</v>
      </c>
      <c r="E2365" s="99">
        <v>1.92105101943898</v>
      </c>
      <c r="F2365" s="99">
        <v>1.8141421835363201</v>
      </c>
    </row>
    <row r="2366" spans="1:6" hidden="1" x14ac:dyDescent="0.2">
      <c r="A2366" s="97" t="s">
        <v>179</v>
      </c>
      <c r="B2366" s="97" t="s">
        <v>17</v>
      </c>
      <c r="C2366" s="97" t="s">
        <v>158</v>
      </c>
      <c r="D2366" s="99">
        <v>2.2545450746363098</v>
      </c>
      <c r="E2366" s="99">
        <v>2.4440440139896298</v>
      </c>
      <c r="F2366" s="99">
        <v>2.3563795703163302</v>
      </c>
    </row>
    <row r="2367" spans="1:6" hidden="1" x14ac:dyDescent="0.2">
      <c r="A2367" s="100" t="s">
        <v>179</v>
      </c>
      <c r="B2367" s="100" t="s">
        <v>18</v>
      </c>
      <c r="C2367" s="100" t="s">
        <v>153</v>
      </c>
      <c r="D2367" s="101">
        <v>109182</v>
      </c>
      <c r="E2367" s="101">
        <v>48883</v>
      </c>
      <c r="F2367" s="101">
        <v>60299</v>
      </c>
    </row>
    <row r="2368" spans="1:6" hidden="1" x14ac:dyDescent="0.2">
      <c r="A2368" s="102" t="s">
        <v>179</v>
      </c>
      <c r="B2368" s="102" t="s">
        <v>18</v>
      </c>
      <c r="C2368" s="102" t="s">
        <v>154</v>
      </c>
      <c r="D2368" s="103">
        <v>2021.57751183302</v>
      </c>
      <c r="E2368" s="103">
        <v>996.57957573227998</v>
      </c>
      <c r="F2368" s="103">
        <v>1260.7501490494501</v>
      </c>
    </row>
    <row r="2369" spans="1:6" hidden="1" x14ac:dyDescent="0.2">
      <c r="A2369" s="102" t="s">
        <v>179</v>
      </c>
      <c r="B2369" s="102" t="s">
        <v>18</v>
      </c>
      <c r="C2369" s="102" t="s">
        <v>155</v>
      </c>
      <c r="D2369" s="103">
        <v>105856.620535346</v>
      </c>
      <c r="E2369" s="103">
        <v>47243.683556957199</v>
      </c>
      <c r="F2369" s="103">
        <v>58225.138062395301</v>
      </c>
    </row>
    <row r="2370" spans="1:6" hidden="1" x14ac:dyDescent="0.2">
      <c r="A2370" s="102" t="s">
        <v>179</v>
      </c>
      <c r="B2370" s="102" t="s">
        <v>18</v>
      </c>
      <c r="C2370" s="102" t="s">
        <v>156</v>
      </c>
      <c r="D2370" s="103">
        <v>112507.379464653</v>
      </c>
      <c r="E2370" s="103">
        <v>50522.316443042699</v>
      </c>
      <c r="F2370" s="103">
        <v>62372.861937604597</v>
      </c>
    </row>
    <row r="2371" spans="1:6" hidden="1" x14ac:dyDescent="0.2">
      <c r="A2371" s="102" t="s">
        <v>179</v>
      </c>
      <c r="B2371" s="102" t="s">
        <v>18</v>
      </c>
      <c r="C2371" s="102" t="s">
        <v>157</v>
      </c>
      <c r="D2371" s="104">
        <v>1.8515666610183199</v>
      </c>
      <c r="E2371" s="104">
        <v>2.0387037942276001</v>
      </c>
      <c r="F2371" s="104">
        <v>2.0908309408936399</v>
      </c>
    </row>
    <row r="2372" spans="1:6" hidden="1" x14ac:dyDescent="0.2">
      <c r="A2372" s="102" t="s">
        <v>179</v>
      </c>
      <c r="B2372" s="102" t="s">
        <v>18</v>
      </c>
      <c r="C2372" s="102" t="s">
        <v>158</v>
      </c>
      <c r="D2372" s="104">
        <v>2.5312328929797401</v>
      </c>
      <c r="E2372" s="104">
        <v>2.4145600398361098</v>
      </c>
      <c r="F2372" s="104">
        <v>2.7905746817399502</v>
      </c>
    </row>
    <row r="2373" spans="1:6" hidden="1" x14ac:dyDescent="0.2">
      <c r="A2373" s="95" t="s">
        <v>179</v>
      </c>
      <c r="B2373" s="95" t="s">
        <v>19</v>
      </c>
      <c r="C2373" s="95" t="s">
        <v>153</v>
      </c>
      <c r="D2373" s="96">
        <v>183422</v>
      </c>
      <c r="E2373" s="96">
        <v>78747</v>
      </c>
      <c r="F2373" s="96">
        <v>104675</v>
      </c>
    </row>
    <row r="2374" spans="1:6" hidden="1" x14ac:dyDescent="0.2">
      <c r="A2374" s="97" t="s">
        <v>179</v>
      </c>
      <c r="B2374" s="97" t="s">
        <v>19</v>
      </c>
      <c r="C2374" s="97" t="s">
        <v>154</v>
      </c>
      <c r="D2374" s="98">
        <v>3234.2195967540501</v>
      </c>
      <c r="E2374" s="98">
        <v>1453.0703646111599</v>
      </c>
      <c r="F2374" s="98">
        <v>2036.6697154118001</v>
      </c>
    </row>
    <row r="2375" spans="1:6" hidden="1" x14ac:dyDescent="0.2">
      <c r="A2375" s="97" t="s">
        <v>179</v>
      </c>
      <c r="B2375" s="97" t="s">
        <v>19</v>
      </c>
      <c r="C2375" s="97" t="s">
        <v>155</v>
      </c>
      <c r="D2375" s="98">
        <v>178101.893613639</v>
      </c>
      <c r="E2375" s="98">
        <v>76356.782299767801</v>
      </c>
      <c r="F2375" s="98">
        <v>101324.794723047</v>
      </c>
    </row>
    <row r="2376" spans="1:6" hidden="1" x14ac:dyDescent="0.2">
      <c r="A2376" s="97" t="s">
        <v>179</v>
      </c>
      <c r="B2376" s="97" t="s">
        <v>19</v>
      </c>
      <c r="C2376" s="97" t="s">
        <v>156</v>
      </c>
      <c r="D2376" s="98">
        <v>188742.10638636001</v>
      </c>
      <c r="E2376" s="98">
        <v>81137.217700232097</v>
      </c>
      <c r="F2376" s="98">
        <v>108025.20527695199</v>
      </c>
    </row>
    <row r="2377" spans="1:6" hidden="1" x14ac:dyDescent="0.2">
      <c r="A2377" s="97" t="s">
        <v>179</v>
      </c>
      <c r="B2377" s="97" t="s">
        <v>19</v>
      </c>
      <c r="C2377" s="97" t="s">
        <v>157</v>
      </c>
      <c r="D2377" s="99">
        <v>1.76326700000766</v>
      </c>
      <c r="E2377" s="99">
        <v>1.84523901178605</v>
      </c>
      <c r="F2377" s="99">
        <v>1.94570787237812</v>
      </c>
    </row>
    <row r="2378" spans="1:6" hidden="1" x14ac:dyDescent="0.2">
      <c r="A2378" s="97" t="s">
        <v>179</v>
      </c>
      <c r="B2378" s="97" t="s">
        <v>19</v>
      </c>
      <c r="C2378" s="97" t="s">
        <v>158</v>
      </c>
      <c r="D2378" s="99">
        <v>2.4926473406382001</v>
      </c>
      <c r="E2378" s="99">
        <v>2.3386764963357298</v>
      </c>
      <c r="F2378" s="99">
        <v>2.70046236191491</v>
      </c>
    </row>
    <row r="2379" spans="1:6" hidden="1" x14ac:dyDescent="0.2">
      <c r="A2379" s="100" t="s">
        <v>179</v>
      </c>
      <c r="B2379" s="100" t="s">
        <v>20</v>
      </c>
      <c r="C2379" s="100" t="s">
        <v>153</v>
      </c>
      <c r="D2379" s="101">
        <v>2498</v>
      </c>
      <c r="E2379" s="101">
        <v>1079</v>
      </c>
      <c r="F2379" s="101">
        <v>1419</v>
      </c>
    </row>
    <row r="2380" spans="1:6" hidden="1" x14ac:dyDescent="0.2">
      <c r="A2380" s="102" t="s">
        <v>179</v>
      </c>
      <c r="B2380" s="102" t="s">
        <v>20</v>
      </c>
      <c r="C2380" s="102" t="s">
        <v>154</v>
      </c>
      <c r="D2380" s="103">
        <v>186.70761075722501</v>
      </c>
      <c r="E2380" s="103">
        <v>98.317574783098394</v>
      </c>
      <c r="F2380" s="103">
        <v>120.125263318214</v>
      </c>
    </row>
    <row r="2381" spans="1:6" hidden="1" x14ac:dyDescent="0.2">
      <c r="A2381" s="102" t="s">
        <v>179</v>
      </c>
      <c r="B2381" s="102" t="s">
        <v>20</v>
      </c>
      <c r="C2381" s="102" t="s">
        <v>155</v>
      </c>
      <c r="D2381" s="103">
        <v>2190.8766514900299</v>
      </c>
      <c r="E2381" s="103">
        <v>917.27320877654302</v>
      </c>
      <c r="F2381" s="103">
        <v>1221.4008075444499</v>
      </c>
    </row>
    <row r="2382" spans="1:6" hidden="1" x14ac:dyDescent="0.2">
      <c r="A2382" s="102" t="s">
        <v>179</v>
      </c>
      <c r="B2382" s="102" t="s">
        <v>20</v>
      </c>
      <c r="C2382" s="102" t="s">
        <v>156</v>
      </c>
      <c r="D2382" s="103">
        <v>2805.1233485099601</v>
      </c>
      <c r="E2382" s="103">
        <v>1240.7267912234499</v>
      </c>
      <c r="F2382" s="103">
        <v>1616.5991924555401</v>
      </c>
    </row>
    <row r="2383" spans="1:6" hidden="1" x14ac:dyDescent="0.2">
      <c r="A2383" s="102" t="s">
        <v>179</v>
      </c>
      <c r="B2383" s="102" t="s">
        <v>20</v>
      </c>
      <c r="C2383" s="102" t="s">
        <v>157</v>
      </c>
      <c r="D2383" s="104">
        <v>7.47428385737493</v>
      </c>
      <c r="E2383" s="104">
        <v>9.11191610594053</v>
      </c>
      <c r="F2383" s="104">
        <v>8.4654871964914893</v>
      </c>
    </row>
    <row r="2384" spans="1:6" hidden="1" x14ac:dyDescent="0.2">
      <c r="A2384" s="102" t="s">
        <v>179</v>
      </c>
      <c r="B2384" s="102" t="s">
        <v>20</v>
      </c>
      <c r="C2384" s="102" t="s">
        <v>158</v>
      </c>
      <c r="D2384" s="104">
        <v>2.3408580969826098</v>
      </c>
      <c r="E2384" s="104">
        <v>2.04190961615677</v>
      </c>
      <c r="F2384" s="104">
        <v>2.3091279372595501</v>
      </c>
    </row>
    <row r="2385" spans="1:6" hidden="1" x14ac:dyDescent="0.2">
      <c r="A2385" s="95" t="s">
        <v>180</v>
      </c>
      <c r="B2385" s="95" t="s">
        <v>152</v>
      </c>
      <c r="C2385" s="95" t="s">
        <v>153</v>
      </c>
      <c r="D2385" s="96">
        <v>2038372</v>
      </c>
      <c r="E2385" s="96">
        <v>993436</v>
      </c>
      <c r="F2385" s="96">
        <v>1044936</v>
      </c>
    </row>
    <row r="2386" spans="1:6" hidden="1" x14ac:dyDescent="0.2">
      <c r="A2386" s="97" t="s">
        <v>180</v>
      </c>
      <c r="B2386" s="97" t="s">
        <v>152</v>
      </c>
      <c r="C2386" s="97" t="s">
        <v>154</v>
      </c>
      <c r="D2386" s="98">
        <v>48161.979398651398</v>
      </c>
      <c r="E2386" s="98">
        <v>24178.100711245901</v>
      </c>
      <c r="F2386" s="98">
        <v>24206.365968886799</v>
      </c>
    </row>
    <row r="2387" spans="1:6" hidden="1" x14ac:dyDescent="0.2">
      <c r="A2387" s="97" t="s">
        <v>180</v>
      </c>
      <c r="B2387" s="97" t="s">
        <v>152</v>
      </c>
      <c r="C2387" s="97" t="s">
        <v>155</v>
      </c>
      <c r="D2387" s="98">
        <v>1959125.3428982401</v>
      </c>
      <c r="E2387" s="98">
        <v>953652.88310241303</v>
      </c>
      <c r="F2387" s="98">
        <v>1005106.37489805</v>
      </c>
    </row>
    <row r="2388" spans="1:6" hidden="1" x14ac:dyDescent="0.2">
      <c r="A2388" s="97" t="s">
        <v>180</v>
      </c>
      <c r="B2388" s="97" t="s">
        <v>152</v>
      </c>
      <c r="C2388" s="97" t="s">
        <v>156</v>
      </c>
      <c r="D2388" s="98">
        <v>2117618.6571017499</v>
      </c>
      <c r="E2388" s="98">
        <v>1033219.11689758</v>
      </c>
      <c r="F2388" s="98">
        <v>1084765.62510194</v>
      </c>
    </row>
    <row r="2389" spans="1:6" hidden="1" x14ac:dyDescent="0.2">
      <c r="A2389" s="97" t="s">
        <v>180</v>
      </c>
      <c r="B2389" s="97" t="s">
        <v>152</v>
      </c>
      <c r="C2389" s="97" t="s">
        <v>157</v>
      </c>
      <c r="D2389" s="99">
        <v>2.36276692373381</v>
      </c>
      <c r="E2389" s="99">
        <v>2.4337854387445099</v>
      </c>
      <c r="F2389" s="99">
        <v>2.3165405315624001</v>
      </c>
    </row>
    <row r="2390" spans="1:6" hidden="1" x14ac:dyDescent="0.2">
      <c r="A2390" s="97" t="s">
        <v>180</v>
      </c>
      <c r="B2390" s="97" t="s">
        <v>152</v>
      </c>
      <c r="C2390" s="97" t="s">
        <v>158</v>
      </c>
      <c r="D2390" s="99">
        <v>2.6457531197675999</v>
      </c>
      <c r="E2390" s="99">
        <v>1.5228369626996101</v>
      </c>
      <c r="F2390" s="99">
        <v>1.40799833840043</v>
      </c>
    </row>
    <row r="2391" spans="1:6" hidden="1" x14ac:dyDescent="0.2">
      <c r="A2391" s="100" t="s">
        <v>180</v>
      </c>
      <c r="B2391" s="100" t="s">
        <v>4</v>
      </c>
      <c r="C2391" s="100" t="s">
        <v>153</v>
      </c>
      <c r="D2391" s="101">
        <v>183412</v>
      </c>
      <c r="E2391" s="101">
        <v>93189</v>
      </c>
      <c r="F2391" s="101">
        <v>90223</v>
      </c>
    </row>
    <row r="2392" spans="1:6" hidden="1" x14ac:dyDescent="0.2">
      <c r="A2392" s="102" t="s">
        <v>180</v>
      </c>
      <c r="B2392" s="102" t="s">
        <v>4</v>
      </c>
      <c r="C2392" s="102" t="s">
        <v>154</v>
      </c>
      <c r="D2392" s="103">
        <v>4338.6477540690503</v>
      </c>
      <c r="E2392" s="103">
        <v>2556.1806648225402</v>
      </c>
      <c r="F2392" s="103">
        <v>2078.4577594666698</v>
      </c>
    </row>
    <row r="2393" spans="1:6" hidden="1" x14ac:dyDescent="0.2">
      <c r="A2393" s="102" t="s">
        <v>180</v>
      </c>
      <c r="B2393" s="102" t="s">
        <v>4</v>
      </c>
      <c r="C2393" s="102" t="s">
        <v>155</v>
      </c>
      <c r="D2393" s="103">
        <v>176273.104648418</v>
      </c>
      <c r="E2393" s="103">
        <v>88983.0106456465</v>
      </c>
      <c r="F2393" s="103">
        <v>86803.065200361307</v>
      </c>
    </row>
    <row r="2394" spans="1:6" hidden="1" x14ac:dyDescent="0.2">
      <c r="A2394" s="102" t="s">
        <v>180</v>
      </c>
      <c r="B2394" s="102" t="s">
        <v>4</v>
      </c>
      <c r="C2394" s="102" t="s">
        <v>156</v>
      </c>
      <c r="D2394" s="103">
        <v>190550.89535158101</v>
      </c>
      <c r="E2394" s="103">
        <v>97394.989354353398</v>
      </c>
      <c r="F2394" s="103">
        <v>93642.934799638693</v>
      </c>
    </row>
    <row r="2395" spans="1:6" hidden="1" x14ac:dyDescent="0.2">
      <c r="A2395" s="102" t="s">
        <v>180</v>
      </c>
      <c r="B2395" s="102" t="s">
        <v>4</v>
      </c>
      <c r="C2395" s="102" t="s">
        <v>157</v>
      </c>
      <c r="D2395" s="104">
        <v>2.3655201154063201</v>
      </c>
      <c r="E2395" s="104">
        <v>2.7430068622074999</v>
      </c>
      <c r="F2395" s="104">
        <v>2.3036894799182801</v>
      </c>
    </row>
    <row r="2396" spans="1:6" hidden="1" x14ac:dyDescent="0.2">
      <c r="A2396" s="102" t="s">
        <v>180</v>
      </c>
      <c r="B2396" s="102" t="s">
        <v>4</v>
      </c>
      <c r="C2396" s="102" t="s">
        <v>158</v>
      </c>
      <c r="D2396" s="104">
        <v>0.91291740826247003</v>
      </c>
      <c r="E2396" s="104">
        <v>1.1082445166505599</v>
      </c>
      <c r="F2396" s="104">
        <v>0.82648181144544997</v>
      </c>
    </row>
    <row r="2397" spans="1:6" hidden="1" x14ac:dyDescent="0.2">
      <c r="A2397" s="95" t="s">
        <v>180</v>
      </c>
      <c r="B2397" s="95" t="s">
        <v>5</v>
      </c>
      <c r="C2397" s="95" t="s">
        <v>153</v>
      </c>
      <c r="D2397" s="96">
        <v>190305</v>
      </c>
      <c r="E2397" s="96">
        <v>98294</v>
      </c>
      <c r="F2397" s="96">
        <v>92011</v>
      </c>
    </row>
    <row r="2398" spans="1:6" hidden="1" x14ac:dyDescent="0.2">
      <c r="A2398" s="97" t="s">
        <v>180</v>
      </c>
      <c r="B2398" s="97" t="s">
        <v>5</v>
      </c>
      <c r="C2398" s="97" t="s">
        <v>154</v>
      </c>
      <c r="D2398" s="98">
        <v>4717.43362189658</v>
      </c>
      <c r="E2398" s="98">
        <v>2594.5076150260902</v>
      </c>
      <c r="F2398" s="98">
        <v>2433.7452074227099</v>
      </c>
    </row>
    <row r="2399" spans="1:6" hidden="1" x14ac:dyDescent="0.2">
      <c r="A2399" s="97" t="s">
        <v>180</v>
      </c>
      <c r="B2399" s="97" t="s">
        <v>5</v>
      </c>
      <c r="C2399" s="97" t="s">
        <v>155</v>
      </c>
      <c r="D2399" s="98">
        <v>182542.84301844501</v>
      </c>
      <c r="E2399" s="98">
        <v>94024.946736761107</v>
      </c>
      <c r="F2399" s="98">
        <v>88006.468327220296</v>
      </c>
    </row>
    <row r="2400" spans="1:6" hidden="1" x14ac:dyDescent="0.2">
      <c r="A2400" s="97" t="s">
        <v>180</v>
      </c>
      <c r="B2400" s="97" t="s">
        <v>5</v>
      </c>
      <c r="C2400" s="97" t="s">
        <v>156</v>
      </c>
      <c r="D2400" s="98">
        <v>198067.156981554</v>
      </c>
      <c r="E2400" s="98">
        <v>102563.05326323801</v>
      </c>
      <c r="F2400" s="98">
        <v>96015.531672779602</v>
      </c>
    </row>
    <row r="2401" spans="1:6" hidden="1" x14ac:dyDescent="0.2">
      <c r="A2401" s="97" t="s">
        <v>180</v>
      </c>
      <c r="B2401" s="97" t="s">
        <v>5</v>
      </c>
      <c r="C2401" s="97" t="s">
        <v>157</v>
      </c>
      <c r="D2401" s="99">
        <v>2.47888054538587</v>
      </c>
      <c r="E2401" s="99">
        <v>2.63953813561977</v>
      </c>
      <c r="F2401" s="99">
        <v>2.6450589684088901</v>
      </c>
    </row>
    <row r="2402" spans="1:6" hidden="1" x14ac:dyDescent="0.2">
      <c r="A2402" s="97" t="s">
        <v>180</v>
      </c>
      <c r="B2402" s="97" t="s">
        <v>5</v>
      </c>
      <c r="C2402" s="97" t="s">
        <v>158</v>
      </c>
      <c r="D2402" s="99">
        <v>1.04967951632156</v>
      </c>
      <c r="E2402" s="99">
        <v>1.1080671139645399</v>
      </c>
      <c r="F2402" s="99">
        <v>1.0952444041184699</v>
      </c>
    </row>
    <row r="2403" spans="1:6" hidden="1" x14ac:dyDescent="0.2">
      <c r="A2403" s="100" t="s">
        <v>180</v>
      </c>
      <c r="B2403" s="100" t="s">
        <v>6</v>
      </c>
      <c r="C2403" s="100" t="s">
        <v>153</v>
      </c>
      <c r="D2403" s="101">
        <v>191990</v>
      </c>
      <c r="E2403" s="101">
        <v>97191</v>
      </c>
      <c r="F2403" s="101">
        <v>94799</v>
      </c>
    </row>
    <row r="2404" spans="1:6" hidden="1" x14ac:dyDescent="0.2">
      <c r="A2404" s="102" t="s">
        <v>180</v>
      </c>
      <c r="B2404" s="102" t="s">
        <v>6</v>
      </c>
      <c r="C2404" s="102" t="s">
        <v>154</v>
      </c>
      <c r="D2404" s="103">
        <v>4599.6362634737197</v>
      </c>
      <c r="E2404" s="103">
        <v>2513.0559408588601</v>
      </c>
      <c r="F2404" s="103">
        <v>2401.4814294149101</v>
      </c>
    </row>
    <row r="2405" spans="1:6" hidden="1" x14ac:dyDescent="0.2">
      <c r="A2405" s="102" t="s">
        <v>180</v>
      </c>
      <c r="B2405" s="102" t="s">
        <v>6</v>
      </c>
      <c r="C2405" s="102" t="s">
        <v>155</v>
      </c>
      <c r="D2405" s="103">
        <v>184421.66908180501</v>
      </c>
      <c r="E2405" s="103">
        <v>93055.968904738605</v>
      </c>
      <c r="F2405" s="103">
        <v>90847.555774715598</v>
      </c>
    </row>
    <row r="2406" spans="1:6" hidden="1" x14ac:dyDescent="0.2">
      <c r="A2406" s="102" t="s">
        <v>180</v>
      </c>
      <c r="B2406" s="102" t="s">
        <v>6</v>
      </c>
      <c r="C2406" s="102" t="s">
        <v>156</v>
      </c>
      <c r="D2406" s="103">
        <v>199558.33091819499</v>
      </c>
      <c r="E2406" s="103">
        <v>101326.031095261</v>
      </c>
      <c r="F2406" s="103">
        <v>98750.444225284402</v>
      </c>
    </row>
    <row r="2407" spans="1:6" hidden="1" x14ac:dyDescent="0.2">
      <c r="A2407" s="102" t="s">
        <v>180</v>
      </c>
      <c r="B2407" s="102" t="s">
        <v>6</v>
      </c>
      <c r="C2407" s="102" t="s">
        <v>157</v>
      </c>
      <c r="D2407" s="104">
        <v>2.3957686668439599</v>
      </c>
      <c r="E2407" s="104">
        <v>2.58568791437362</v>
      </c>
      <c r="F2407" s="104">
        <v>2.5332349807644698</v>
      </c>
    </row>
    <row r="2408" spans="1:6" hidden="1" x14ac:dyDescent="0.2">
      <c r="A2408" s="102" t="s">
        <v>180</v>
      </c>
      <c r="B2408" s="102" t="s">
        <v>6</v>
      </c>
      <c r="C2408" s="102" t="s">
        <v>158</v>
      </c>
      <c r="D2408" s="104">
        <v>0.98788487622582</v>
      </c>
      <c r="E2408" s="104">
        <v>1.06716802204776</v>
      </c>
      <c r="F2408" s="104">
        <v>1.01605954581577</v>
      </c>
    </row>
    <row r="2409" spans="1:6" hidden="1" x14ac:dyDescent="0.2">
      <c r="A2409" s="95" t="s">
        <v>180</v>
      </c>
      <c r="B2409" s="95" t="s">
        <v>7</v>
      </c>
      <c r="C2409" s="95" t="s">
        <v>153</v>
      </c>
      <c r="D2409" s="96">
        <v>187581</v>
      </c>
      <c r="E2409" s="96">
        <v>94618</v>
      </c>
      <c r="F2409" s="96">
        <v>92963</v>
      </c>
    </row>
    <row r="2410" spans="1:6" hidden="1" x14ac:dyDescent="0.2">
      <c r="A2410" s="97" t="s">
        <v>180</v>
      </c>
      <c r="B2410" s="97" t="s">
        <v>7</v>
      </c>
      <c r="C2410" s="97" t="s">
        <v>154</v>
      </c>
      <c r="D2410" s="98">
        <v>5157.0122547935098</v>
      </c>
      <c r="E2410" s="98">
        <v>2739.0135267267201</v>
      </c>
      <c r="F2410" s="98">
        <v>2713.97776049903</v>
      </c>
    </row>
    <row r="2411" spans="1:6" hidden="1" x14ac:dyDescent="0.2">
      <c r="A2411" s="97" t="s">
        <v>180</v>
      </c>
      <c r="B2411" s="97" t="s">
        <v>7</v>
      </c>
      <c r="C2411" s="97" t="s">
        <v>155</v>
      </c>
      <c r="D2411" s="98">
        <v>179095.55179110399</v>
      </c>
      <c r="E2411" s="98">
        <v>90111.173900662994</v>
      </c>
      <c r="F2411" s="98">
        <v>88497.368237073097</v>
      </c>
    </row>
    <row r="2412" spans="1:6" hidden="1" x14ac:dyDescent="0.2">
      <c r="A2412" s="97" t="s">
        <v>180</v>
      </c>
      <c r="B2412" s="97" t="s">
        <v>7</v>
      </c>
      <c r="C2412" s="97" t="s">
        <v>156</v>
      </c>
      <c r="D2412" s="98">
        <v>196066.44820889499</v>
      </c>
      <c r="E2412" s="98">
        <v>99124.826099336904</v>
      </c>
      <c r="F2412" s="98">
        <v>97428.631762926801</v>
      </c>
    </row>
    <row r="2413" spans="1:6" hidden="1" x14ac:dyDescent="0.2">
      <c r="A2413" s="97" t="s">
        <v>180</v>
      </c>
      <c r="B2413" s="97" t="s">
        <v>7</v>
      </c>
      <c r="C2413" s="97" t="s">
        <v>157</v>
      </c>
      <c r="D2413" s="99">
        <v>2.7492188733365901</v>
      </c>
      <c r="E2413" s="99">
        <v>2.89481232611841</v>
      </c>
      <c r="F2413" s="99">
        <v>2.91941714499213</v>
      </c>
    </row>
    <row r="2414" spans="1:6" hidden="1" x14ac:dyDescent="0.2">
      <c r="A2414" s="97" t="s">
        <v>180</v>
      </c>
      <c r="B2414" s="97" t="s">
        <v>7</v>
      </c>
      <c r="C2414" s="97" t="s">
        <v>158</v>
      </c>
      <c r="D2414" s="99">
        <v>1.23104278010484</v>
      </c>
      <c r="E2414" s="99">
        <v>1.2822301989598099</v>
      </c>
      <c r="F2414" s="99">
        <v>1.26142197622978</v>
      </c>
    </row>
    <row r="2415" spans="1:6" hidden="1" x14ac:dyDescent="0.2">
      <c r="A2415" s="100" t="s">
        <v>180</v>
      </c>
      <c r="B2415" s="100" t="s">
        <v>8</v>
      </c>
      <c r="C2415" s="100" t="s">
        <v>153</v>
      </c>
      <c r="D2415" s="101">
        <v>199174</v>
      </c>
      <c r="E2415" s="101">
        <v>98907</v>
      </c>
      <c r="F2415" s="101">
        <v>100267</v>
      </c>
    </row>
    <row r="2416" spans="1:6" hidden="1" x14ac:dyDescent="0.2">
      <c r="A2416" s="102" t="s">
        <v>180</v>
      </c>
      <c r="B2416" s="102" t="s">
        <v>8</v>
      </c>
      <c r="C2416" s="102" t="s">
        <v>154</v>
      </c>
      <c r="D2416" s="103">
        <v>5578.6806404259796</v>
      </c>
      <c r="E2416" s="103">
        <v>3148.0798431288199</v>
      </c>
      <c r="F2416" s="103">
        <v>2683.3193953476002</v>
      </c>
    </row>
    <row r="2417" spans="1:6" hidden="1" x14ac:dyDescent="0.2">
      <c r="A2417" s="102" t="s">
        <v>180</v>
      </c>
      <c r="B2417" s="102" t="s">
        <v>8</v>
      </c>
      <c r="C2417" s="102" t="s">
        <v>155</v>
      </c>
      <c r="D2417" s="103">
        <v>189994.73043276099</v>
      </c>
      <c r="E2417" s="103">
        <v>93727.088231997506</v>
      </c>
      <c r="F2417" s="103">
        <v>95851.814107047496</v>
      </c>
    </row>
    <row r="2418" spans="1:6" hidden="1" x14ac:dyDescent="0.2">
      <c r="A2418" s="102" t="s">
        <v>180</v>
      </c>
      <c r="B2418" s="102" t="s">
        <v>8</v>
      </c>
      <c r="C2418" s="102" t="s">
        <v>156</v>
      </c>
      <c r="D2418" s="103">
        <v>208353.26956723799</v>
      </c>
      <c r="E2418" s="103">
        <v>104086.911768002</v>
      </c>
      <c r="F2418" s="103">
        <v>104682.18589295199</v>
      </c>
    </row>
    <row r="2419" spans="1:6" hidden="1" x14ac:dyDescent="0.2">
      <c r="A2419" s="102" t="s">
        <v>180</v>
      </c>
      <c r="B2419" s="102" t="s">
        <v>8</v>
      </c>
      <c r="C2419" s="102" t="s">
        <v>157</v>
      </c>
      <c r="D2419" s="104">
        <v>2.8009080705443399</v>
      </c>
      <c r="E2419" s="104">
        <v>3.1828685968928601</v>
      </c>
      <c r="F2419" s="104">
        <v>2.6761740107389298</v>
      </c>
    </row>
    <row r="2420" spans="1:6" hidden="1" x14ac:dyDescent="0.2">
      <c r="A2420" s="102" t="s">
        <v>180</v>
      </c>
      <c r="B2420" s="102" t="s">
        <v>8</v>
      </c>
      <c r="C2420" s="102" t="s">
        <v>158</v>
      </c>
      <c r="D2420" s="104">
        <v>1.3041933048162</v>
      </c>
      <c r="E2420" s="104">
        <v>1.49789569655573</v>
      </c>
      <c r="F2420" s="104">
        <v>1.15730717813941</v>
      </c>
    </row>
    <row r="2421" spans="1:6" hidden="1" x14ac:dyDescent="0.2">
      <c r="A2421" s="95" t="s">
        <v>180</v>
      </c>
      <c r="B2421" s="95" t="s">
        <v>9</v>
      </c>
      <c r="C2421" s="95" t="s">
        <v>153</v>
      </c>
      <c r="D2421" s="96">
        <v>169187</v>
      </c>
      <c r="E2421" s="96">
        <v>80622</v>
      </c>
      <c r="F2421" s="96">
        <v>88565</v>
      </c>
    </row>
    <row r="2422" spans="1:6" hidden="1" x14ac:dyDescent="0.2">
      <c r="A2422" s="97" t="s">
        <v>180</v>
      </c>
      <c r="B2422" s="97" t="s">
        <v>9</v>
      </c>
      <c r="C2422" s="97" t="s">
        <v>154</v>
      </c>
      <c r="D2422" s="98">
        <v>4687.9486835714397</v>
      </c>
      <c r="E2422" s="98">
        <v>2354.2611996093501</v>
      </c>
      <c r="F2422" s="98">
        <v>2544.25478723779</v>
      </c>
    </row>
    <row r="2423" spans="1:6" hidden="1" x14ac:dyDescent="0.2">
      <c r="A2423" s="97" t="s">
        <v>180</v>
      </c>
      <c r="B2423" s="97" t="s">
        <v>9</v>
      </c>
      <c r="C2423" s="97" t="s">
        <v>155</v>
      </c>
      <c r="D2423" s="98">
        <v>161473.35810911001</v>
      </c>
      <c r="E2423" s="98">
        <v>76748.252858730601</v>
      </c>
      <c r="F2423" s="98">
        <v>84378.633716446202</v>
      </c>
    </row>
    <row r="2424" spans="1:6" hidden="1" x14ac:dyDescent="0.2">
      <c r="A2424" s="97" t="s">
        <v>180</v>
      </c>
      <c r="B2424" s="97" t="s">
        <v>9</v>
      </c>
      <c r="C2424" s="97" t="s">
        <v>156</v>
      </c>
      <c r="D2424" s="98">
        <v>176900.641890889</v>
      </c>
      <c r="E2424" s="98">
        <v>84495.747141269298</v>
      </c>
      <c r="F2424" s="98">
        <v>92751.366283553696</v>
      </c>
    </row>
    <row r="2425" spans="1:6" hidden="1" x14ac:dyDescent="0.2">
      <c r="A2425" s="97" t="s">
        <v>180</v>
      </c>
      <c r="B2425" s="97" t="s">
        <v>9</v>
      </c>
      <c r="C2425" s="97" t="s">
        <v>157</v>
      </c>
      <c r="D2425" s="99">
        <v>2.7708681420980601</v>
      </c>
      <c r="E2425" s="99">
        <v>2.9201225467110099</v>
      </c>
      <c r="F2425" s="99">
        <v>2.8727542338822301</v>
      </c>
    </row>
    <row r="2426" spans="1:6" hidden="1" x14ac:dyDescent="0.2">
      <c r="A2426" s="97" t="s">
        <v>180</v>
      </c>
      <c r="B2426" s="97" t="s">
        <v>9</v>
      </c>
      <c r="C2426" s="97" t="s">
        <v>158</v>
      </c>
      <c r="D2426" s="99">
        <v>1.22548694252215</v>
      </c>
      <c r="E2426" s="99">
        <v>1.26538340627218</v>
      </c>
      <c r="F2426" s="99">
        <v>1.2409051693464499</v>
      </c>
    </row>
    <row r="2427" spans="1:6" hidden="1" x14ac:dyDescent="0.2">
      <c r="A2427" s="100" t="s">
        <v>180</v>
      </c>
      <c r="B2427" s="100" t="s">
        <v>10</v>
      </c>
      <c r="C2427" s="100" t="s">
        <v>153</v>
      </c>
      <c r="D2427" s="101">
        <v>163464</v>
      </c>
      <c r="E2427" s="101">
        <v>75663</v>
      </c>
      <c r="F2427" s="101">
        <v>87801</v>
      </c>
    </row>
    <row r="2428" spans="1:6" hidden="1" x14ac:dyDescent="0.2">
      <c r="A2428" s="102" t="s">
        <v>180</v>
      </c>
      <c r="B2428" s="102" t="s">
        <v>10</v>
      </c>
      <c r="C2428" s="102" t="s">
        <v>154</v>
      </c>
      <c r="D2428" s="103">
        <v>4632.54017859137</v>
      </c>
      <c r="E2428" s="103">
        <v>2316.0679041459398</v>
      </c>
      <c r="F2428" s="103">
        <v>2535.3270284938499</v>
      </c>
    </row>
    <row r="2429" spans="1:6" hidden="1" x14ac:dyDescent="0.2">
      <c r="A2429" s="102" t="s">
        <v>180</v>
      </c>
      <c r="B2429" s="102" t="s">
        <v>10</v>
      </c>
      <c r="C2429" s="102" t="s">
        <v>155</v>
      </c>
      <c r="D2429" s="103">
        <v>155841.52834026501</v>
      </c>
      <c r="E2429" s="103">
        <v>71852.096849508496</v>
      </c>
      <c r="F2429" s="103">
        <v>83629.323624226206</v>
      </c>
    </row>
    <row r="2430" spans="1:6" hidden="1" x14ac:dyDescent="0.2">
      <c r="A2430" s="102" t="s">
        <v>180</v>
      </c>
      <c r="B2430" s="102" t="s">
        <v>10</v>
      </c>
      <c r="C2430" s="102" t="s">
        <v>156</v>
      </c>
      <c r="D2430" s="103">
        <v>171086.471659734</v>
      </c>
      <c r="E2430" s="103">
        <v>79473.903150491402</v>
      </c>
      <c r="F2430" s="103">
        <v>91972.676375773706</v>
      </c>
    </row>
    <row r="2431" spans="1:6" hidden="1" x14ac:dyDescent="0.2">
      <c r="A2431" s="102" t="s">
        <v>180</v>
      </c>
      <c r="B2431" s="102" t="s">
        <v>10</v>
      </c>
      <c r="C2431" s="102" t="s">
        <v>157</v>
      </c>
      <c r="D2431" s="104">
        <v>2.8339819034107601</v>
      </c>
      <c r="E2431" s="104">
        <v>3.0610310246037602</v>
      </c>
      <c r="F2431" s="104">
        <v>2.8875833173811798</v>
      </c>
    </row>
    <row r="2432" spans="1:6" hidden="1" x14ac:dyDescent="0.2">
      <c r="A2432" s="102" t="s">
        <v>180</v>
      </c>
      <c r="B2432" s="102" t="s">
        <v>10</v>
      </c>
      <c r="C2432" s="102" t="s">
        <v>158</v>
      </c>
      <c r="D2432" s="104">
        <v>1.24275954310057</v>
      </c>
      <c r="E2432" s="104">
        <v>1.32145447303382</v>
      </c>
      <c r="F2432" s="104">
        <v>1.2346561023312901</v>
      </c>
    </row>
    <row r="2433" spans="1:6" hidden="1" x14ac:dyDescent="0.2">
      <c r="A2433" s="95" t="s">
        <v>180</v>
      </c>
      <c r="B2433" s="95" t="s">
        <v>11</v>
      </c>
      <c r="C2433" s="95" t="s">
        <v>153</v>
      </c>
      <c r="D2433" s="96">
        <v>153488</v>
      </c>
      <c r="E2433" s="96">
        <v>73430</v>
      </c>
      <c r="F2433" s="96">
        <v>80058</v>
      </c>
    </row>
    <row r="2434" spans="1:6" hidden="1" x14ac:dyDescent="0.2">
      <c r="A2434" s="97" t="s">
        <v>180</v>
      </c>
      <c r="B2434" s="97" t="s">
        <v>11</v>
      </c>
      <c r="C2434" s="97" t="s">
        <v>154</v>
      </c>
      <c r="D2434" s="98">
        <v>4408.4742424872402</v>
      </c>
      <c r="E2434" s="98">
        <v>2295.7592485733499</v>
      </c>
      <c r="F2434" s="98">
        <v>2318.9827806396802</v>
      </c>
    </row>
    <row r="2435" spans="1:6" hidden="1" x14ac:dyDescent="0.2">
      <c r="A2435" s="97" t="s">
        <v>180</v>
      </c>
      <c r="B2435" s="97" t="s">
        <v>11</v>
      </c>
      <c r="C2435" s="97" t="s">
        <v>155</v>
      </c>
      <c r="D2435" s="98">
        <v>146234.210787049</v>
      </c>
      <c r="E2435" s="98">
        <v>69652.513106158498</v>
      </c>
      <c r="F2435" s="98">
        <v>76242.300655064697</v>
      </c>
    </row>
    <row r="2436" spans="1:6" hidden="1" x14ac:dyDescent="0.2">
      <c r="A2436" s="97" t="s">
        <v>180</v>
      </c>
      <c r="B2436" s="97" t="s">
        <v>11</v>
      </c>
      <c r="C2436" s="97" t="s">
        <v>156</v>
      </c>
      <c r="D2436" s="98">
        <v>160741.78921295001</v>
      </c>
      <c r="E2436" s="98">
        <v>77207.4868938414</v>
      </c>
      <c r="F2436" s="98">
        <v>83873.699344935201</v>
      </c>
    </row>
    <row r="2437" spans="1:6" hidden="1" x14ac:dyDescent="0.2">
      <c r="A2437" s="97" t="s">
        <v>180</v>
      </c>
      <c r="B2437" s="97" t="s">
        <v>11</v>
      </c>
      <c r="C2437" s="97" t="s">
        <v>157</v>
      </c>
      <c r="D2437" s="99">
        <v>2.8721947269410202</v>
      </c>
      <c r="E2437" s="99">
        <v>3.1264595513732099</v>
      </c>
      <c r="F2437" s="99">
        <v>2.8966284201949501</v>
      </c>
    </row>
    <row r="2438" spans="1:6" hidden="1" x14ac:dyDescent="0.2">
      <c r="A2438" s="97" t="s">
        <v>180</v>
      </c>
      <c r="B2438" s="97" t="s">
        <v>11</v>
      </c>
      <c r="C2438" s="97" t="s">
        <v>158</v>
      </c>
      <c r="D2438" s="99">
        <v>1.35363152085482</v>
      </c>
      <c r="E2438" s="99">
        <v>1.4496075867264799</v>
      </c>
      <c r="F2438" s="99">
        <v>1.32183000377857</v>
      </c>
    </row>
    <row r="2439" spans="1:6" hidden="1" x14ac:dyDescent="0.2">
      <c r="A2439" s="100" t="s">
        <v>180</v>
      </c>
      <c r="B2439" s="100" t="s">
        <v>12</v>
      </c>
      <c r="C2439" s="100" t="s">
        <v>153</v>
      </c>
      <c r="D2439" s="101">
        <v>140445</v>
      </c>
      <c r="E2439" s="101">
        <v>67270</v>
      </c>
      <c r="F2439" s="101">
        <v>73175</v>
      </c>
    </row>
    <row r="2440" spans="1:6" hidden="1" x14ac:dyDescent="0.2">
      <c r="A2440" s="102" t="s">
        <v>180</v>
      </c>
      <c r="B2440" s="102" t="s">
        <v>12</v>
      </c>
      <c r="C2440" s="102" t="s">
        <v>154</v>
      </c>
      <c r="D2440" s="103">
        <v>4472.4908113639503</v>
      </c>
      <c r="E2440" s="103">
        <v>2284.7908534195899</v>
      </c>
      <c r="F2440" s="103">
        <v>2355.2919258545699</v>
      </c>
    </row>
    <row r="2441" spans="1:6" hidden="1" x14ac:dyDescent="0.2">
      <c r="A2441" s="102" t="s">
        <v>180</v>
      </c>
      <c r="B2441" s="102" t="s">
        <v>12</v>
      </c>
      <c r="C2441" s="102" t="s">
        <v>155</v>
      </c>
      <c r="D2441" s="103">
        <v>133085.87668022999</v>
      </c>
      <c r="E2441" s="103">
        <v>63510.560716754298</v>
      </c>
      <c r="F2441" s="103">
        <v>69299.556881730896</v>
      </c>
    </row>
    <row r="2442" spans="1:6" hidden="1" x14ac:dyDescent="0.2">
      <c r="A2442" s="102" t="s">
        <v>180</v>
      </c>
      <c r="B2442" s="102" t="s">
        <v>12</v>
      </c>
      <c r="C2442" s="102" t="s">
        <v>156</v>
      </c>
      <c r="D2442" s="103">
        <v>147804.12331976899</v>
      </c>
      <c r="E2442" s="103">
        <v>71029.439283245694</v>
      </c>
      <c r="F2442" s="103">
        <v>77050.443118269104</v>
      </c>
    </row>
    <row r="2443" spans="1:6" hidden="1" x14ac:dyDescent="0.2">
      <c r="A2443" s="102" t="s">
        <v>180</v>
      </c>
      <c r="B2443" s="102" t="s">
        <v>12</v>
      </c>
      <c r="C2443" s="102" t="s">
        <v>157</v>
      </c>
      <c r="D2443" s="104">
        <v>3.1845140883363299</v>
      </c>
      <c r="E2443" s="104">
        <v>3.39644842191109</v>
      </c>
      <c r="F2443" s="104">
        <v>3.2187112071808301</v>
      </c>
    </row>
    <row r="2444" spans="1:6" hidden="1" x14ac:dyDescent="0.2">
      <c r="A2444" s="102" t="s">
        <v>180</v>
      </c>
      <c r="B2444" s="102" t="s">
        <v>12</v>
      </c>
      <c r="C2444" s="102" t="s">
        <v>158</v>
      </c>
      <c r="D2444" s="104">
        <v>1.53429205770846</v>
      </c>
      <c r="E2444" s="104">
        <v>1.5973040868192501</v>
      </c>
      <c r="F2444" s="104">
        <v>1.49493805495333</v>
      </c>
    </row>
    <row r="2445" spans="1:6" hidden="1" x14ac:dyDescent="0.2">
      <c r="A2445" s="95" t="s">
        <v>180</v>
      </c>
      <c r="B2445" s="95" t="s">
        <v>13</v>
      </c>
      <c r="C2445" s="95" t="s">
        <v>153</v>
      </c>
      <c r="D2445" s="96">
        <v>110934</v>
      </c>
      <c r="E2445" s="96">
        <v>51712</v>
      </c>
      <c r="F2445" s="96">
        <v>59222</v>
      </c>
    </row>
    <row r="2446" spans="1:6" hidden="1" x14ac:dyDescent="0.2">
      <c r="A2446" s="97" t="s">
        <v>180</v>
      </c>
      <c r="B2446" s="97" t="s">
        <v>13</v>
      </c>
      <c r="C2446" s="97" t="s">
        <v>154</v>
      </c>
      <c r="D2446" s="98">
        <v>3443.35153902926</v>
      </c>
      <c r="E2446" s="98">
        <v>1815.9991020966399</v>
      </c>
      <c r="F2446" s="98">
        <v>1809.28849224279</v>
      </c>
    </row>
    <row r="2447" spans="1:6" hidden="1" x14ac:dyDescent="0.2">
      <c r="A2447" s="97" t="s">
        <v>180</v>
      </c>
      <c r="B2447" s="97" t="s">
        <v>13</v>
      </c>
      <c r="C2447" s="97" t="s">
        <v>155</v>
      </c>
      <c r="D2447" s="98">
        <v>105268.24244390801</v>
      </c>
      <c r="E2447" s="98">
        <v>48723.919777014497</v>
      </c>
      <c r="F2447" s="98">
        <v>56244.961544912599</v>
      </c>
    </row>
    <row r="2448" spans="1:6" hidden="1" x14ac:dyDescent="0.2">
      <c r="A2448" s="97" t="s">
        <v>180</v>
      </c>
      <c r="B2448" s="97" t="s">
        <v>13</v>
      </c>
      <c r="C2448" s="97" t="s">
        <v>156</v>
      </c>
      <c r="D2448" s="98">
        <v>116599.757556091</v>
      </c>
      <c r="E2448" s="98">
        <v>54700.080222985402</v>
      </c>
      <c r="F2448" s="98">
        <v>62199.038455087299</v>
      </c>
    </row>
    <row r="2449" spans="1:6" hidden="1" x14ac:dyDescent="0.2">
      <c r="A2449" s="97" t="s">
        <v>180</v>
      </c>
      <c r="B2449" s="97" t="s">
        <v>13</v>
      </c>
      <c r="C2449" s="97" t="s">
        <v>157</v>
      </c>
      <c r="D2449" s="99">
        <v>3.10396410390796</v>
      </c>
      <c r="E2449" s="99">
        <v>3.5117556893886199</v>
      </c>
      <c r="F2449" s="99">
        <v>3.0550952217804102</v>
      </c>
    </row>
    <row r="2450" spans="1:6" hidden="1" x14ac:dyDescent="0.2">
      <c r="A2450" s="97" t="s">
        <v>180</v>
      </c>
      <c r="B2450" s="97" t="s">
        <v>13</v>
      </c>
      <c r="C2450" s="97" t="s">
        <v>158</v>
      </c>
      <c r="D2450" s="99">
        <v>1.5253590361862499</v>
      </c>
      <c r="E2450" s="99">
        <v>1.7299731610187601</v>
      </c>
      <c r="F2450" s="99">
        <v>1.3969171782357901</v>
      </c>
    </row>
    <row r="2451" spans="1:6" hidden="1" x14ac:dyDescent="0.2">
      <c r="A2451" s="100" t="s">
        <v>180</v>
      </c>
      <c r="B2451" s="100" t="s">
        <v>14</v>
      </c>
      <c r="C2451" s="100" t="s">
        <v>153</v>
      </c>
      <c r="D2451" s="101">
        <v>97455</v>
      </c>
      <c r="E2451" s="101">
        <v>45947</v>
      </c>
      <c r="F2451" s="101">
        <v>51508</v>
      </c>
    </row>
    <row r="2452" spans="1:6" hidden="1" x14ac:dyDescent="0.2">
      <c r="A2452" s="102" t="s">
        <v>180</v>
      </c>
      <c r="B2452" s="102" t="s">
        <v>14</v>
      </c>
      <c r="C2452" s="102" t="s">
        <v>154</v>
      </c>
      <c r="D2452" s="103">
        <v>3172.4215833568101</v>
      </c>
      <c r="E2452" s="103">
        <v>1598.47619888248</v>
      </c>
      <c r="F2452" s="103">
        <v>1755.2647027737601</v>
      </c>
    </row>
    <row r="2453" spans="1:6" hidden="1" x14ac:dyDescent="0.2">
      <c r="A2453" s="102" t="s">
        <v>180</v>
      </c>
      <c r="B2453" s="102" t="s">
        <v>14</v>
      </c>
      <c r="C2453" s="102" t="s">
        <v>155</v>
      </c>
      <c r="D2453" s="103">
        <v>92235.035859458207</v>
      </c>
      <c r="E2453" s="103">
        <v>43316.836190293703</v>
      </c>
      <c r="F2453" s="103">
        <v>48619.853338249297</v>
      </c>
    </row>
    <row r="2454" spans="1:6" hidden="1" x14ac:dyDescent="0.2">
      <c r="A2454" s="102" t="s">
        <v>180</v>
      </c>
      <c r="B2454" s="102" t="s">
        <v>14</v>
      </c>
      <c r="C2454" s="102" t="s">
        <v>156</v>
      </c>
      <c r="D2454" s="103">
        <v>102674.96414054099</v>
      </c>
      <c r="E2454" s="103">
        <v>48577.163809706202</v>
      </c>
      <c r="F2454" s="103">
        <v>54396.146661750601</v>
      </c>
    </row>
    <row r="2455" spans="1:6" hidden="1" x14ac:dyDescent="0.2">
      <c r="A2455" s="102" t="s">
        <v>180</v>
      </c>
      <c r="B2455" s="102" t="s">
        <v>14</v>
      </c>
      <c r="C2455" s="102" t="s">
        <v>157</v>
      </c>
      <c r="D2455" s="104">
        <v>3.2552681579773299</v>
      </c>
      <c r="E2455" s="104">
        <v>3.4789566215040799</v>
      </c>
      <c r="F2455" s="104">
        <v>3.4077516167852799</v>
      </c>
    </row>
    <row r="2456" spans="1:6" hidden="1" x14ac:dyDescent="0.2">
      <c r="A2456" s="102" t="s">
        <v>180</v>
      </c>
      <c r="B2456" s="102" t="s">
        <v>14</v>
      </c>
      <c r="C2456" s="102" t="s">
        <v>158</v>
      </c>
      <c r="D2456" s="104">
        <v>1.59396089930678</v>
      </c>
      <c r="E2456" s="104">
        <v>1.66621883916929</v>
      </c>
      <c r="F2456" s="104">
        <v>1.5918531280617101</v>
      </c>
    </row>
    <row r="2457" spans="1:6" hidden="1" x14ac:dyDescent="0.2">
      <c r="A2457" s="95" t="s">
        <v>180</v>
      </c>
      <c r="B2457" s="95" t="s">
        <v>15</v>
      </c>
      <c r="C2457" s="95" t="s">
        <v>153</v>
      </c>
      <c r="D2457" s="96">
        <v>74591</v>
      </c>
      <c r="E2457" s="96">
        <v>35195</v>
      </c>
      <c r="F2457" s="96">
        <v>39396</v>
      </c>
    </row>
    <row r="2458" spans="1:6" hidden="1" x14ac:dyDescent="0.2">
      <c r="A2458" s="97" t="s">
        <v>180</v>
      </c>
      <c r="B2458" s="97" t="s">
        <v>15</v>
      </c>
      <c r="C2458" s="97" t="s">
        <v>154</v>
      </c>
      <c r="D2458" s="98">
        <v>2340.5934790861302</v>
      </c>
      <c r="E2458" s="98">
        <v>1205.8980047994301</v>
      </c>
      <c r="F2458" s="98">
        <v>1329.53518258401</v>
      </c>
    </row>
    <row r="2459" spans="1:6" hidden="1" x14ac:dyDescent="0.2">
      <c r="A2459" s="97" t="s">
        <v>180</v>
      </c>
      <c r="B2459" s="97" t="s">
        <v>15</v>
      </c>
      <c r="C2459" s="97" t="s">
        <v>155</v>
      </c>
      <c r="D2459" s="98">
        <v>70739.741991760195</v>
      </c>
      <c r="E2459" s="98">
        <v>33210.791981990202</v>
      </c>
      <c r="F2459" s="98">
        <v>37208.356966335501</v>
      </c>
    </row>
    <row r="2460" spans="1:6" hidden="1" x14ac:dyDescent="0.2">
      <c r="A2460" s="97" t="s">
        <v>180</v>
      </c>
      <c r="B2460" s="97" t="s">
        <v>15</v>
      </c>
      <c r="C2460" s="97" t="s">
        <v>156</v>
      </c>
      <c r="D2460" s="98">
        <v>78442.258008239703</v>
      </c>
      <c r="E2460" s="98">
        <v>37179.208018009798</v>
      </c>
      <c r="F2460" s="98">
        <v>41583.643033664397</v>
      </c>
    </row>
    <row r="2461" spans="1:6" hidden="1" x14ac:dyDescent="0.2">
      <c r="A2461" s="97" t="s">
        <v>180</v>
      </c>
      <c r="B2461" s="97" t="s">
        <v>15</v>
      </c>
      <c r="C2461" s="97" t="s">
        <v>157</v>
      </c>
      <c r="D2461" s="99">
        <v>3.1379033383198198</v>
      </c>
      <c r="E2461" s="99">
        <v>3.4263332996148201</v>
      </c>
      <c r="F2461" s="99">
        <v>3.3747973971571099</v>
      </c>
    </row>
    <row r="2462" spans="1:6" hidden="1" x14ac:dyDescent="0.2">
      <c r="A2462" s="97" t="s">
        <v>180</v>
      </c>
      <c r="B2462" s="97" t="s">
        <v>15</v>
      </c>
      <c r="C2462" s="97" t="s">
        <v>158</v>
      </c>
      <c r="D2462" s="99">
        <v>1.4299118518329701</v>
      </c>
      <c r="E2462" s="99">
        <v>1.5180916851558099</v>
      </c>
      <c r="F2462" s="99">
        <v>1.4798954364411201</v>
      </c>
    </row>
    <row r="2463" spans="1:6" hidden="1" x14ac:dyDescent="0.2">
      <c r="A2463" s="100" t="s">
        <v>180</v>
      </c>
      <c r="B2463" s="100" t="s">
        <v>16</v>
      </c>
      <c r="C2463" s="100" t="s">
        <v>153</v>
      </c>
      <c r="D2463" s="101">
        <v>57621</v>
      </c>
      <c r="E2463" s="101">
        <v>27053</v>
      </c>
      <c r="F2463" s="101">
        <v>30568</v>
      </c>
    </row>
    <row r="2464" spans="1:6" hidden="1" x14ac:dyDescent="0.2">
      <c r="A2464" s="102" t="s">
        <v>180</v>
      </c>
      <c r="B2464" s="102" t="s">
        <v>16</v>
      </c>
      <c r="C2464" s="102" t="s">
        <v>154</v>
      </c>
      <c r="D2464" s="103">
        <v>1933.32810351743</v>
      </c>
      <c r="E2464" s="103">
        <v>1079.5237505003699</v>
      </c>
      <c r="F2464" s="103">
        <v>1053.44272454219</v>
      </c>
    </row>
    <row r="2465" spans="1:6" hidden="1" x14ac:dyDescent="0.2">
      <c r="A2465" s="102" t="s">
        <v>180</v>
      </c>
      <c r="B2465" s="102" t="s">
        <v>16</v>
      </c>
      <c r="C2465" s="102" t="s">
        <v>155</v>
      </c>
      <c r="D2465" s="103">
        <v>54439.864357370701</v>
      </c>
      <c r="E2465" s="103">
        <v>25276.730636546501</v>
      </c>
      <c r="F2465" s="103">
        <v>28834.644863635502</v>
      </c>
    </row>
    <row r="2466" spans="1:6" hidden="1" x14ac:dyDescent="0.2">
      <c r="A2466" s="102" t="s">
        <v>180</v>
      </c>
      <c r="B2466" s="102" t="s">
        <v>16</v>
      </c>
      <c r="C2466" s="102" t="s">
        <v>156</v>
      </c>
      <c r="D2466" s="103">
        <v>60802.135642629197</v>
      </c>
      <c r="E2466" s="103">
        <v>28829.269363453401</v>
      </c>
      <c r="F2466" s="103">
        <v>32301.3551363644</v>
      </c>
    </row>
    <row r="2467" spans="1:6" hidden="1" x14ac:dyDescent="0.2">
      <c r="A2467" s="102" t="s">
        <v>180</v>
      </c>
      <c r="B2467" s="102" t="s">
        <v>16</v>
      </c>
      <c r="C2467" s="102" t="s">
        <v>157</v>
      </c>
      <c r="D2467" s="104">
        <v>3.3552491340265398</v>
      </c>
      <c r="E2467" s="104">
        <v>3.9904030994727901</v>
      </c>
      <c r="F2467" s="104">
        <v>3.44622718052273</v>
      </c>
    </row>
    <row r="2468" spans="1:6" hidden="1" x14ac:dyDescent="0.2">
      <c r="A2468" s="102" t="s">
        <v>180</v>
      </c>
      <c r="B2468" s="102" t="s">
        <v>16</v>
      </c>
      <c r="C2468" s="102" t="s">
        <v>158</v>
      </c>
      <c r="D2468" s="104">
        <v>1.5223937031293699</v>
      </c>
      <c r="E2468" s="104">
        <v>1.7534875426440499</v>
      </c>
      <c r="F2468" s="104">
        <v>1.4754502550486499</v>
      </c>
    </row>
    <row r="2469" spans="1:6" hidden="1" x14ac:dyDescent="0.2">
      <c r="A2469" s="95" t="s">
        <v>180</v>
      </c>
      <c r="B2469" s="95" t="s">
        <v>17</v>
      </c>
      <c r="C2469" s="95" t="s">
        <v>153</v>
      </c>
      <c r="D2469" s="96">
        <v>42566</v>
      </c>
      <c r="E2469" s="96">
        <v>19858</v>
      </c>
      <c r="F2469" s="96">
        <v>22708</v>
      </c>
    </row>
    <row r="2470" spans="1:6" hidden="1" x14ac:dyDescent="0.2">
      <c r="A2470" s="97" t="s">
        <v>180</v>
      </c>
      <c r="B2470" s="97" t="s">
        <v>17</v>
      </c>
      <c r="C2470" s="97" t="s">
        <v>154</v>
      </c>
      <c r="D2470" s="98">
        <v>1329.8264578722401</v>
      </c>
      <c r="E2470" s="98">
        <v>728.10425631672501</v>
      </c>
      <c r="F2470" s="98">
        <v>792.52132503350595</v>
      </c>
    </row>
    <row r="2471" spans="1:6" hidden="1" x14ac:dyDescent="0.2">
      <c r="A2471" s="97" t="s">
        <v>180</v>
      </c>
      <c r="B2471" s="97" t="s">
        <v>17</v>
      </c>
      <c r="C2471" s="97" t="s">
        <v>155</v>
      </c>
      <c r="D2471" s="98">
        <v>40377.877696314303</v>
      </c>
      <c r="E2471" s="98">
        <v>18659.963103362901</v>
      </c>
      <c r="F2471" s="98">
        <v>21403.970006321699</v>
      </c>
    </row>
    <row r="2472" spans="1:6" hidden="1" x14ac:dyDescent="0.2">
      <c r="A2472" s="97" t="s">
        <v>180</v>
      </c>
      <c r="B2472" s="97" t="s">
        <v>17</v>
      </c>
      <c r="C2472" s="97" t="s">
        <v>156</v>
      </c>
      <c r="D2472" s="98">
        <v>44754.122303685603</v>
      </c>
      <c r="E2472" s="98">
        <v>21056.036896637001</v>
      </c>
      <c r="F2472" s="98">
        <v>24012.029993678199</v>
      </c>
    </row>
    <row r="2473" spans="1:6" hidden="1" x14ac:dyDescent="0.2">
      <c r="A2473" s="97" t="s">
        <v>180</v>
      </c>
      <c r="B2473" s="97" t="s">
        <v>17</v>
      </c>
      <c r="C2473" s="97" t="s">
        <v>157</v>
      </c>
      <c r="D2473" s="99">
        <v>3.12415180630608</v>
      </c>
      <c r="E2473" s="99">
        <v>3.6665538136606202</v>
      </c>
      <c r="F2473" s="99">
        <v>3.4900533954267501</v>
      </c>
    </row>
    <row r="2474" spans="1:6" hidden="1" x14ac:dyDescent="0.2">
      <c r="A2474" s="97" t="s">
        <v>180</v>
      </c>
      <c r="B2474" s="97" t="s">
        <v>17</v>
      </c>
      <c r="C2474" s="97" t="s">
        <v>158</v>
      </c>
      <c r="D2474" s="99">
        <v>1.3403308572036501</v>
      </c>
      <c r="E2474" s="99">
        <v>1.5450685672503699</v>
      </c>
      <c r="F2474" s="99">
        <v>1.4136211083107899</v>
      </c>
    </row>
    <row r="2475" spans="1:6" hidden="1" x14ac:dyDescent="0.2">
      <c r="A2475" s="100" t="s">
        <v>180</v>
      </c>
      <c r="B2475" s="100" t="s">
        <v>18</v>
      </c>
      <c r="C2475" s="100" t="s">
        <v>153</v>
      </c>
      <c r="D2475" s="101">
        <v>30063</v>
      </c>
      <c r="E2475" s="101">
        <v>13893</v>
      </c>
      <c r="F2475" s="101">
        <v>16170</v>
      </c>
    </row>
    <row r="2476" spans="1:6" hidden="1" x14ac:dyDescent="0.2">
      <c r="A2476" s="102" t="s">
        <v>180</v>
      </c>
      <c r="B2476" s="102" t="s">
        <v>18</v>
      </c>
      <c r="C2476" s="102" t="s">
        <v>154</v>
      </c>
      <c r="D2476" s="103">
        <v>1136.5192140127201</v>
      </c>
      <c r="E2476" s="103">
        <v>591.11146218407305</v>
      </c>
      <c r="F2476" s="103">
        <v>687.14927501284603</v>
      </c>
    </row>
    <row r="2477" spans="1:6" hidden="1" x14ac:dyDescent="0.2">
      <c r="A2477" s="102" t="s">
        <v>180</v>
      </c>
      <c r="B2477" s="102" t="s">
        <v>18</v>
      </c>
      <c r="C2477" s="102" t="s">
        <v>155</v>
      </c>
      <c r="D2477" s="103">
        <v>28192.949192973902</v>
      </c>
      <c r="E2477" s="103">
        <v>12920.3737097705</v>
      </c>
      <c r="F2477" s="103">
        <v>15039.351225705899</v>
      </c>
    </row>
    <row r="2478" spans="1:6" hidden="1" x14ac:dyDescent="0.2">
      <c r="A2478" s="102" t="s">
        <v>180</v>
      </c>
      <c r="B2478" s="102" t="s">
        <v>18</v>
      </c>
      <c r="C2478" s="102" t="s">
        <v>156</v>
      </c>
      <c r="D2478" s="103">
        <v>31933.050807026</v>
      </c>
      <c r="E2478" s="103">
        <v>14865.6262902294</v>
      </c>
      <c r="F2478" s="103">
        <v>17300.648774294001</v>
      </c>
    </row>
    <row r="2479" spans="1:6" hidden="1" x14ac:dyDescent="0.2">
      <c r="A2479" s="102" t="s">
        <v>180</v>
      </c>
      <c r="B2479" s="102" t="s">
        <v>18</v>
      </c>
      <c r="C2479" s="102" t="s">
        <v>157</v>
      </c>
      <c r="D2479" s="104">
        <v>3.7804584173659301</v>
      </c>
      <c r="E2479" s="104">
        <v>4.2547431237606901</v>
      </c>
      <c r="F2479" s="104">
        <v>4.2495316945754196</v>
      </c>
    </row>
    <row r="2480" spans="1:6" hidden="1" x14ac:dyDescent="0.2">
      <c r="A2480" s="102" t="s">
        <v>180</v>
      </c>
      <c r="B2480" s="102" t="s">
        <v>18</v>
      </c>
      <c r="C2480" s="102" t="s">
        <v>158</v>
      </c>
      <c r="D2480" s="104">
        <v>1.5566648852968199</v>
      </c>
      <c r="E2480" s="104">
        <v>1.6324187793545899</v>
      </c>
      <c r="F2480" s="104">
        <v>1.60936294323755</v>
      </c>
    </row>
    <row r="2481" spans="1:6" hidden="1" x14ac:dyDescent="0.2">
      <c r="A2481" s="95" t="s">
        <v>180</v>
      </c>
      <c r="B2481" s="95" t="s">
        <v>19</v>
      </c>
      <c r="C2481" s="95" t="s">
        <v>153</v>
      </c>
      <c r="D2481" s="96">
        <v>44422</v>
      </c>
      <c r="E2481" s="96">
        <v>19792</v>
      </c>
      <c r="F2481" s="96">
        <v>24630</v>
      </c>
    </row>
    <row r="2482" spans="1:6" hidden="1" x14ac:dyDescent="0.2">
      <c r="A2482" s="97" t="s">
        <v>180</v>
      </c>
      <c r="B2482" s="97" t="s">
        <v>19</v>
      </c>
      <c r="C2482" s="97" t="s">
        <v>154</v>
      </c>
      <c r="D2482" s="98">
        <v>1430.46571883294</v>
      </c>
      <c r="E2482" s="98">
        <v>701.856485810663</v>
      </c>
      <c r="F2482" s="98">
        <v>890.73769427977402</v>
      </c>
    </row>
    <row r="2483" spans="1:6" hidden="1" x14ac:dyDescent="0.2">
      <c r="A2483" s="97" t="s">
        <v>180</v>
      </c>
      <c r="B2483" s="97" t="s">
        <v>19</v>
      </c>
      <c r="C2483" s="97" t="s">
        <v>155</v>
      </c>
      <c r="D2483" s="98">
        <v>42068.2839000479</v>
      </c>
      <c r="E2483" s="98">
        <v>18637.151695172299</v>
      </c>
      <c r="F2483" s="98">
        <v>23164.3628831797</v>
      </c>
    </row>
    <row r="2484" spans="1:6" hidden="1" x14ac:dyDescent="0.2">
      <c r="A2484" s="97" t="s">
        <v>180</v>
      </c>
      <c r="B2484" s="97" t="s">
        <v>19</v>
      </c>
      <c r="C2484" s="97" t="s">
        <v>156</v>
      </c>
      <c r="D2484" s="98">
        <v>46775.716099951998</v>
      </c>
      <c r="E2484" s="98">
        <v>20946.848304827599</v>
      </c>
      <c r="F2484" s="98">
        <v>26095.637116820199</v>
      </c>
    </row>
    <row r="2485" spans="1:6" hidden="1" x14ac:dyDescent="0.2">
      <c r="A2485" s="97" t="s">
        <v>180</v>
      </c>
      <c r="B2485" s="97" t="s">
        <v>19</v>
      </c>
      <c r="C2485" s="97" t="s">
        <v>157</v>
      </c>
      <c r="D2485" s="99">
        <v>3.2201740552720399</v>
      </c>
      <c r="E2485" s="99">
        <v>3.5461625192535502</v>
      </c>
      <c r="F2485" s="99">
        <v>3.6164746012170998</v>
      </c>
    </row>
    <row r="2486" spans="1:6" hidden="1" x14ac:dyDescent="0.2">
      <c r="A2486" s="97" t="s">
        <v>180</v>
      </c>
      <c r="B2486" s="97" t="s">
        <v>19</v>
      </c>
      <c r="C2486" s="97" t="s">
        <v>158</v>
      </c>
      <c r="D2486" s="99">
        <v>1.24571616896583</v>
      </c>
      <c r="E2486" s="99">
        <v>1.27603772273216</v>
      </c>
      <c r="F2486" s="99">
        <v>1.3881452046240399</v>
      </c>
    </row>
    <row r="2487" spans="1:6" hidden="1" x14ac:dyDescent="0.2">
      <c r="A2487" s="100" t="s">
        <v>180</v>
      </c>
      <c r="B2487" s="100" t="s">
        <v>20</v>
      </c>
      <c r="C2487" s="100" t="s">
        <v>153</v>
      </c>
      <c r="D2487" s="101">
        <v>1674</v>
      </c>
      <c r="E2487" s="101">
        <v>802</v>
      </c>
      <c r="F2487" s="101">
        <v>872</v>
      </c>
    </row>
    <row r="2488" spans="1:6" hidden="1" x14ac:dyDescent="0.2">
      <c r="A2488" s="102" t="s">
        <v>180</v>
      </c>
      <c r="B2488" s="102" t="s">
        <v>20</v>
      </c>
      <c r="C2488" s="102" t="s">
        <v>154</v>
      </c>
      <c r="D2488" s="103">
        <v>229.25155401554599</v>
      </c>
      <c r="E2488" s="103">
        <v>133.24619178328501</v>
      </c>
      <c r="F2488" s="103">
        <v>150.716472848103</v>
      </c>
    </row>
    <row r="2489" spans="1:6" hidden="1" x14ac:dyDescent="0.2">
      <c r="A2489" s="102" t="s">
        <v>180</v>
      </c>
      <c r="B2489" s="102" t="s">
        <v>20</v>
      </c>
      <c r="C2489" s="102" t="s">
        <v>155</v>
      </c>
      <c r="D2489" s="103">
        <v>1296.7850367042299</v>
      </c>
      <c r="E2489" s="103">
        <v>582.75412592656096</v>
      </c>
      <c r="F2489" s="103">
        <v>624.00818586551804</v>
      </c>
    </row>
    <row r="2490" spans="1:6" hidden="1" x14ac:dyDescent="0.2">
      <c r="A2490" s="102" t="s">
        <v>180</v>
      </c>
      <c r="B2490" s="102" t="s">
        <v>20</v>
      </c>
      <c r="C2490" s="102" t="s">
        <v>156</v>
      </c>
      <c r="D2490" s="103">
        <v>2051.2149632957598</v>
      </c>
      <c r="E2490" s="103">
        <v>1021.2458740734299</v>
      </c>
      <c r="F2490" s="103">
        <v>1119.9918141344799</v>
      </c>
    </row>
    <row r="2491" spans="1:6" hidden="1" x14ac:dyDescent="0.2">
      <c r="A2491" s="102" t="s">
        <v>180</v>
      </c>
      <c r="B2491" s="102" t="s">
        <v>20</v>
      </c>
      <c r="C2491" s="102" t="s">
        <v>157</v>
      </c>
      <c r="D2491" s="104">
        <v>13.694835962696899</v>
      </c>
      <c r="E2491" s="104">
        <v>16.614238376968299</v>
      </c>
      <c r="F2491" s="104">
        <v>17.283999179828299</v>
      </c>
    </row>
    <row r="2492" spans="1:6" hidden="1" x14ac:dyDescent="0.2">
      <c r="A2492" s="102" t="s">
        <v>180</v>
      </c>
      <c r="B2492" s="102" t="s">
        <v>20</v>
      </c>
      <c r="C2492" s="102" t="s">
        <v>158</v>
      </c>
      <c r="D2492" s="104">
        <v>2.58231589061841</v>
      </c>
      <c r="E2492" s="104">
        <v>2.6829766073228201</v>
      </c>
      <c r="F2492" s="104">
        <v>2.49846705254464</v>
      </c>
    </row>
    <row r="2493" spans="1:6" hidden="1" x14ac:dyDescent="0.2">
      <c r="A2493" s="95" t="s">
        <v>181</v>
      </c>
      <c r="B2493" s="95" t="s">
        <v>152</v>
      </c>
      <c r="C2493" s="95" t="s">
        <v>153</v>
      </c>
      <c r="D2493" s="96">
        <v>1501562</v>
      </c>
      <c r="E2493" s="96">
        <v>751538</v>
      </c>
      <c r="F2493" s="96">
        <v>750024</v>
      </c>
    </row>
    <row r="2494" spans="1:6" hidden="1" x14ac:dyDescent="0.2">
      <c r="A2494" s="97" t="s">
        <v>181</v>
      </c>
      <c r="B2494" s="97" t="s">
        <v>152</v>
      </c>
      <c r="C2494" s="97" t="s">
        <v>154</v>
      </c>
      <c r="D2494" s="98">
        <v>42723.354804427297</v>
      </c>
      <c r="E2494" s="98">
        <v>21769.694221130601</v>
      </c>
      <c r="F2494" s="98">
        <v>21272.8205171556</v>
      </c>
    </row>
    <row r="2495" spans="1:6" hidden="1" x14ac:dyDescent="0.2">
      <c r="A2495" s="97" t="s">
        <v>181</v>
      </c>
      <c r="B2495" s="97" t="s">
        <v>152</v>
      </c>
      <c r="C2495" s="97" t="s">
        <v>155</v>
      </c>
      <c r="D2495" s="98">
        <v>1431256.34553214</v>
      </c>
      <c r="E2495" s="98">
        <v>715713.73931663495</v>
      </c>
      <c r="F2495" s="98">
        <v>715017.39586785296</v>
      </c>
    </row>
    <row r="2496" spans="1:6" hidden="1" x14ac:dyDescent="0.2">
      <c r="A2496" s="97" t="s">
        <v>181</v>
      </c>
      <c r="B2496" s="97" t="s">
        <v>152</v>
      </c>
      <c r="C2496" s="97" t="s">
        <v>156</v>
      </c>
      <c r="D2496" s="98">
        <v>1571867.65446785</v>
      </c>
      <c r="E2496" s="98">
        <v>787362.260683364</v>
      </c>
      <c r="F2496" s="98">
        <v>785030.60413214599</v>
      </c>
    </row>
    <row r="2497" spans="1:6" hidden="1" x14ac:dyDescent="0.2">
      <c r="A2497" s="97" t="s">
        <v>181</v>
      </c>
      <c r="B2497" s="97" t="s">
        <v>152</v>
      </c>
      <c r="C2497" s="97" t="s">
        <v>157</v>
      </c>
      <c r="D2497" s="99">
        <v>2.8452607887271602</v>
      </c>
      <c r="E2497" s="99">
        <v>2.8966857592205</v>
      </c>
      <c r="F2497" s="99">
        <v>2.83628530782424</v>
      </c>
    </row>
    <row r="2498" spans="1:6" hidden="1" x14ac:dyDescent="0.2">
      <c r="A2498" s="97" t="s">
        <v>181</v>
      </c>
      <c r="B2498" s="97" t="s">
        <v>152</v>
      </c>
      <c r="C2498" s="97" t="s">
        <v>158</v>
      </c>
      <c r="D2498" s="99">
        <v>2.9172204843689502</v>
      </c>
      <c r="E2498" s="99">
        <v>1.6196080304448199</v>
      </c>
      <c r="F2498" s="99">
        <v>1.5858347418706</v>
      </c>
    </row>
    <row r="2499" spans="1:6" hidden="1" x14ac:dyDescent="0.2">
      <c r="A2499" s="100" t="s">
        <v>181</v>
      </c>
      <c r="B2499" s="100" t="s">
        <v>4</v>
      </c>
      <c r="C2499" s="100" t="s">
        <v>153</v>
      </c>
      <c r="D2499" s="101">
        <v>136207</v>
      </c>
      <c r="E2499" s="101">
        <v>67656</v>
      </c>
      <c r="F2499" s="101">
        <v>68551</v>
      </c>
    </row>
    <row r="2500" spans="1:6" hidden="1" x14ac:dyDescent="0.2">
      <c r="A2500" s="102" t="s">
        <v>181</v>
      </c>
      <c r="B2500" s="102" t="s">
        <v>4</v>
      </c>
      <c r="C2500" s="102" t="s">
        <v>154</v>
      </c>
      <c r="D2500" s="103">
        <v>4466.9892669049796</v>
      </c>
      <c r="E2500" s="103">
        <v>2275.2548682116799</v>
      </c>
      <c r="F2500" s="103">
        <v>2483.0067843001998</v>
      </c>
    </row>
    <row r="2501" spans="1:6" hidden="1" x14ac:dyDescent="0.2">
      <c r="A2501" s="102" t="s">
        <v>181</v>
      </c>
      <c r="B2501" s="102" t="s">
        <v>4</v>
      </c>
      <c r="C2501" s="102" t="s">
        <v>155</v>
      </c>
      <c r="D2501" s="103">
        <v>128856.11181838901</v>
      </c>
      <c r="E2501" s="103">
        <v>63911.835167368001</v>
      </c>
      <c r="F2501" s="103">
        <v>64464.958119219104</v>
      </c>
    </row>
    <row r="2502" spans="1:6" hidden="1" x14ac:dyDescent="0.2">
      <c r="A2502" s="102" t="s">
        <v>181</v>
      </c>
      <c r="B2502" s="102" t="s">
        <v>4</v>
      </c>
      <c r="C2502" s="102" t="s">
        <v>156</v>
      </c>
      <c r="D2502" s="103">
        <v>143557.88818161</v>
      </c>
      <c r="E2502" s="103">
        <v>71400.164832631897</v>
      </c>
      <c r="F2502" s="103">
        <v>72637.041880780802</v>
      </c>
    </row>
    <row r="2503" spans="1:6" hidden="1" x14ac:dyDescent="0.2">
      <c r="A2503" s="102" t="s">
        <v>181</v>
      </c>
      <c r="B2503" s="102" t="s">
        <v>4</v>
      </c>
      <c r="C2503" s="102" t="s">
        <v>157</v>
      </c>
      <c r="D2503" s="104">
        <v>3.2795592494548602</v>
      </c>
      <c r="E2503" s="104">
        <v>3.3629757423017601</v>
      </c>
      <c r="F2503" s="104">
        <v>3.6221306535283202</v>
      </c>
    </row>
    <row r="2504" spans="1:6" hidden="1" x14ac:dyDescent="0.2">
      <c r="A2504" s="102" t="s">
        <v>181</v>
      </c>
      <c r="B2504" s="102" t="s">
        <v>4</v>
      </c>
      <c r="C2504" s="102" t="s">
        <v>158</v>
      </c>
      <c r="D2504" s="104">
        <v>1.23842140820997</v>
      </c>
      <c r="E2504" s="104">
        <v>1.1880682359655399</v>
      </c>
      <c r="F2504" s="104">
        <v>1.37354495873052</v>
      </c>
    </row>
    <row r="2505" spans="1:6" hidden="1" x14ac:dyDescent="0.2">
      <c r="A2505" s="95" t="s">
        <v>181</v>
      </c>
      <c r="B2505" s="95" t="s">
        <v>5</v>
      </c>
      <c r="C2505" s="95" t="s">
        <v>153</v>
      </c>
      <c r="D2505" s="96">
        <v>141421</v>
      </c>
      <c r="E2505" s="96">
        <v>71746</v>
      </c>
      <c r="F2505" s="96">
        <v>69675</v>
      </c>
    </row>
    <row r="2506" spans="1:6" hidden="1" x14ac:dyDescent="0.2">
      <c r="A2506" s="97" t="s">
        <v>181</v>
      </c>
      <c r="B2506" s="97" t="s">
        <v>5</v>
      </c>
      <c r="C2506" s="97" t="s">
        <v>154</v>
      </c>
      <c r="D2506" s="98">
        <v>4774.67419694004</v>
      </c>
      <c r="E2506" s="98">
        <v>2581.5592594933601</v>
      </c>
      <c r="F2506" s="98">
        <v>2467.6328194631801</v>
      </c>
    </row>
    <row r="2507" spans="1:6" hidden="1" x14ac:dyDescent="0.2">
      <c r="A2507" s="97" t="s">
        <v>181</v>
      </c>
      <c r="B2507" s="97" t="s">
        <v>5</v>
      </c>
      <c r="C2507" s="97" t="s">
        <v>155</v>
      </c>
      <c r="D2507" s="98">
        <v>133563.784764368</v>
      </c>
      <c r="E2507" s="98">
        <v>67497.779931209298</v>
      </c>
      <c r="F2507" s="98">
        <v>65614.257552388197</v>
      </c>
    </row>
    <row r="2508" spans="1:6" hidden="1" x14ac:dyDescent="0.2">
      <c r="A2508" s="97" t="s">
        <v>181</v>
      </c>
      <c r="B2508" s="97" t="s">
        <v>5</v>
      </c>
      <c r="C2508" s="97" t="s">
        <v>156</v>
      </c>
      <c r="D2508" s="98">
        <v>149278.21523563101</v>
      </c>
      <c r="E2508" s="98">
        <v>75994.220068790601</v>
      </c>
      <c r="F2508" s="98">
        <v>73735.742447611701</v>
      </c>
    </row>
    <row r="2509" spans="1:6" hidden="1" x14ac:dyDescent="0.2">
      <c r="A2509" s="97" t="s">
        <v>181</v>
      </c>
      <c r="B2509" s="97" t="s">
        <v>5</v>
      </c>
      <c r="C2509" s="97" t="s">
        <v>157</v>
      </c>
      <c r="D2509" s="99">
        <v>3.3762130072195999</v>
      </c>
      <c r="E2509" s="99">
        <v>3.59819259539676</v>
      </c>
      <c r="F2509" s="99">
        <v>3.5416330383396901</v>
      </c>
    </row>
    <row r="2510" spans="1:6" hidden="1" x14ac:dyDescent="0.2">
      <c r="A2510" s="97" t="s">
        <v>181</v>
      </c>
      <c r="B2510" s="97" t="s">
        <v>5</v>
      </c>
      <c r="C2510" s="97" t="s">
        <v>158</v>
      </c>
      <c r="D2510" s="99">
        <v>1.31739287983063</v>
      </c>
      <c r="E2510" s="99">
        <v>1.3409697933604099</v>
      </c>
      <c r="F2510" s="99">
        <v>1.34903977473365</v>
      </c>
    </row>
    <row r="2511" spans="1:6" hidden="1" x14ac:dyDescent="0.2">
      <c r="A2511" s="100" t="s">
        <v>181</v>
      </c>
      <c r="B2511" s="100" t="s">
        <v>6</v>
      </c>
      <c r="C2511" s="100" t="s">
        <v>153</v>
      </c>
      <c r="D2511" s="101">
        <v>132454</v>
      </c>
      <c r="E2511" s="101">
        <v>67015</v>
      </c>
      <c r="F2511" s="101">
        <v>65439</v>
      </c>
    </row>
    <row r="2512" spans="1:6" hidden="1" x14ac:dyDescent="0.2">
      <c r="A2512" s="102" t="s">
        <v>181</v>
      </c>
      <c r="B2512" s="102" t="s">
        <v>6</v>
      </c>
      <c r="C2512" s="102" t="s">
        <v>154</v>
      </c>
      <c r="D2512" s="103">
        <v>4083.1609585839401</v>
      </c>
      <c r="E2512" s="103">
        <v>2292.2072959699199</v>
      </c>
      <c r="F2512" s="103">
        <v>2132.6089673725601</v>
      </c>
    </row>
    <row r="2513" spans="1:6" hidden="1" x14ac:dyDescent="0.2">
      <c r="A2513" s="102" t="s">
        <v>181</v>
      </c>
      <c r="B2513" s="102" t="s">
        <v>6</v>
      </c>
      <c r="C2513" s="102" t="s">
        <v>155</v>
      </c>
      <c r="D2513" s="103">
        <v>125734.74059715201</v>
      </c>
      <c r="E2513" s="103">
        <v>63242.938211854598</v>
      </c>
      <c r="F2513" s="103">
        <v>61929.573601687101</v>
      </c>
    </row>
    <row r="2514" spans="1:6" hidden="1" x14ac:dyDescent="0.2">
      <c r="A2514" s="102" t="s">
        <v>181</v>
      </c>
      <c r="B2514" s="102" t="s">
        <v>6</v>
      </c>
      <c r="C2514" s="102" t="s">
        <v>156</v>
      </c>
      <c r="D2514" s="103">
        <v>139173.259402847</v>
      </c>
      <c r="E2514" s="103">
        <v>70787.061788145307</v>
      </c>
      <c r="F2514" s="103">
        <v>68948.426398312804</v>
      </c>
    </row>
    <row r="2515" spans="1:6" hidden="1" x14ac:dyDescent="0.2">
      <c r="A2515" s="102" t="s">
        <v>181</v>
      </c>
      <c r="B2515" s="102" t="s">
        <v>6</v>
      </c>
      <c r="C2515" s="102" t="s">
        <v>157</v>
      </c>
      <c r="D2515" s="104">
        <v>3.0827011329094902</v>
      </c>
      <c r="E2515" s="104">
        <v>3.4204391493992699</v>
      </c>
      <c r="F2515" s="104">
        <v>3.2589265841051498</v>
      </c>
    </row>
    <row r="2516" spans="1:6" hidden="1" x14ac:dyDescent="0.2">
      <c r="A2516" s="102" t="s">
        <v>181</v>
      </c>
      <c r="B2516" s="102" t="s">
        <v>6</v>
      </c>
      <c r="C2516" s="102" t="s">
        <v>158</v>
      </c>
      <c r="D2516" s="104">
        <v>1.1069120257218299</v>
      </c>
      <c r="E2516" s="104">
        <v>1.23424365071761</v>
      </c>
      <c r="F2516" s="104">
        <v>1.1192312343666899</v>
      </c>
    </row>
    <row r="2517" spans="1:6" hidden="1" x14ac:dyDescent="0.2">
      <c r="A2517" s="95" t="s">
        <v>181</v>
      </c>
      <c r="B2517" s="95" t="s">
        <v>7</v>
      </c>
      <c r="C2517" s="95" t="s">
        <v>153</v>
      </c>
      <c r="D2517" s="96">
        <v>132767</v>
      </c>
      <c r="E2517" s="96">
        <v>67036</v>
      </c>
      <c r="F2517" s="96">
        <v>65731</v>
      </c>
    </row>
    <row r="2518" spans="1:6" hidden="1" x14ac:dyDescent="0.2">
      <c r="A2518" s="97" t="s">
        <v>181</v>
      </c>
      <c r="B2518" s="97" t="s">
        <v>7</v>
      </c>
      <c r="C2518" s="97" t="s">
        <v>154</v>
      </c>
      <c r="D2518" s="98">
        <v>4185.1372510691799</v>
      </c>
      <c r="E2518" s="98">
        <v>2262.1795141060002</v>
      </c>
      <c r="F2518" s="98">
        <v>2231.2115555461</v>
      </c>
    </row>
    <row r="2519" spans="1:6" hidden="1" x14ac:dyDescent="0.2">
      <c r="A2519" s="97" t="s">
        <v>181</v>
      </c>
      <c r="B2519" s="97" t="s">
        <v>7</v>
      </c>
      <c r="C2519" s="97" t="s">
        <v>155</v>
      </c>
      <c r="D2519" s="98">
        <v>125879.928167248</v>
      </c>
      <c r="E2519" s="98">
        <v>63313.352001240397</v>
      </c>
      <c r="F2519" s="98">
        <v>62059.312947637402</v>
      </c>
    </row>
    <row r="2520" spans="1:6" hidden="1" x14ac:dyDescent="0.2">
      <c r="A2520" s="97" t="s">
        <v>181</v>
      </c>
      <c r="B2520" s="97" t="s">
        <v>7</v>
      </c>
      <c r="C2520" s="97" t="s">
        <v>156</v>
      </c>
      <c r="D2520" s="98">
        <v>139654.07183275101</v>
      </c>
      <c r="E2520" s="98">
        <v>70758.647998759494</v>
      </c>
      <c r="F2520" s="98">
        <v>69402.687052362497</v>
      </c>
    </row>
    <row r="2521" spans="1:6" hidden="1" x14ac:dyDescent="0.2">
      <c r="A2521" s="97" t="s">
        <v>181</v>
      </c>
      <c r="B2521" s="97" t="s">
        <v>7</v>
      </c>
      <c r="C2521" s="97" t="s">
        <v>157</v>
      </c>
      <c r="D2521" s="99">
        <v>3.1522420865645699</v>
      </c>
      <c r="E2521" s="99">
        <v>3.3745741304761601</v>
      </c>
      <c r="F2521" s="99">
        <v>3.3944585591974898</v>
      </c>
    </row>
    <row r="2522" spans="1:6" hidden="1" x14ac:dyDescent="0.2">
      <c r="A2522" s="97" t="s">
        <v>181</v>
      </c>
      <c r="B2522" s="97" t="s">
        <v>7</v>
      </c>
      <c r="C2522" s="97" t="s">
        <v>158</v>
      </c>
      <c r="D2522" s="99">
        <v>1.2122118393091501</v>
      </c>
      <c r="E2522" s="99">
        <v>1.23850472832155</v>
      </c>
      <c r="F2522" s="99">
        <v>1.2920527984938699</v>
      </c>
    </row>
    <row r="2523" spans="1:6" hidden="1" x14ac:dyDescent="0.2">
      <c r="A2523" s="100" t="s">
        <v>181</v>
      </c>
      <c r="B2523" s="100" t="s">
        <v>8</v>
      </c>
      <c r="C2523" s="100" t="s">
        <v>153</v>
      </c>
      <c r="D2523" s="101">
        <v>151636</v>
      </c>
      <c r="E2523" s="101">
        <v>75535</v>
      </c>
      <c r="F2523" s="101">
        <v>76101</v>
      </c>
    </row>
    <row r="2524" spans="1:6" hidden="1" x14ac:dyDescent="0.2">
      <c r="A2524" s="102" t="s">
        <v>181</v>
      </c>
      <c r="B2524" s="102" t="s">
        <v>8</v>
      </c>
      <c r="C2524" s="102" t="s">
        <v>154</v>
      </c>
      <c r="D2524" s="103">
        <v>5492.0526311050799</v>
      </c>
      <c r="E2524" s="103">
        <v>3002.2461565008002</v>
      </c>
      <c r="F2524" s="103">
        <v>2721.75617068053</v>
      </c>
    </row>
    <row r="2525" spans="1:6" hidden="1" x14ac:dyDescent="0.2">
      <c r="A2525" s="102" t="s">
        <v>181</v>
      </c>
      <c r="B2525" s="102" t="s">
        <v>8</v>
      </c>
      <c r="C2525" s="102" t="s">
        <v>155</v>
      </c>
      <c r="D2525" s="103">
        <v>142598.26510372799</v>
      </c>
      <c r="E2525" s="103">
        <v>70594.496571076394</v>
      </c>
      <c r="F2525" s="103">
        <v>71622.071560096898</v>
      </c>
    </row>
    <row r="2526" spans="1:6" hidden="1" x14ac:dyDescent="0.2">
      <c r="A2526" s="102" t="s">
        <v>181</v>
      </c>
      <c r="B2526" s="102" t="s">
        <v>8</v>
      </c>
      <c r="C2526" s="102" t="s">
        <v>156</v>
      </c>
      <c r="D2526" s="103">
        <v>160673.73489627099</v>
      </c>
      <c r="E2526" s="103">
        <v>80475.503428923505</v>
      </c>
      <c r="F2526" s="103">
        <v>80579.928439903</v>
      </c>
    </row>
    <row r="2527" spans="1:6" hidden="1" x14ac:dyDescent="0.2">
      <c r="A2527" s="102" t="s">
        <v>181</v>
      </c>
      <c r="B2527" s="102" t="s">
        <v>8</v>
      </c>
      <c r="C2527" s="102" t="s">
        <v>157</v>
      </c>
      <c r="D2527" s="104">
        <v>3.6218659362585899</v>
      </c>
      <c r="E2527" s="104">
        <v>3.9746424260287299</v>
      </c>
      <c r="F2527" s="104">
        <v>3.5765051322328598</v>
      </c>
    </row>
    <row r="2528" spans="1:6" hidden="1" x14ac:dyDescent="0.2">
      <c r="A2528" s="102" t="s">
        <v>181</v>
      </c>
      <c r="B2528" s="102" t="s">
        <v>8</v>
      </c>
      <c r="C2528" s="102" t="s">
        <v>158</v>
      </c>
      <c r="D2528" s="104">
        <v>1.46309853409781</v>
      </c>
      <c r="E2528" s="104">
        <v>1.5418402398355999</v>
      </c>
      <c r="F2528" s="104">
        <v>1.3958296016402501</v>
      </c>
    </row>
    <row r="2529" spans="1:6" hidden="1" x14ac:dyDescent="0.2">
      <c r="A2529" s="95" t="s">
        <v>181</v>
      </c>
      <c r="B2529" s="95" t="s">
        <v>9</v>
      </c>
      <c r="C2529" s="95" t="s">
        <v>153</v>
      </c>
      <c r="D2529" s="96">
        <v>143267</v>
      </c>
      <c r="E2529" s="96">
        <v>70806</v>
      </c>
      <c r="F2529" s="96">
        <v>72461</v>
      </c>
    </row>
    <row r="2530" spans="1:6" hidden="1" x14ac:dyDescent="0.2">
      <c r="A2530" s="97" t="s">
        <v>181</v>
      </c>
      <c r="B2530" s="97" t="s">
        <v>9</v>
      </c>
      <c r="C2530" s="97" t="s">
        <v>154</v>
      </c>
      <c r="D2530" s="98">
        <v>5536.2738646948701</v>
      </c>
      <c r="E2530" s="98">
        <v>2899.0293059935798</v>
      </c>
      <c r="F2530" s="98">
        <v>2874.5494013377502</v>
      </c>
    </row>
    <row r="2531" spans="1:6" hidden="1" x14ac:dyDescent="0.2">
      <c r="A2531" s="97" t="s">
        <v>181</v>
      </c>
      <c r="B2531" s="97" t="s">
        <v>9</v>
      </c>
      <c r="C2531" s="97" t="s">
        <v>155</v>
      </c>
      <c r="D2531" s="98">
        <v>134156.49453636201</v>
      </c>
      <c r="E2531" s="98">
        <v>66035.350466217395</v>
      </c>
      <c r="F2531" s="98">
        <v>67730.634655650007</v>
      </c>
    </row>
    <row r="2532" spans="1:6" hidden="1" x14ac:dyDescent="0.2">
      <c r="A2532" s="97" t="s">
        <v>181</v>
      </c>
      <c r="B2532" s="97" t="s">
        <v>9</v>
      </c>
      <c r="C2532" s="97" t="s">
        <v>156</v>
      </c>
      <c r="D2532" s="98">
        <v>152377.505463637</v>
      </c>
      <c r="E2532" s="98">
        <v>75576.649533782605</v>
      </c>
      <c r="F2532" s="98">
        <v>77191.365344349906</v>
      </c>
    </row>
    <row r="2533" spans="1:6" hidden="1" x14ac:dyDescent="0.2">
      <c r="A2533" s="97" t="s">
        <v>181</v>
      </c>
      <c r="B2533" s="97" t="s">
        <v>9</v>
      </c>
      <c r="C2533" s="97" t="s">
        <v>157</v>
      </c>
      <c r="D2533" s="99">
        <v>3.8643050142006699</v>
      </c>
      <c r="E2533" s="99">
        <v>4.0943271841278701</v>
      </c>
      <c r="F2533" s="99">
        <v>3.9670297143811899</v>
      </c>
    </row>
    <row r="2534" spans="1:6" hidden="1" x14ac:dyDescent="0.2">
      <c r="A2534" s="97" t="s">
        <v>181</v>
      </c>
      <c r="B2534" s="97" t="s">
        <v>9</v>
      </c>
      <c r="C2534" s="97" t="s">
        <v>158</v>
      </c>
      <c r="D2534" s="99">
        <v>1.57204692991215</v>
      </c>
      <c r="E2534" s="99">
        <v>1.5830556934638</v>
      </c>
      <c r="F2534" s="99">
        <v>1.58026799980021</v>
      </c>
    </row>
    <row r="2535" spans="1:6" hidden="1" x14ac:dyDescent="0.2">
      <c r="A2535" s="100" t="s">
        <v>181</v>
      </c>
      <c r="B2535" s="100" t="s">
        <v>10</v>
      </c>
      <c r="C2535" s="100" t="s">
        <v>153</v>
      </c>
      <c r="D2535" s="101">
        <v>135780</v>
      </c>
      <c r="E2535" s="101">
        <v>68195</v>
      </c>
      <c r="F2535" s="101">
        <v>67585</v>
      </c>
    </row>
    <row r="2536" spans="1:6" hidden="1" x14ac:dyDescent="0.2">
      <c r="A2536" s="102" t="s">
        <v>181</v>
      </c>
      <c r="B2536" s="102" t="s">
        <v>10</v>
      </c>
      <c r="C2536" s="102" t="s">
        <v>154</v>
      </c>
      <c r="D2536" s="103">
        <v>5206.3386744859399</v>
      </c>
      <c r="E2536" s="103">
        <v>3020.0254221170999</v>
      </c>
      <c r="F2536" s="103">
        <v>2473.3908939535499</v>
      </c>
    </row>
    <row r="2537" spans="1:6" hidden="1" x14ac:dyDescent="0.2">
      <c r="A2537" s="102" t="s">
        <v>181</v>
      </c>
      <c r="B2537" s="102" t="s">
        <v>10</v>
      </c>
      <c r="C2537" s="102" t="s">
        <v>155</v>
      </c>
      <c r="D2537" s="103">
        <v>127212.43667154299</v>
      </c>
      <c r="E2537" s="103">
        <v>63225.238969213598</v>
      </c>
      <c r="F2537" s="103">
        <v>63514.782051286398</v>
      </c>
    </row>
    <row r="2538" spans="1:6" hidden="1" x14ac:dyDescent="0.2">
      <c r="A2538" s="102" t="s">
        <v>181</v>
      </c>
      <c r="B2538" s="102" t="s">
        <v>10</v>
      </c>
      <c r="C2538" s="102" t="s">
        <v>156</v>
      </c>
      <c r="D2538" s="103">
        <v>144347.56332845599</v>
      </c>
      <c r="E2538" s="103">
        <v>73164.761030786307</v>
      </c>
      <c r="F2538" s="103">
        <v>71655.2179487135</v>
      </c>
    </row>
    <row r="2539" spans="1:6" hidden="1" x14ac:dyDescent="0.2">
      <c r="A2539" s="102" t="s">
        <v>181</v>
      </c>
      <c r="B2539" s="102" t="s">
        <v>10</v>
      </c>
      <c r="C2539" s="102" t="s">
        <v>157</v>
      </c>
      <c r="D2539" s="104">
        <v>3.8343928962188301</v>
      </c>
      <c r="E2539" s="104">
        <v>4.4285144396467402</v>
      </c>
      <c r="F2539" s="104">
        <v>3.6596743270748799</v>
      </c>
    </row>
    <row r="2540" spans="1:6" hidden="1" x14ac:dyDescent="0.2">
      <c r="A2540" s="102" t="s">
        <v>181</v>
      </c>
      <c r="B2540" s="102" t="s">
        <v>10</v>
      </c>
      <c r="C2540" s="102" t="s">
        <v>158</v>
      </c>
      <c r="D2540" s="104">
        <v>1.6272076464869001</v>
      </c>
      <c r="E2540" s="104">
        <v>1.9464668332195201</v>
      </c>
      <c r="F2540" s="104">
        <v>1.4008412115391999</v>
      </c>
    </row>
    <row r="2541" spans="1:6" hidden="1" x14ac:dyDescent="0.2">
      <c r="A2541" s="95" t="s">
        <v>181</v>
      </c>
      <c r="B2541" s="95" t="s">
        <v>11</v>
      </c>
      <c r="C2541" s="95" t="s">
        <v>153</v>
      </c>
      <c r="D2541" s="96">
        <v>123816</v>
      </c>
      <c r="E2541" s="96">
        <v>60976</v>
      </c>
      <c r="F2541" s="96">
        <v>62840</v>
      </c>
    </row>
    <row r="2542" spans="1:6" hidden="1" x14ac:dyDescent="0.2">
      <c r="A2542" s="97" t="s">
        <v>181</v>
      </c>
      <c r="B2542" s="97" t="s">
        <v>11</v>
      </c>
      <c r="C2542" s="97" t="s">
        <v>154</v>
      </c>
      <c r="D2542" s="98">
        <v>4337.6773784760999</v>
      </c>
      <c r="E2542" s="98">
        <v>2336.7310643685801</v>
      </c>
      <c r="F2542" s="98">
        <v>2269.2185722652198</v>
      </c>
    </row>
    <row r="2543" spans="1:6" hidden="1" x14ac:dyDescent="0.2">
      <c r="A2543" s="97" t="s">
        <v>181</v>
      </c>
      <c r="B2543" s="97" t="s">
        <v>11</v>
      </c>
      <c r="C2543" s="97" t="s">
        <v>155</v>
      </c>
      <c r="D2543" s="98">
        <v>116677.907770113</v>
      </c>
      <c r="E2543" s="98">
        <v>57130.669792485998</v>
      </c>
      <c r="F2543" s="98">
        <v>59105.768510360802</v>
      </c>
    </row>
    <row r="2544" spans="1:6" hidden="1" x14ac:dyDescent="0.2">
      <c r="A2544" s="97" t="s">
        <v>181</v>
      </c>
      <c r="B2544" s="97" t="s">
        <v>11</v>
      </c>
      <c r="C2544" s="97" t="s">
        <v>156</v>
      </c>
      <c r="D2544" s="98">
        <v>130954.092229886</v>
      </c>
      <c r="E2544" s="98">
        <v>64821.3302075139</v>
      </c>
      <c r="F2544" s="98">
        <v>66574.231489639104</v>
      </c>
    </row>
    <row r="2545" spans="1:6" hidden="1" x14ac:dyDescent="0.2">
      <c r="A2545" s="97" t="s">
        <v>181</v>
      </c>
      <c r="B2545" s="97" t="s">
        <v>11</v>
      </c>
      <c r="C2545" s="97" t="s">
        <v>157</v>
      </c>
      <c r="D2545" s="99">
        <v>3.5033254009789498</v>
      </c>
      <c r="E2545" s="99">
        <v>3.8322144193922001</v>
      </c>
      <c r="F2545" s="99">
        <v>3.61110530277724</v>
      </c>
    </row>
    <row r="2546" spans="1:6" hidden="1" x14ac:dyDescent="0.2">
      <c r="A2546" s="97" t="s">
        <v>181</v>
      </c>
      <c r="B2546" s="97" t="s">
        <v>11</v>
      </c>
      <c r="C2546" s="97" t="s">
        <v>158</v>
      </c>
      <c r="D2546" s="99">
        <v>1.3315779050401899</v>
      </c>
      <c r="E2546" s="99">
        <v>1.43661093222003</v>
      </c>
      <c r="F2546" s="99">
        <v>1.3151480800073501</v>
      </c>
    </row>
    <row r="2547" spans="1:6" hidden="1" x14ac:dyDescent="0.2">
      <c r="A2547" s="100" t="s">
        <v>181</v>
      </c>
      <c r="B2547" s="100" t="s">
        <v>12</v>
      </c>
      <c r="C2547" s="100" t="s">
        <v>153</v>
      </c>
      <c r="D2547" s="101">
        <v>110583</v>
      </c>
      <c r="E2547" s="101">
        <v>56092</v>
      </c>
      <c r="F2547" s="101">
        <v>54491</v>
      </c>
    </row>
    <row r="2548" spans="1:6" hidden="1" x14ac:dyDescent="0.2">
      <c r="A2548" s="102" t="s">
        <v>181</v>
      </c>
      <c r="B2548" s="102" t="s">
        <v>12</v>
      </c>
      <c r="C2548" s="102" t="s">
        <v>154</v>
      </c>
      <c r="D2548" s="103">
        <v>3753.6878570767399</v>
      </c>
      <c r="E2548" s="103">
        <v>1961.1711643940901</v>
      </c>
      <c r="F2548" s="103">
        <v>2035.66225357177</v>
      </c>
    </row>
    <row r="2549" spans="1:6" hidden="1" x14ac:dyDescent="0.2">
      <c r="A2549" s="102" t="s">
        <v>181</v>
      </c>
      <c r="B2549" s="102" t="s">
        <v>12</v>
      </c>
      <c r="C2549" s="102" t="s">
        <v>155</v>
      </c>
      <c r="D2549" s="103">
        <v>104405.922318065</v>
      </c>
      <c r="E2549" s="103">
        <v>52864.692058772402</v>
      </c>
      <c r="F2549" s="103">
        <v>51141.109344923403</v>
      </c>
    </row>
    <row r="2550" spans="1:6" hidden="1" x14ac:dyDescent="0.2">
      <c r="A2550" s="102" t="s">
        <v>181</v>
      </c>
      <c r="B2550" s="102" t="s">
        <v>12</v>
      </c>
      <c r="C2550" s="102" t="s">
        <v>156</v>
      </c>
      <c r="D2550" s="103">
        <v>116760.077681935</v>
      </c>
      <c r="E2550" s="103">
        <v>59319.307941227496</v>
      </c>
      <c r="F2550" s="103">
        <v>57840.890655076502</v>
      </c>
    </row>
    <row r="2551" spans="1:6" hidden="1" x14ac:dyDescent="0.2">
      <c r="A2551" s="102" t="s">
        <v>181</v>
      </c>
      <c r="B2551" s="102" t="s">
        <v>12</v>
      </c>
      <c r="C2551" s="102" t="s">
        <v>157</v>
      </c>
      <c r="D2551" s="104">
        <v>3.3944529060314399</v>
      </c>
      <c r="E2551" s="104">
        <v>3.4963473657457298</v>
      </c>
      <c r="F2551" s="104">
        <v>3.7357770156021601</v>
      </c>
    </row>
    <row r="2552" spans="1:6" hidden="1" x14ac:dyDescent="0.2">
      <c r="A2552" s="102" t="s">
        <v>181</v>
      </c>
      <c r="B2552" s="102" t="s">
        <v>12</v>
      </c>
      <c r="C2552" s="102" t="s">
        <v>158</v>
      </c>
      <c r="D2552" s="104">
        <v>1.2754396690441301</v>
      </c>
      <c r="E2552" s="104">
        <v>1.25022782233317</v>
      </c>
      <c r="F2552" s="104">
        <v>1.3995742380857401</v>
      </c>
    </row>
    <row r="2553" spans="1:6" hidden="1" x14ac:dyDescent="0.2">
      <c r="A2553" s="95" t="s">
        <v>181</v>
      </c>
      <c r="B2553" s="95" t="s">
        <v>13</v>
      </c>
      <c r="C2553" s="95" t="s">
        <v>153</v>
      </c>
      <c r="D2553" s="96">
        <v>83487</v>
      </c>
      <c r="E2553" s="96">
        <v>42348</v>
      </c>
      <c r="F2553" s="96">
        <v>41139</v>
      </c>
    </row>
    <row r="2554" spans="1:6" hidden="1" x14ac:dyDescent="0.2">
      <c r="A2554" s="97" t="s">
        <v>181</v>
      </c>
      <c r="B2554" s="97" t="s">
        <v>13</v>
      </c>
      <c r="C2554" s="97" t="s">
        <v>154</v>
      </c>
      <c r="D2554" s="98">
        <v>2703.1609608694498</v>
      </c>
      <c r="E2554" s="98">
        <v>1498.21418289349</v>
      </c>
      <c r="F2554" s="98">
        <v>1419.7296912136501</v>
      </c>
    </row>
    <row r="2555" spans="1:6" hidden="1" x14ac:dyDescent="0.2">
      <c r="A2555" s="97" t="s">
        <v>181</v>
      </c>
      <c r="B2555" s="97" t="s">
        <v>13</v>
      </c>
      <c r="C2555" s="97" t="s">
        <v>155</v>
      </c>
      <c r="D2555" s="98">
        <v>79038.671881670904</v>
      </c>
      <c r="E2555" s="98">
        <v>39882.535170668903</v>
      </c>
      <c r="F2555" s="98">
        <v>38802.6894371909</v>
      </c>
    </row>
    <row r="2556" spans="1:6" hidden="1" x14ac:dyDescent="0.2">
      <c r="A2556" s="97" t="s">
        <v>181</v>
      </c>
      <c r="B2556" s="97" t="s">
        <v>13</v>
      </c>
      <c r="C2556" s="97" t="s">
        <v>156</v>
      </c>
      <c r="D2556" s="98">
        <v>87935.328118328995</v>
      </c>
      <c r="E2556" s="98">
        <v>44813.464829331097</v>
      </c>
      <c r="F2556" s="98">
        <v>43475.310562808998</v>
      </c>
    </row>
    <row r="2557" spans="1:6" hidden="1" x14ac:dyDescent="0.2">
      <c r="A2557" s="97" t="s">
        <v>181</v>
      </c>
      <c r="B2557" s="97" t="s">
        <v>13</v>
      </c>
      <c r="C2557" s="97" t="s">
        <v>157</v>
      </c>
      <c r="D2557" s="99">
        <v>3.2378226081539099</v>
      </c>
      <c r="E2557" s="99">
        <v>3.5378629047263099</v>
      </c>
      <c r="F2557" s="99">
        <v>3.4510554248125902</v>
      </c>
    </row>
    <row r="2558" spans="1:6" hidden="1" x14ac:dyDescent="0.2">
      <c r="A2558" s="97" t="s">
        <v>181</v>
      </c>
      <c r="B2558" s="97" t="s">
        <v>13</v>
      </c>
      <c r="C2558" s="97" t="s">
        <v>158</v>
      </c>
      <c r="D2558" s="99">
        <v>1.20926938239446</v>
      </c>
      <c r="E2558" s="99">
        <v>1.27378301287758</v>
      </c>
      <c r="F2558" s="99">
        <v>1.2488910324784399</v>
      </c>
    </row>
    <row r="2559" spans="1:6" hidden="1" x14ac:dyDescent="0.2">
      <c r="A2559" s="100" t="s">
        <v>181</v>
      </c>
      <c r="B2559" s="100" t="s">
        <v>14</v>
      </c>
      <c r="C2559" s="100" t="s">
        <v>153</v>
      </c>
      <c r="D2559" s="101">
        <v>67538</v>
      </c>
      <c r="E2559" s="101">
        <v>33146</v>
      </c>
      <c r="F2559" s="101">
        <v>34392</v>
      </c>
    </row>
    <row r="2560" spans="1:6" hidden="1" x14ac:dyDescent="0.2">
      <c r="A2560" s="102" t="s">
        <v>181</v>
      </c>
      <c r="B2560" s="102" t="s">
        <v>14</v>
      </c>
      <c r="C2560" s="102" t="s">
        <v>154</v>
      </c>
      <c r="D2560" s="103">
        <v>2399.5154417195899</v>
      </c>
      <c r="E2560" s="103">
        <v>1235.3192231140099</v>
      </c>
      <c r="F2560" s="103">
        <v>1375.0079950643701</v>
      </c>
    </row>
    <row r="2561" spans="1:6" hidden="1" x14ac:dyDescent="0.2">
      <c r="A2561" s="102" t="s">
        <v>181</v>
      </c>
      <c r="B2561" s="102" t="s">
        <v>14</v>
      </c>
      <c r="C2561" s="102" t="s">
        <v>155</v>
      </c>
      <c r="D2561" s="103">
        <v>63589.351671513898</v>
      </c>
      <c r="E2561" s="103">
        <v>31113.155742911</v>
      </c>
      <c r="F2561" s="103">
        <v>32129.283566937502</v>
      </c>
    </row>
    <row r="2562" spans="1:6" hidden="1" x14ac:dyDescent="0.2">
      <c r="A2562" s="102" t="s">
        <v>181</v>
      </c>
      <c r="B2562" s="102" t="s">
        <v>14</v>
      </c>
      <c r="C2562" s="102" t="s">
        <v>156</v>
      </c>
      <c r="D2562" s="103">
        <v>71486.648328486001</v>
      </c>
      <c r="E2562" s="103">
        <v>35178.844257088902</v>
      </c>
      <c r="F2562" s="103">
        <v>36654.7164330624</v>
      </c>
    </row>
    <row r="2563" spans="1:6" hidden="1" x14ac:dyDescent="0.2">
      <c r="A2563" s="102" t="s">
        <v>181</v>
      </c>
      <c r="B2563" s="102" t="s">
        <v>14</v>
      </c>
      <c r="C2563" s="102" t="s">
        <v>157</v>
      </c>
      <c r="D2563" s="104">
        <v>3.5528375754680201</v>
      </c>
      <c r="E2563" s="104">
        <v>3.72690286343455</v>
      </c>
      <c r="F2563" s="104">
        <v>3.9980460428715201</v>
      </c>
    </row>
    <row r="2564" spans="1:6" hidden="1" x14ac:dyDescent="0.2">
      <c r="A2564" s="102" t="s">
        <v>181</v>
      </c>
      <c r="B2564" s="102" t="s">
        <v>14</v>
      </c>
      <c r="C2564" s="102" t="s">
        <v>158</v>
      </c>
      <c r="D2564" s="104">
        <v>1.4517728885090999</v>
      </c>
      <c r="E2564" s="104">
        <v>1.4143688844164599</v>
      </c>
      <c r="F2564" s="104">
        <v>1.5975050107302999</v>
      </c>
    </row>
    <row r="2565" spans="1:6" hidden="1" x14ac:dyDescent="0.2">
      <c r="A2565" s="95" t="s">
        <v>181</v>
      </c>
      <c r="B2565" s="95" t="s">
        <v>15</v>
      </c>
      <c r="C2565" s="95" t="s">
        <v>153</v>
      </c>
      <c r="D2565" s="96">
        <v>47557</v>
      </c>
      <c r="E2565" s="96">
        <v>23132</v>
      </c>
      <c r="F2565" s="96">
        <v>24425</v>
      </c>
    </row>
    <row r="2566" spans="1:6" hidden="1" x14ac:dyDescent="0.2">
      <c r="A2566" s="97" t="s">
        <v>181</v>
      </c>
      <c r="B2566" s="97" t="s">
        <v>15</v>
      </c>
      <c r="C2566" s="97" t="s">
        <v>154</v>
      </c>
      <c r="D2566" s="98">
        <v>1611.36890878093</v>
      </c>
      <c r="E2566" s="98">
        <v>881.08946643773095</v>
      </c>
      <c r="F2566" s="98">
        <v>963.37089930810805</v>
      </c>
    </row>
    <row r="2567" spans="1:6" hidden="1" x14ac:dyDescent="0.2">
      <c r="A2567" s="97" t="s">
        <v>181</v>
      </c>
      <c r="B2567" s="97" t="s">
        <v>15</v>
      </c>
      <c r="C2567" s="97" t="s">
        <v>155</v>
      </c>
      <c r="D2567" s="98">
        <v>44905.327484122099</v>
      </c>
      <c r="E2567" s="98">
        <v>21682.077074560199</v>
      </c>
      <c r="F2567" s="98">
        <v>22839.6745525675</v>
      </c>
    </row>
    <row r="2568" spans="1:6" hidden="1" x14ac:dyDescent="0.2">
      <c r="A2568" s="97" t="s">
        <v>181</v>
      </c>
      <c r="B2568" s="97" t="s">
        <v>15</v>
      </c>
      <c r="C2568" s="97" t="s">
        <v>156</v>
      </c>
      <c r="D2568" s="98">
        <v>50208.672515877799</v>
      </c>
      <c r="E2568" s="98">
        <v>24581.922925439801</v>
      </c>
      <c r="F2568" s="98">
        <v>26010.325447432399</v>
      </c>
    </row>
    <row r="2569" spans="1:6" hidden="1" x14ac:dyDescent="0.2">
      <c r="A2569" s="97" t="s">
        <v>181</v>
      </c>
      <c r="B2569" s="97" t="s">
        <v>15</v>
      </c>
      <c r="C2569" s="97" t="s">
        <v>157</v>
      </c>
      <c r="D2569" s="99">
        <v>3.3882896498537201</v>
      </c>
      <c r="E2569" s="99">
        <v>3.80896362803791</v>
      </c>
      <c r="F2569" s="99">
        <v>3.94420020187557</v>
      </c>
    </row>
    <row r="2570" spans="1:6" hidden="1" x14ac:dyDescent="0.2">
      <c r="A2570" s="97" t="s">
        <v>181</v>
      </c>
      <c r="B2570" s="97" t="s">
        <v>15</v>
      </c>
      <c r="C2570" s="97" t="s">
        <v>158</v>
      </c>
      <c r="D2570" s="99">
        <v>1.2618695212100399</v>
      </c>
      <c r="E2570" s="99">
        <v>1.32872225031311</v>
      </c>
      <c r="F2570" s="99">
        <v>1.4343387397173999</v>
      </c>
    </row>
    <row r="2571" spans="1:6" hidden="1" x14ac:dyDescent="0.2">
      <c r="A2571" s="100" t="s">
        <v>181</v>
      </c>
      <c r="B2571" s="100" t="s">
        <v>16</v>
      </c>
      <c r="C2571" s="100" t="s">
        <v>153</v>
      </c>
      <c r="D2571" s="101">
        <v>34910</v>
      </c>
      <c r="E2571" s="101">
        <v>17402</v>
      </c>
      <c r="F2571" s="101">
        <v>17508</v>
      </c>
    </row>
    <row r="2572" spans="1:6" hidden="1" x14ac:dyDescent="0.2">
      <c r="A2572" s="102" t="s">
        <v>181</v>
      </c>
      <c r="B2572" s="102" t="s">
        <v>16</v>
      </c>
      <c r="C2572" s="102" t="s">
        <v>154</v>
      </c>
      <c r="D2572" s="103">
        <v>1296.8724581705801</v>
      </c>
      <c r="E2572" s="103">
        <v>766.42711001002795</v>
      </c>
      <c r="F2572" s="103">
        <v>754.607800976156</v>
      </c>
    </row>
    <row r="2573" spans="1:6" hidden="1" x14ac:dyDescent="0.2">
      <c r="A2573" s="102" t="s">
        <v>181</v>
      </c>
      <c r="B2573" s="102" t="s">
        <v>16</v>
      </c>
      <c r="C2573" s="102" t="s">
        <v>155</v>
      </c>
      <c r="D2573" s="103">
        <v>32775.863592632202</v>
      </c>
      <c r="E2573" s="103">
        <v>16140.7657215163</v>
      </c>
      <c r="F2573" s="103">
        <v>16266.215604625701</v>
      </c>
    </row>
    <row r="2574" spans="1:6" hidden="1" x14ac:dyDescent="0.2">
      <c r="A2574" s="102" t="s">
        <v>181</v>
      </c>
      <c r="B2574" s="102" t="s">
        <v>16</v>
      </c>
      <c r="C2574" s="102" t="s">
        <v>156</v>
      </c>
      <c r="D2574" s="103">
        <v>37044.136407367703</v>
      </c>
      <c r="E2574" s="103">
        <v>18663.2342784836</v>
      </c>
      <c r="F2574" s="103">
        <v>18749.784395374201</v>
      </c>
    </row>
    <row r="2575" spans="1:6" hidden="1" x14ac:dyDescent="0.2">
      <c r="A2575" s="102" t="s">
        <v>181</v>
      </c>
      <c r="B2575" s="102" t="s">
        <v>16</v>
      </c>
      <c r="C2575" s="102" t="s">
        <v>157</v>
      </c>
      <c r="D2575" s="104">
        <v>3.71490248688223</v>
      </c>
      <c r="E2575" s="104">
        <v>4.4042472704863096</v>
      </c>
      <c r="F2575" s="104">
        <v>4.3100742573461002</v>
      </c>
    </row>
    <row r="2576" spans="1:6" hidden="1" x14ac:dyDescent="0.2">
      <c r="A2576" s="102" t="s">
        <v>181</v>
      </c>
      <c r="B2576" s="102" t="s">
        <v>16</v>
      </c>
      <c r="C2576" s="102" t="s">
        <v>158</v>
      </c>
      <c r="D2576" s="104">
        <v>1.3914289156800399</v>
      </c>
      <c r="E2576" s="104">
        <v>1.5332311967907799</v>
      </c>
      <c r="F2576" s="104">
        <v>1.5578382727454101</v>
      </c>
    </row>
    <row r="2577" spans="1:6" hidden="1" x14ac:dyDescent="0.2">
      <c r="A2577" s="95" t="s">
        <v>181</v>
      </c>
      <c r="B2577" s="95" t="s">
        <v>17</v>
      </c>
      <c r="C2577" s="95" t="s">
        <v>153</v>
      </c>
      <c r="D2577" s="96">
        <v>23678</v>
      </c>
      <c r="E2577" s="96">
        <v>12451</v>
      </c>
      <c r="F2577" s="96">
        <v>11227</v>
      </c>
    </row>
    <row r="2578" spans="1:6" hidden="1" x14ac:dyDescent="0.2">
      <c r="A2578" s="97" t="s">
        <v>181</v>
      </c>
      <c r="B2578" s="97" t="s">
        <v>17</v>
      </c>
      <c r="C2578" s="97" t="s">
        <v>154</v>
      </c>
      <c r="D2578" s="98">
        <v>964.57110160039804</v>
      </c>
      <c r="E2578" s="98">
        <v>602.90987559970597</v>
      </c>
      <c r="F2578" s="98">
        <v>532.96030820732506</v>
      </c>
    </row>
    <row r="2579" spans="1:6" hidden="1" x14ac:dyDescent="0.2">
      <c r="A2579" s="97" t="s">
        <v>181</v>
      </c>
      <c r="B2579" s="97" t="s">
        <v>17</v>
      </c>
      <c r="C2579" s="97" t="s">
        <v>155</v>
      </c>
      <c r="D2579" s="98">
        <v>22090.699496815501</v>
      </c>
      <c r="E2579" s="98">
        <v>11458.8500720927</v>
      </c>
      <c r="F2579" s="98">
        <v>10349.959246870199</v>
      </c>
    </row>
    <row r="2580" spans="1:6" hidden="1" x14ac:dyDescent="0.2">
      <c r="A2580" s="97" t="s">
        <v>181</v>
      </c>
      <c r="B2580" s="97" t="s">
        <v>17</v>
      </c>
      <c r="C2580" s="97" t="s">
        <v>156</v>
      </c>
      <c r="D2580" s="98">
        <v>25265.3005031844</v>
      </c>
      <c r="E2580" s="98">
        <v>13443.1499279072</v>
      </c>
      <c r="F2580" s="98">
        <v>12104.040753129701</v>
      </c>
    </row>
    <row r="2581" spans="1:6" hidden="1" x14ac:dyDescent="0.2">
      <c r="A2581" s="97" t="s">
        <v>181</v>
      </c>
      <c r="B2581" s="97" t="s">
        <v>17</v>
      </c>
      <c r="C2581" s="97" t="s">
        <v>157</v>
      </c>
      <c r="D2581" s="99">
        <v>4.0737017552174901</v>
      </c>
      <c r="E2581" s="99">
        <v>4.8422606666107599</v>
      </c>
      <c r="F2581" s="99">
        <v>4.7471302058192304</v>
      </c>
    </row>
    <row r="2582" spans="1:6" hidden="1" x14ac:dyDescent="0.2">
      <c r="A2582" s="97" t="s">
        <v>181</v>
      </c>
      <c r="B2582" s="97" t="s">
        <v>17</v>
      </c>
      <c r="C2582" s="97" t="s">
        <v>158</v>
      </c>
      <c r="D2582" s="99">
        <v>1.41225587570239</v>
      </c>
      <c r="E2582" s="99">
        <v>1.6515589140072</v>
      </c>
      <c r="F2582" s="99">
        <v>1.4217931622022499</v>
      </c>
    </row>
    <row r="2583" spans="1:6" hidden="1" x14ac:dyDescent="0.2">
      <c r="A2583" s="100" t="s">
        <v>181</v>
      </c>
      <c r="B2583" s="100" t="s">
        <v>18</v>
      </c>
      <c r="C2583" s="100" t="s">
        <v>153</v>
      </c>
      <c r="D2583" s="101">
        <v>15582</v>
      </c>
      <c r="E2583" s="101">
        <v>8010</v>
      </c>
      <c r="F2583" s="101">
        <v>7572</v>
      </c>
    </row>
    <row r="2584" spans="1:6" hidden="1" x14ac:dyDescent="0.2">
      <c r="A2584" s="102" t="s">
        <v>181</v>
      </c>
      <c r="B2584" s="102" t="s">
        <v>18</v>
      </c>
      <c r="C2584" s="102" t="s">
        <v>154</v>
      </c>
      <c r="D2584" s="103">
        <v>700.63567091782295</v>
      </c>
      <c r="E2584" s="103">
        <v>399.76116449383602</v>
      </c>
      <c r="F2584" s="103">
        <v>438.62101563624202</v>
      </c>
    </row>
    <row r="2585" spans="1:6" hidden="1" x14ac:dyDescent="0.2">
      <c r="A2585" s="102" t="s">
        <v>181</v>
      </c>
      <c r="B2585" s="102" t="s">
        <v>18</v>
      </c>
      <c r="C2585" s="102" t="s">
        <v>155</v>
      </c>
      <c r="D2585" s="103">
        <v>14429.032270455</v>
      </c>
      <c r="E2585" s="103">
        <v>7352.15207515355</v>
      </c>
      <c r="F2585" s="103">
        <v>6850.2042115179202</v>
      </c>
    </row>
    <row r="2586" spans="1:6" hidden="1" x14ac:dyDescent="0.2">
      <c r="A2586" s="102" t="s">
        <v>181</v>
      </c>
      <c r="B2586" s="102" t="s">
        <v>18</v>
      </c>
      <c r="C2586" s="102" t="s">
        <v>156</v>
      </c>
      <c r="D2586" s="103">
        <v>16734.9677295449</v>
      </c>
      <c r="E2586" s="103">
        <v>8667.8479248464391</v>
      </c>
      <c r="F2586" s="103">
        <v>8293.7957884820698</v>
      </c>
    </row>
    <row r="2587" spans="1:6" hidden="1" x14ac:dyDescent="0.2">
      <c r="A2587" s="102" t="s">
        <v>181</v>
      </c>
      <c r="B2587" s="102" t="s">
        <v>18</v>
      </c>
      <c r="C2587" s="102" t="s">
        <v>157</v>
      </c>
      <c r="D2587" s="104">
        <v>4.4964425036440998</v>
      </c>
      <c r="E2587" s="104">
        <v>4.9907760860653703</v>
      </c>
      <c r="F2587" s="104">
        <v>5.7926705710016098</v>
      </c>
    </row>
    <row r="2588" spans="1:6" hidden="1" x14ac:dyDescent="0.2">
      <c r="A2588" s="102" t="s">
        <v>181</v>
      </c>
      <c r="B2588" s="102" t="s">
        <v>18</v>
      </c>
      <c r="C2588" s="102" t="s">
        <v>158</v>
      </c>
      <c r="D2588" s="104">
        <v>1.5241230486563899</v>
      </c>
      <c r="E2588" s="104">
        <v>1.4006400858197801</v>
      </c>
      <c r="F2588" s="104">
        <v>1.88936689032587</v>
      </c>
    </row>
    <row r="2589" spans="1:6" hidden="1" x14ac:dyDescent="0.2">
      <c r="A2589" s="95" t="s">
        <v>181</v>
      </c>
      <c r="B2589" s="95" t="s">
        <v>19</v>
      </c>
      <c r="C2589" s="95" t="s">
        <v>153</v>
      </c>
      <c r="D2589" s="96">
        <v>19615</v>
      </c>
      <c r="E2589" s="96">
        <v>9296</v>
      </c>
      <c r="F2589" s="96">
        <v>10319</v>
      </c>
    </row>
    <row r="2590" spans="1:6" hidden="1" x14ac:dyDescent="0.2">
      <c r="A2590" s="97" t="s">
        <v>181</v>
      </c>
      <c r="B2590" s="97" t="s">
        <v>19</v>
      </c>
      <c r="C2590" s="97" t="s">
        <v>154</v>
      </c>
      <c r="D2590" s="98">
        <v>839.60036112038802</v>
      </c>
      <c r="E2590" s="98">
        <v>432.33936443689402</v>
      </c>
      <c r="F2590" s="98">
        <v>557.27723422054999</v>
      </c>
    </row>
    <row r="2591" spans="1:6" hidden="1" x14ac:dyDescent="0.2">
      <c r="A2591" s="97" t="s">
        <v>181</v>
      </c>
      <c r="B2591" s="97" t="s">
        <v>19</v>
      </c>
      <c r="C2591" s="97" t="s">
        <v>155</v>
      </c>
      <c r="D2591" s="98">
        <v>18233.351645131101</v>
      </c>
      <c r="E2591" s="98">
        <v>8584.5413116995605</v>
      </c>
      <c r="F2591" s="98">
        <v>9401.9432554802206</v>
      </c>
    </row>
    <row r="2592" spans="1:6" hidden="1" x14ac:dyDescent="0.2">
      <c r="A2592" s="97" t="s">
        <v>181</v>
      </c>
      <c r="B2592" s="97" t="s">
        <v>19</v>
      </c>
      <c r="C2592" s="97" t="s">
        <v>156</v>
      </c>
      <c r="D2592" s="98">
        <v>20996.648354868801</v>
      </c>
      <c r="E2592" s="98">
        <v>10007.458688300399</v>
      </c>
      <c r="F2592" s="98">
        <v>11236.056744519699</v>
      </c>
    </row>
    <row r="2593" spans="1:6" hidden="1" x14ac:dyDescent="0.2">
      <c r="A2593" s="97" t="s">
        <v>181</v>
      </c>
      <c r="B2593" s="97" t="s">
        <v>19</v>
      </c>
      <c r="C2593" s="97" t="s">
        <v>157</v>
      </c>
      <c r="D2593" s="99">
        <v>4.2803994958979699</v>
      </c>
      <c r="E2593" s="99">
        <v>4.6508107189855199</v>
      </c>
      <c r="F2593" s="99">
        <v>5.40049650373631</v>
      </c>
    </row>
    <row r="2594" spans="1:6" hidden="1" x14ac:dyDescent="0.2">
      <c r="A2594" s="97" t="s">
        <v>181</v>
      </c>
      <c r="B2594" s="97" t="s">
        <v>19</v>
      </c>
      <c r="C2594" s="97" t="s">
        <v>158</v>
      </c>
      <c r="D2594" s="99">
        <v>1.3307402380417599</v>
      </c>
      <c r="E2594" s="99">
        <v>1.1731357902666599</v>
      </c>
      <c r="F2594" s="99">
        <v>1.6935072899211701</v>
      </c>
    </row>
    <row r="2595" spans="1:6" hidden="1" x14ac:dyDescent="0.2">
      <c r="A2595" s="100" t="s">
        <v>181</v>
      </c>
      <c r="B2595" s="100" t="s">
        <v>20</v>
      </c>
      <c r="C2595" s="100" t="s">
        <v>153</v>
      </c>
      <c r="D2595" s="101">
        <v>1264</v>
      </c>
      <c r="E2595" s="101">
        <v>696</v>
      </c>
      <c r="F2595" s="101">
        <v>568</v>
      </c>
    </row>
    <row r="2596" spans="1:6" hidden="1" x14ac:dyDescent="0.2">
      <c r="A2596" s="102" t="s">
        <v>181</v>
      </c>
      <c r="B2596" s="102" t="s">
        <v>20</v>
      </c>
      <c r="C2596" s="102" t="s">
        <v>154</v>
      </c>
      <c r="D2596" s="103">
        <v>237.51004781920699</v>
      </c>
      <c r="E2596" s="103">
        <v>158.421784467458</v>
      </c>
      <c r="F2596" s="103">
        <v>129.807891400344</v>
      </c>
    </row>
    <row r="2597" spans="1:6" hidden="1" x14ac:dyDescent="0.2">
      <c r="A2597" s="102" t="s">
        <v>181</v>
      </c>
      <c r="B2597" s="102" t="s">
        <v>20</v>
      </c>
      <c r="C2597" s="102" t="s">
        <v>155</v>
      </c>
      <c r="D2597" s="103">
        <v>873.15289936710701</v>
      </c>
      <c r="E2597" s="103">
        <v>435.30073399114502</v>
      </c>
      <c r="F2597" s="103">
        <v>354.38782460389399</v>
      </c>
    </row>
    <row r="2598" spans="1:6" hidden="1" x14ac:dyDescent="0.2">
      <c r="A2598" s="102" t="s">
        <v>181</v>
      </c>
      <c r="B2598" s="102" t="s">
        <v>20</v>
      </c>
      <c r="C2598" s="102" t="s">
        <v>156</v>
      </c>
      <c r="D2598" s="103">
        <v>1654.84710063289</v>
      </c>
      <c r="E2598" s="103">
        <v>956.69926600885401</v>
      </c>
      <c r="F2598" s="103">
        <v>781.61217539610504</v>
      </c>
    </row>
    <row r="2599" spans="1:6" hidden="1" x14ac:dyDescent="0.2">
      <c r="A2599" s="102" t="s">
        <v>181</v>
      </c>
      <c r="B2599" s="102" t="s">
        <v>20</v>
      </c>
      <c r="C2599" s="102" t="s">
        <v>157</v>
      </c>
      <c r="D2599" s="104">
        <v>18.790351884430901</v>
      </c>
      <c r="E2599" s="104">
        <v>22.761750641876201</v>
      </c>
      <c r="F2599" s="104">
        <v>22.853502007102801</v>
      </c>
    </row>
    <row r="2600" spans="1:6" hidden="1" x14ac:dyDescent="0.2">
      <c r="A2600" s="102" t="s">
        <v>181</v>
      </c>
      <c r="B2600" s="102" t="s">
        <v>20</v>
      </c>
      <c r="C2600" s="102" t="s">
        <v>158</v>
      </c>
      <c r="D2600" s="104">
        <v>2.7867445495051801</v>
      </c>
      <c r="E2600" s="104">
        <v>3.4586173840483299</v>
      </c>
      <c r="F2600" s="104">
        <v>2.3210157238861</v>
      </c>
    </row>
    <row r="2601" spans="1:6" hidden="1" x14ac:dyDescent="0.2">
      <c r="A2601" s="95" t="s">
        <v>182</v>
      </c>
      <c r="B2601" s="95" t="s">
        <v>152</v>
      </c>
      <c r="C2601" s="95" t="s">
        <v>153</v>
      </c>
      <c r="D2601" s="96">
        <v>2717820</v>
      </c>
      <c r="E2601" s="96">
        <v>1317525</v>
      </c>
      <c r="F2601" s="96">
        <v>1400295</v>
      </c>
    </row>
    <row r="2602" spans="1:6" hidden="1" x14ac:dyDescent="0.2">
      <c r="A2602" s="97" t="s">
        <v>182</v>
      </c>
      <c r="B2602" s="97" t="s">
        <v>152</v>
      </c>
      <c r="C2602" s="97" t="s">
        <v>154</v>
      </c>
      <c r="D2602" s="98">
        <v>37811.270913511798</v>
      </c>
      <c r="E2602" s="98">
        <v>18560.887126403999</v>
      </c>
      <c r="F2602" s="98">
        <v>19591.885559713999</v>
      </c>
    </row>
    <row r="2603" spans="1:6" hidden="1" x14ac:dyDescent="0.2">
      <c r="A2603" s="97" t="s">
        <v>182</v>
      </c>
      <c r="B2603" s="97" t="s">
        <v>152</v>
      </c>
      <c r="C2603" s="97" t="s">
        <v>155</v>
      </c>
      <c r="D2603" s="98">
        <v>2655618.7603569999</v>
      </c>
      <c r="E2603" s="98">
        <v>1286991.5066726501</v>
      </c>
      <c r="F2603" s="98">
        <v>1368065.4679235599</v>
      </c>
    </row>
    <row r="2604" spans="1:6" hidden="1" x14ac:dyDescent="0.2">
      <c r="A2604" s="97" t="s">
        <v>182</v>
      </c>
      <c r="B2604" s="97" t="s">
        <v>152</v>
      </c>
      <c r="C2604" s="97" t="s">
        <v>156</v>
      </c>
      <c r="D2604" s="98">
        <v>2780021.2396429898</v>
      </c>
      <c r="E2604" s="98">
        <v>1348058.4933273401</v>
      </c>
      <c r="F2604" s="98">
        <v>1432524.5320764401</v>
      </c>
    </row>
    <row r="2605" spans="1:6" hidden="1" x14ac:dyDescent="0.2">
      <c r="A2605" s="97" t="s">
        <v>182</v>
      </c>
      <c r="B2605" s="97" t="s">
        <v>152</v>
      </c>
      <c r="C2605" s="97" t="s">
        <v>157</v>
      </c>
      <c r="D2605" s="99">
        <v>1.39123528833814</v>
      </c>
      <c r="E2605" s="99">
        <v>1.40876925495941</v>
      </c>
      <c r="F2605" s="99">
        <v>1.3991255813749299</v>
      </c>
    </row>
    <row r="2606" spans="1:6" hidden="1" x14ac:dyDescent="0.2">
      <c r="A2606" s="97" t="s">
        <v>182</v>
      </c>
      <c r="B2606" s="97" t="s">
        <v>152</v>
      </c>
      <c r="C2606" s="97" t="s">
        <v>158</v>
      </c>
      <c r="D2606" s="99">
        <v>3.2919514748132399</v>
      </c>
      <c r="E2606" s="99">
        <v>1.65960396823986</v>
      </c>
      <c r="F2606" s="99">
        <v>1.64519175988154</v>
      </c>
    </row>
    <row r="2607" spans="1:6" hidden="1" x14ac:dyDescent="0.2">
      <c r="A2607" s="100" t="s">
        <v>182</v>
      </c>
      <c r="B2607" s="100" t="s">
        <v>4</v>
      </c>
      <c r="C2607" s="100" t="s">
        <v>153</v>
      </c>
      <c r="D2607" s="101">
        <v>237402</v>
      </c>
      <c r="E2607" s="101">
        <v>120260</v>
      </c>
      <c r="F2607" s="101">
        <v>117142</v>
      </c>
    </row>
    <row r="2608" spans="1:6" hidden="1" x14ac:dyDescent="0.2">
      <c r="A2608" s="102" t="s">
        <v>182</v>
      </c>
      <c r="B2608" s="102" t="s">
        <v>4</v>
      </c>
      <c r="C2608" s="102" t="s">
        <v>154</v>
      </c>
      <c r="D2608" s="103">
        <v>3988.8557001283002</v>
      </c>
      <c r="E2608" s="103">
        <v>2258.1525791179602</v>
      </c>
      <c r="F2608" s="103">
        <v>2104.5606039385798</v>
      </c>
    </row>
    <row r="2609" spans="1:6" hidden="1" x14ac:dyDescent="0.2">
      <c r="A2609" s="102" t="s">
        <v>182</v>
      </c>
      <c r="B2609" s="102" t="s">
        <v>4</v>
      </c>
      <c r="C2609" s="102" t="s">
        <v>155</v>
      </c>
      <c r="D2609" s="103">
        <v>230840.153140301</v>
      </c>
      <c r="E2609" s="103">
        <v>116545.237540799</v>
      </c>
      <c r="F2609" s="103">
        <v>113679.903241384</v>
      </c>
    </row>
    <row r="2610" spans="1:6" hidden="1" x14ac:dyDescent="0.2">
      <c r="A2610" s="102" t="s">
        <v>182</v>
      </c>
      <c r="B2610" s="102" t="s">
        <v>4</v>
      </c>
      <c r="C2610" s="102" t="s">
        <v>156</v>
      </c>
      <c r="D2610" s="103">
        <v>243963.84685969801</v>
      </c>
      <c r="E2610" s="103">
        <v>123974.76245920001</v>
      </c>
      <c r="F2610" s="103">
        <v>120604.09675861499</v>
      </c>
    </row>
    <row r="2611" spans="1:6" hidden="1" x14ac:dyDescent="0.2">
      <c r="A2611" s="102" t="s">
        <v>182</v>
      </c>
      <c r="B2611" s="102" t="s">
        <v>4</v>
      </c>
      <c r="C2611" s="102" t="s">
        <v>157</v>
      </c>
      <c r="D2611" s="104">
        <v>1.6802114978510201</v>
      </c>
      <c r="E2611" s="104">
        <v>1.8777254108747401</v>
      </c>
      <c r="F2611" s="104">
        <v>1.79658927108858</v>
      </c>
    </row>
    <row r="2612" spans="1:6" hidden="1" x14ac:dyDescent="0.2">
      <c r="A2612" s="102" t="s">
        <v>182</v>
      </c>
      <c r="B2612" s="102" t="s">
        <v>4</v>
      </c>
      <c r="C2612" s="102" t="s">
        <v>158</v>
      </c>
      <c r="D2612" s="104">
        <v>1.38100959035152</v>
      </c>
      <c r="E2612" s="104">
        <v>1.55573608965592</v>
      </c>
      <c r="F2612" s="104">
        <v>1.39885479859548</v>
      </c>
    </row>
    <row r="2613" spans="1:6" hidden="1" x14ac:dyDescent="0.2">
      <c r="A2613" s="95" t="s">
        <v>182</v>
      </c>
      <c r="B2613" s="95" t="s">
        <v>5</v>
      </c>
      <c r="C2613" s="95" t="s">
        <v>153</v>
      </c>
      <c r="D2613" s="96">
        <v>256994</v>
      </c>
      <c r="E2613" s="96">
        <v>130200</v>
      </c>
      <c r="F2613" s="96">
        <v>126794</v>
      </c>
    </row>
    <row r="2614" spans="1:6" hidden="1" x14ac:dyDescent="0.2">
      <c r="A2614" s="97" t="s">
        <v>182</v>
      </c>
      <c r="B2614" s="97" t="s">
        <v>5</v>
      </c>
      <c r="C2614" s="97" t="s">
        <v>154</v>
      </c>
      <c r="D2614" s="98">
        <v>4150.4677438475901</v>
      </c>
      <c r="E2614" s="98">
        <v>2171.8636934813399</v>
      </c>
      <c r="F2614" s="98">
        <v>2370.1089968106699</v>
      </c>
    </row>
    <row r="2615" spans="1:6" hidden="1" x14ac:dyDescent="0.2">
      <c r="A2615" s="97" t="s">
        <v>182</v>
      </c>
      <c r="B2615" s="97" t="s">
        <v>5</v>
      </c>
      <c r="C2615" s="97" t="s">
        <v>155</v>
      </c>
      <c r="D2615" s="98">
        <v>250166.29406659899</v>
      </c>
      <c r="E2615" s="98">
        <v>126627.186634927</v>
      </c>
      <c r="F2615" s="98">
        <v>122895.06420310801</v>
      </c>
    </row>
    <row r="2616" spans="1:6" hidden="1" x14ac:dyDescent="0.2">
      <c r="A2616" s="97" t="s">
        <v>182</v>
      </c>
      <c r="B2616" s="97" t="s">
        <v>5</v>
      </c>
      <c r="C2616" s="97" t="s">
        <v>156</v>
      </c>
      <c r="D2616" s="98">
        <v>263821.70593340002</v>
      </c>
      <c r="E2616" s="98">
        <v>133772.81336507201</v>
      </c>
      <c r="F2616" s="98">
        <v>130692.935796891</v>
      </c>
    </row>
    <row r="2617" spans="1:6" hidden="1" x14ac:dyDescent="0.2">
      <c r="A2617" s="97" t="s">
        <v>182</v>
      </c>
      <c r="B2617" s="97" t="s">
        <v>5</v>
      </c>
      <c r="C2617" s="97" t="s">
        <v>157</v>
      </c>
      <c r="D2617" s="99">
        <v>1.6150056981281999</v>
      </c>
      <c r="E2617" s="99">
        <v>1.6680980748704599</v>
      </c>
      <c r="F2617" s="99">
        <v>1.8692595839004</v>
      </c>
    </row>
    <row r="2618" spans="1:6" hidden="1" x14ac:dyDescent="0.2">
      <c r="A2618" s="97" t="s">
        <v>182</v>
      </c>
      <c r="B2618" s="97" t="s">
        <v>5</v>
      </c>
      <c r="C2618" s="97" t="s">
        <v>158</v>
      </c>
      <c r="D2618" s="99">
        <v>1.22659205873036</v>
      </c>
      <c r="E2618" s="99">
        <v>1.19510702994886</v>
      </c>
      <c r="F2618" s="99">
        <v>1.4614453385889301</v>
      </c>
    </row>
    <row r="2619" spans="1:6" hidden="1" x14ac:dyDescent="0.2">
      <c r="A2619" s="100" t="s">
        <v>182</v>
      </c>
      <c r="B2619" s="100" t="s">
        <v>6</v>
      </c>
      <c r="C2619" s="100" t="s">
        <v>153</v>
      </c>
      <c r="D2619" s="101">
        <v>279458</v>
      </c>
      <c r="E2619" s="101">
        <v>140785</v>
      </c>
      <c r="F2619" s="101">
        <v>138673</v>
      </c>
    </row>
    <row r="2620" spans="1:6" hidden="1" x14ac:dyDescent="0.2">
      <c r="A2620" s="102" t="s">
        <v>182</v>
      </c>
      <c r="B2620" s="102" t="s">
        <v>6</v>
      </c>
      <c r="C2620" s="102" t="s">
        <v>154</v>
      </c>
      <c r="D2620" s="103">
        <v>4553.1602840277101</v>
      </c>
      <c r="E2620" s="103">
        <v>2456.8254526958399</v>
      </c>
      <c r="F2620" s="103">
        <v>2434.12898217569</v>
      </c>
    </row>
    <row r="2621" spans="1:6" hidden="1" x14ac:dyDescent="0.2">
      <c r="A2621" s="102" t="s">
        <v>182</v>
      </c>
      <c r="B2621" s="102" t="s">
        <v>6</v>
      </c>
      <c r="C2621" s="102" t="s">
        <v>155</v>
      </c>
      <c r="D2621" s="103">
        <v>271967.84674364398</v>
      </c>
      <c r="E2621" s="103">
        <v>136743.41173670901</v>
      </c>
      <c r="F2621" s="103">
        <v>134668.74845054501</v>
      </c>
    </row>
    <row r="2622" spans="1:6" hidden="1" x14ac:dyDescent="0.2">
      <c r="A2622" s="102" t="s">
        <v>182</v>
      </c>
      <c r="B2622" s="102" t="s">
        <v>6</v>
      </c>
      <c r="C2622" s="102" t="s">
        <v>156</v>
      </c>
      <c r="D2622" s="103">
        <v>286948.15325635503</v>
      </c>
      <c r="E2622" s="103">
        <v>144826.58826329</v>
      </c>
      <c r="F2622" s="103">
        <v>142677.251549454</v>
      </c>
    </row>
    <row r="2623" spans="1:6" hidden="1" x14ac:dyDescent="0.2">
      <c r="A2623" s="102" t="s">
        <v>182</v>
      </c>
      <c r="B2623" s="102" t="s">
        <v>6</v>
      </c>
      <c r="C2623" s="102" t="s">
        <v>157</v>
      </c>
      <c r="D2623" s="104">
        <v>1.6292824982744101</v>
      </c>
      <c r="E2623" s="104">
        <v>1.7450903524493699</v>
      </c>
      <c r="F2623" s="104">
        <v>1.7553013075188999</v>
      </c>
    </row>
    <row r="2624" spans="1:6" hidden="1" x14ac:dyDescent="0.2">
      <c r="A2624" s="102" t="s">
        <v>182</v>
      </c>
      <c r="B2624" s="102" t="s">
        <v>6</v>
      </c>
      <c r="C2624" s="102" t="s">
        <v>158</v>
      </c>
      <c r="D2624" s="104">
        <v>1.22659673360511</v>
      </c>
      <c r="E2624" s="104">
        <v>1.2834348034189</v>
      </c>
      <c r="F2624" s="104">
        <v>1.29524390106535</v>
      </c>
    </row>
    <row r="2625" spans="1:6" hidden="1" x14ac:dyDescent="0.2">
      <c r="A2625" s="95" t="s">
        <v>182</v>
      </c>
      <c r="B2625" s="95" t="s">
        <v>7</v>
      </c>
      <c r="C2625" s="95" t="s">
        <v>153</v>
      </c>
      <c r="D2625" s="96">
        <v>257355</v>
      </c>
      <c r="E2625" s="96">
        <v>128583</v>
      </c>
      <c r="F2625" s="96">
        <v>128772</v>
      </c>
    </row>
    <row r="2626" spans="1:6" hidden="1" x14ac:dyDescent="0.2">
      <c r="A2626" s="97" t="s">
        <v>182</v>
      </c>
      <c r="B2626" s="97" t="s">
        <v>7</v>
      </c>
      <c r="C2626" s="97" t="s">
        <v>154</v>
      </c>
      <c r="D2626" s="98">
        <v>4202.4793303030401</v>
      </c>
      <c r="E2626" s="98">
        <v>2296.0704353722599</v>
      </c>
      <c r="F2626" s="98">
        <v>2309.3217206586601</v>
      </c>
    </row>
    <row r="2627" spans="1:6" hidden="1" x14ac:dyDescent="0.2">
      <c r="A2627" s="97" t="s">
        <v>182</v>
      </c>
      <c r="B2627" s="97" t="s">
        <v>7</v>
      </c>
      <c r="C2627" s="97" t="s">
        <v>155</v>
      </c>
      <c r="D2627" s="98">
        <v>250441.73266982101</v>
      </c>
      <c r="E2627" s="98">
        <v>124805.860963481</v>
      </c>
      <c r="F2627" s="98">
        <v>124973.062003759</v>
      </c>
    </row>
    <row r="2628" spans="1:6" hidden="1" x14ac:dyDescent="0.2">
      <c r="A2628" s="97" t="s">
        <v>182</v>
      </c>
      <c r="B2628" s="97" t="s">
        <v>7</v>
      </c>
      <c r="C2628" s="97" t="s">
        <v>156</v>
      </c>
      <c r="D2628" s="98">
        <v>264268.26733017899</v>
      </c>
      <c r="E2628" s="98">
        <v>132360.139036518</v>
      </c>
      <c r="F2628" s="98">
        <v>132570.93799624001</v>
      </c>
    </row>
    <row r="2629" spans="1:6" hidden="1" x14ac:dyDescent="0.2">
      <c r="A2629" s="97" t="s">
        <v>182</v>
      </c>
      <c r="B2629" s="97" t="s">
        <v>7</v>
      </c>
      <c r="C2629" s="97" t="s">
        <v>157</v>
      </c>
      <c r="D2629" s="99">
        <v>1.6329503333150801</v>
      </c>
      <c r="E2629" s="99">
        <v>1.78567185037856</v>
      </c>
      <c r="F2629" s="99">
        <v>1.7933415033226701</v>
      </c>
    </row>
    <row r="2630" spans="1:6" hidden="1" x14ac:dyDescent="0.2">
      <c r="A2630" s="97" t="s">
        <v>182</v>
      </c>
      <c r="B2630" s="97" t="s">
        <v>7</v>
      </c>
      <c r="C2630" s="97" t="s">
        <v>158</v>
      </c>
      <c r="D2630" s="99">
        <v>1.3418072217961301</v>
      </c>
      <c r="E2630" s="99">
        <v>1.4371585097636601</v>
      </c>
      <c r="F2630" s="99">
        <v>1.44843873537598</v>
      </c>
    </row>
    <row r="2631" spans="1:6" hidden="1" x14ac:dyDescent="0.2">
      <c r="A2631" s="100" t="s">
        <v>182</v>
      </c>
      <c r="B2631" s="100" t="s">
        <v>8</v>
      </c>
      <c r="C2631" s="100" t="s">
        <v>153</v>
      </c>
      <c r="D2631" s="101">
        <v>238807</v>
      </c>
      <c r="E2631" s="101">
        <v>117742</v>
      </c>
      <c r="F2631" s="101">
        <v>121065</v>
      </c>
    </row>
    <row r="2632" spans="1:6" hidden="1" x14ac:dyDescent="0.2">
      <c r="A2632" s="102" t="s">
        <v>182</v>
      </c>
      <c r="B2632" s="102" t="s">
        <v>8</v>
      </c>
      <c r="C2632" s="102" t="s">
        <v>154</v>
      </c>
      <c r="D2632" s="103">
        <v>4374.5952591498299</v>
      </c>
      <c r="E2632" s="103">
        <v>2423.6440451215399</v>
      </c>
      <c r="F2632" s="103">
        <v>2296.0952823636298</v>
      </c>
    </row>
    <row r="2633" spans="1:6" hidden="1" x14ac:dyDescent="0.2">
      <c r="A2633" s="102" t="s">
        <v>182</v>
      </c>
      <c r="B2633" s="102" t="s">
        <v>8</v>
      </c>
      <c r="C2633" s="102" t="s">
        <v>155</v>
      </c>
      <c r="D2633" s="103">
        <v>231610.59423310799</v>
      </c>
      <c r="E2633" s="103">
        <v>113754.996643123</v>
      </c>
      <c r="F2633" s="103">
        <v>117287.820089064</v>
      </c>
    </row>
    <row r="2634" spans="1:6" hidden="1" x14ac:dyDescent="0.2">
      <c r="A2634" s="102" t="s">
        <v>182</v>
      </c>
      <c r="B2634" s="102" t="s">
        <v>8</v>
      </c>
      <c r="C2634" s="102" t="s">
        <v>156</v>
      </c>
      <c r="D2634" s="103">
        <v>246003.405766891</v>
      </c>
      <c r="E2634" s="103">
        <v>121729.003356876</v>
      </c>
      <c r="F2634" s="103">
        <v>124842.179910935</v>
      </c>
    </row>
    <row r="2635" spans="1:6" hidden="1" x14ac:dyDescent="0.2">
      <c r="A2635" s="102" t="s">
        <v>182</v>
      </c>
      <c r="B2635" s="102" t="s">
        <v>8</v>
      </c>
      <c r="C2635" s="102" t="s">
        <v>157</v>
      </c>
      <c r="D2635" s="104">
        <v>1.8318538648992</v>
      </c>
      <c r="E2635" s="104">
        <v>2.0584362802751301</v>
      </c>
      <c r="F2635" s="104">
        <v>1.89658058263217</v>
      </c>
    </row>
    <row r="2636" spans="1:6" hidden="1" x14ac:dyDescent="0.2">
      <c r="A2636" s="102" t="s">
        <v>182</v>
      </c>
      <c r="B2636" s="102" t="s">
        <v>8</v>
      </c>
      <c r="C2636" s="102" t="s">
        <v>158</v>
      </c>
      <c r="D2636" s="104">
        <v>1.67771137938176</v>
      </c>
      <c r="E2636" s="104">
        <v>1.89112840447922</v>
      </c>
      <c r="F2636" s="104">
        <v>1.6375762124083499</v>
      </c>
    </row>
    <row r="2637" spans="1:6" hidden="1" x14ac:dyDescent="0.2">
      <c r="A2637" s="95" t="s">
        <v>182</v>
      </c>
      <c r="B2637" s="95" t="s">
        <v>9</v>
      </c>
      <c r="C2637" s="95" t="s">
        <v>153</v>
      </c>
      <c r="D2637" s="96">
        <v>193960</v>
      </c>
      <c r="E2637" s="96">
        <v>90343</v>
      </c>
      <c r="F2637" s="96">
        <v>103617</v>
      </c>
    </row>
    <row r="2638" spans="1:6" hidden="1" x14ac:dyDescent="0.2">
      <c r="A2638" s="97" t="s">
        <v>182</v>
      </c>
      <c r="B2638" s="97" t="s">
        <v>9</v>
      </c>
      <c r="C2638" s="97" t="s">
        <v>154</v>
      </c>
      <c r="D2638" s="98">
        <v>3585.95185516129</v>
      </c>
      <c r="E2638" s="98">
        <v>1820.71725957223</v>
      </c>
      <c r="F2638" s="98">
        <v>2033.78222862284</v>
      </c>
    </row>
    <row r="2639" spans="1:6" hidden="1" x14ac:dyDescent="0.2">
      <c r="A2639" s="97" t="s">
        <v>182</v>
      </c>
      <c r="B2639" s="97" t="s">
        <v>9</v>
      </c>
      <c r="C2639" s="97" t="s">
        <v>155</v>
      </c>
      <c r="D2639" s="98">
        <v>188060.948069126</v>
      </c>
      <c r="E2639" s="98">
        <v>87347.838296923597</v>
      </c>
      <c r="F2639" s="98">
        <v>100271.336849094</v>
      </c>
    </row>
    <row r="2640" spans="1:6" hidden="1" x14ac:dyDescent="0.2">
      <c r="A2640" s="97" t="s">
        <v>182</v>
      </c>
      <c r="B2640" s="97" t="s">
        <v>9</v>
      </c>
      <c r="C2640" s="97" t="s">
        <v>156</v>
      </c>
      <c r="D2640" s="98">
        <v>199859.05193087301</v>
      </c>
      <c r="E2640" s="98">
        <v>93338.161703076403</v>
      </c>
      <c r="F2640" s="98">
        <v>106962.66315090501</v>
      </c>
    </row>
    <row r="2641" spans="1:6" hidden="1" x14ac:dyDescent="0.2">
      <c r="A2641" s="97" t="s">
        <v>182</v>
      </c>
      <c r="B2641" s="97" t="s">
        <v>9</v>
      </c>
      <c r="C2641" s="97" t="s">
        <v>157</v>
      </c>
      <c r="D2641" s="99">
        <v>1.84880998925618</v>
      </c>
      <c r="E2641" s="99">
        <v>2.0153384983587399</v>
      </c>
      <c r="F2641" s="99">
        <v>1.96278818014693</v>
      </c>
    </row>
    <row r="2642" spans="1:6" hidden="1" x14ac:dyDescent="0.2">
      <c r="A2642" s="97" t="s">
        <v>182</v>
      </c>
      <c r="B2642" s="97" t="s">
        <v>9</v>
      </c>
      <c r="C2642" s="97" t="s">
        <v>158</v>
      </c>
      <c r="D2642" s="99">
        <v>1.66279518452222</v>
      </c>
      <c r="E2642" s="99">
        <v>1.7361437885376501</v>
      </c>
      <c r="F2642" s="99">
        <v>1.7131603940986699</v>
      </c>
    </row>
    <row r="2643" spans="1:6" hidden="1" x14ac:dyDescent="0.2">
      <c r="A2643" s="100" t="s">
        <v>182</v>
      </c>
      <c r="B2643" s="100" t="s">
        <v>10</v>
      </c>
      <c r="C2643" s="100" t="s">
        <v>153</v>
      </c>
      <c r="D2643" s="101">
        <v>192619</v>
      </c>
      <c r="E2643" s="101">
        <v>90145</v>
      </c>
      <c r="F2643" s="101">
        <v>102474</v>
      </c>
    </row>
    <row r="2644" spans="1:6" hidden="1" x14ac:dyDescent="0.2">
      <c r="A2644" s="102" t="s">
        <v>182</v>
      </c>
      <c r="B2644" s="102" t="s">
        <v>10</v>
      </c>
      <c r="C2644" s="102" t="s">
        <v>154</v>
      </c>
      <c r="D2644" s="103">
        <v>3672.2840697817101</v>
      </c>
      <c r="E2644" s="103">
        <v>1944.29023050365</v>
      </c>
      <c r="F2644" s="103">
        <v>1962.6585400359099</v>
      </c>
    </row>
    <row r="2645" spans="1:6" hidden="1" x14ac:dyDescent="0.2">
      <c r="A2645" s="102" t="s">
        <v>182</v>
      </c>
      <c r="B2645" s="102" t="s">
        <v>10</v>
      </c>
      <c r="C2645" s="102" t="s">
        <v>155</v>
      </c>
      <c r="D2645" s="103">
        <v>186577.92769687201</v>
      </c>
      <c r="E2645" s="103">
        <v>86946.555207183395</v>
      </c>
      <c r="F2645" s="103">
        <v>99245.338512651593</v>
      </c>
    </row>
    <row r="2646" spans="1:6" hidden="1" x14ac:dyDescent="0.2">
      <c r="A2646" s="102" t="s">
        <v>182</v>
      </c>
      <c r="B2646" s="102" t="s">
        <v>10</v>
      </c>
      <c r="C2646" s="102" t="s">
        <v>156</v>
      </c>
      <c r="D2646" s="103">
        <v>198660.072303127</v>
      </c>
      <c r="E2646" s="103">
        <v>93343.444792816605</v>
      </c>
      <c r="F2646" s="103">
        <v>105702.661487348</v>
      </c>
    </row>
    <row r="2647" spans="1:6" hidden="1" x14ac:dyDescent="0.2">
      <c r="A2647" s="102" t="s">
        <v>182</v>
      </c>
      <c r="B2647" s="102" t="s">
        <v>10</v>
      </c>
      <c r="C2647" s="102" t="s">
        <v>157</v>
      </c>
      <c r="D2647" s="104">
        <v>1.90650147170409</v>
      </c>
      <c r="E2647" s="104">
        <v>2.15684755727289</v>
      </c>
      <c r="F2647" s="104">
        <v>1.91527464531092</v>
      </c>
    </row>
    <row r="2648" spans="1:6" hidden="1" x14ac:dyDescent="0.2">
      <c r="A2648" s="102" t="s">
        <v>182</v>
      </c>
      <c r="B2648" s="102" t="s">
        <v>10</v>
      </c>
      <c r="C2648" s="102" t="s">
        <v>158</v>
      </c>
      <c r="D2648" s="104">
        <v>1.83262939227869</v>
      </c>
      <c r="E2648" s="104">
        <v>2.0566543191750801</v>
      </c>
      <c r="F2648" s="104">
        <v>1.71085042279207</v>
      </c>
    </row>
    <row r="2649" spans="1:6" hidden="1" x14ac:dyDescent="0.2">
      <c r="A2649" s="95" t="s">
        <v>182</v>
      </c>
      <c r="B2649" s="95" t="s">
        <v>11</v>
      </c>
      <c r="C2649" s="95" t="s">
        <v>153</v>
      </c>
      <c r="D2649" s="96">
        <v>179734</v>
      </c>
      <c r="E2649" s="96">
        <v>83082</v>
      </c>
      <c r="F2649" s="96">
        <v>96652</v>
      </c>
    </row>
    <row r="2650" spans="1:6" hidden="1" x14ac:dyDescent="0.2">
      <c r="A2650" s="97" t="s">
        <v>182</v>
      </c>
      <c r="B2650" s="97" t="s">
        <v>11</v>
      </c>
      <c r="C2650" s="97" t="s">
        <v>154</v>
      </c>
      <c r="D2650" s="98">
        <v>3448.4649312288202</v>
      </c>
      <c r="E2650" s="98">
        <v>1705.95851664062</v>
      </c>
      <c r="F2650" s="98">
        <v>2003.92087226084</v>
      </c>
    </row>
    <row r="2651" spans="1:6" hidden="1" x14ac:dyDescent="0.2">
      <c r="A2651" s="97" t="s">
        <v>182</v>
      </c>
      <c r="B2651" s="97" t="s">
        <v>11</v>
      </c>
      <c r="C2651" s="97" t="s">
        <v>155</v>
      </c>
      <c r="D2651" s="98">
        <v>174061.12023675401</v>
      </c>
      <c r="E2651" s="98">
        <v>80275.6215855505</v>
      </c>
      <c r="F2651" s="98">
        <v>93355.460122083197</v>
      </c>
    </row>
    <row r="2652" spans="1:6" hidden="1" x14ac:dyDescent="0.2">
      <c r="A2652" s="97" t="s">
        <v>182</v>
      </c>
      <c r="B2652" s="97" t="s">
        <v>11</v>
      </c>
      <c r="C2652" s="97" t="s">
        <v>156</v>
      </c>
      <c r="D2652" s="98">
        <v>185406.879763245</v>
      </c>
      <c r="E2652" s="98">
        <v>85888.378414449398</v>
      </c>
      <c r="F2652" s="98">
        <v>99948.539877916701</v>
      </c>
    </row>
    <row r="2653" spans="1:6" hidden="1" x14ac:dyDescent="0.2">
      <c r="A2653" s="97" t="s">
        <v>182</v>
      </c>
      <c r="B2653" s="97" t="s">
        <v>11</v>
      </c>
      <c r="C2653" s="97" t="s">
        <v>157</v>
      </c>
      <c r="D2653" s="99">
        <v>1.9186491878157801</v>
      </c>
      <c r="E2653" s="99">
        <v>2.0533431027666902</v>
      </c>
      <c r="F2653" s="99">
        <v>2.0733361671365702</v>
      </c>
    </row>
    <row r="2654" spans="1:6" hidden="1" x14ac:dyDescent="0.2">
      <c r="A2654" s="97" t="s">
        <v>182</v>
      </c>
      <c r="B2654" s="97" t="s">
        <v>11</v>
      </c>
      <c r="C2654" s="97" t="s">
        <v>158</v>
      </c>
      <c r="D2654" s="99">
        <v>1.84319074820481</v>
      </c>
      <c r="E2654" s="99">
        <v>1.8633281971920499</v>
      </c>
      <c r="F2654" s="99">
        <v>1.93949181839174</v>
      </c>
    </row>
    <row r="2655" spans="1:6" hidden="1" x14ac:dyDescent="0.2">
      <c r="A2655" s="100" t="s">
        <v>182</v>
      </c>
      <c r="B2655" s="100" t="s">
        <v>12</v>
      </c>
      <c r="C2655" s="100" t="s">
        <v>153</v>
      </c>
      <c r="D2655" s="101">
        <v>178146</v>
      </c>
      <c r="E2655" s="101">
        <v>83935</v>
      </c>
      <c r="F2655" s="101">
        <v>94211</v>
      </c>
    </row>
    <row r="2656" spans="1:6" hidden="1" x14ac:dyDescent="0.2">
      <c r="A2656" s="102" t="s">
        <v>182</v>
      </c>
      <c r="B2656" s="102" t="s">
        <v>12</v>
      </c>
      <c r="C2656" s="102" t="s">
        <v>154</v>
      </c>
      <c r="D2656" s="103">
        <v>3376.73475074219</v>
      </c>
      <c r="E2656" s="103">
        <v>1717.5968925613299</v>
      </c>
      <c r="F2656" s="103">
        <v>1920.01709546246</v>
      </c>
    </row>
    <row r="2657" spans="1:6" hidden="1" x14ac:dyDescent="0.2">
      <c r="A2657" s="102" t="s">
        <v>182</v>
      </c>
      <c r="B2657" s="102" t="s">
        <v>12</v>
      </c>
      <c r="C2657" s="102" t="s">
        <v>155</v>
      </c>
      <c r="D2657" s="103">
        <v>172591.11960673801</v>
      </c>
      <c r="E2657" s="103">
        <v>81109.475934208793</v>
      </c>
      <c r="F2657" s="103">
        <v>91052.485605001493</v>
      </c>
    </row>
    <row r="2658" spans="1:6" hidden="1" x14ac:dyDescent="0.2">
      <c r="A2658" s="102" t="s">
        <v>182</v>
      </c>
      <c r="B2658" s="102" t="s">
        <v>12</v>
      </c>
      <c r="C2658" s="102" t="s">
        <v>156</v>
      </c>
      <c r="D2658" s="103">
        <v>183700.880393261</v>
      </c>
      <c r="E2658" s="103">
        <v>86760.524065791105</v>
      </c>
      <c r="F2658" s="103">
        <v>97369.514394998507</v>
      </c>
    </row>
    <row r="2659" spans="1:6" hidden="1" x14ac:dyDescent="0.2">
      <c r="A2659" s="102" t="s">
        <v>182</v>
      </c>
      <c r="B2659" s="102" t="s">
        <v>12</v>
      </c>
      <c r="C2659" s="102" t="s">
        <v>157</v>
      </c>
      <c r="D2659" s="104">
        <v>1.8954872692859699</v>
      </c>
      <c r="E2659" s="104">
        <v>2.0463416841142901</v>
      </c>
      <c r="F2659" s="104">
        <v>2.0379967259263401</v>
      </c>
    </row>
    <row r="2660" spans="1:6" hidden="1" x14ac:dyDescent="0.2">
      <c r="A2660" s="102" t="s">
        <v>182</v>
      </c>
      <c r="B2660" s="102" t="s">
        <v>12</v>
      </c>
      <c r="C2660" s="102" t="s">
        <v>158</v>
      </c>
      <c r="D2660" s="104">
        <v>1.8013773264853801</v>
      </c>
      <c r="E2660" s="104">
        <v>1.8629560889188499</v>
      </c>
      <c r="F2660" s="104">
        <v>1.8740292611395899</v>
      </c>
    </row>
    <row r="2661" spans="1:6" hidden="1" x14ac:dyDescent="0.2">
      <c r="A2661" s="95" t="s">
        <v>182</v>
      </c>
      <c r="B2661" s="95" t="s">
        <v>13</v>
      </c>
      <c r="C2661" s="95" t="s">
        <v>153</v>
      </c>
      <c r="D2661" s="96">
        <v>149077</v>
      </c>
      <c r="E2661" s="96">
        <v>69319</v>
      </c>
      <c r="F2661" s="96">
        <v>79758</v>
      </c>
    </row>
    <row r="2662" spans="1:6" hidden="1" x14ac:dyDescent="0.2">
      <c r="A2662" s="97" t="s">
        <v>182</v>
      </c>
      <c r="B2662" s="97" t="s">
        <v>13</v>
      </c>
      <c r="C2662" s="97" t="s">
        <v>154</v>
      </c>
      <c r="D2662" s="98">
        <v>2682.0350382645902</v>
      </c>
      <c r="E2662" s="98">
        <v>1374.5552444887401</v>
      </c>
      <c r="F2662" s="98">
        <v>1570.3933804972301</v>
      </c>
    </row>
    <row r="2663" spans="1:6" hidden="1" x14ac:dyDescent="0.2">
      <c r="A2663" s="97" t="s">
        <v>182</v>
      </c>
      <c r="B2663" s="97" t="s">
        <v>13</v>
      </c>
      <c r="C2663" s="97" t="s">
        <v>155</v>
      </c>
      <c r="D2663" s="98">
        <v>144664.93184900799</v>
      </c>
      <c r="E2663" s="98">
        <v>67057.794859327696</v>
      </c>
      <c r="F2663" s="98">
        <v>77174.632325913597</v>
      </c>
    </row>
    <row r="2664" spans="1:6" hidden="1" x14ac:dyDescent="0.2">
      <c r="A2664" s="97" t="s">
        <v>182</v>
      </c>
      <c r="B2664" s="97" t="s">
        <v>13</v>
      </c>
      <c r="C2664" s="97" t="s">
        <v>156</v>
      </c>
      <c r="D2664" s="98">
        <v>153489.06815099099</v>
      </c>
      <c r="E2664" s="98">
        <v>71580.205140672202</v>
      </c>
      <c r="F2664" s="98">
        <v>82341.367674086301</v>
      </c>
    </row>
    <row r="2665" spans="1:6" hidden="1" x14ac:dyDescent="0.2">
      <c r="A2665" s="97" t="s">
        <v>182</v>
      </c>
      <c r="B2665" s="97" t="s">
        <v>13</v>
      </c>
      <c r="C2665" s="97" t="s">
        <v>157</v>
      </c>
      <c r="D2665" s="99">
        <v>1.79909378258523</v>
      </c>
      <c r="E2665" s="99">
        <v>1.98294153765741</v>
      </c>
      <c r="F2665" s="99">
        <v>1.9689477926944401</v>
      </c>
    </row>
    <row r="2666" spans="1:6" hidden="1" x14ac:dyDescent="0.2">
      <c r="A2666" s="97" t="s">
        <v>182</v>
      </c>
      <c r="B2666" s="97" t="s">
        <v>13</v>
      </c>
      <c r="C2666" s="97" t="s">
        <v>158</v>
      </c>
      <c r="D2666" s="99">
        <v>1.61856196819177</v>
      </c>
      <c r="E2666" s="99">
        <v>1.69668777982444</v>
      </c>
      <c r="F2666" s="99">
        <v>1.72685358611485</v>
      </c>
    </row>
    <row r="2667" spans="1:6" hidden="1" x14ac:dyDescent="0.2">
      <c r="A2667" s="100" t="s">
        <v>182</v>
      </c>
      <c r="B2667" s="100" t="s">
        <v>14</v>
      </c>
      <c r="C2667" s="100" t="s">
        <v>153</v>
      </c>
      <c r="D2667" s="101">
        <v>136620</v>
      </c>
      <c r="E2667" s="101">
        <v>64123</v>
      </c>
      <c r="F2667" s="101">
        <v>72497</v>
      </c>
    </row>
    <row r="2668" spans="1:6" hidden="1" x14ac:dyDescent="0.2">
      <c r="A2668" s="102" t="s">
        <v>182</v>
      </c>
      <c r="B2668" s="102" t="s">
        <v>14</v>
      </c>
      <c r="C2668" s="102" t="s">
        <v>154</v>
      </c>
      <c r="D2668" s="103">
        <v>2714.70119834159</v>
      </c>
      <c r="E2668" s="103">
        <v>1401.95502796807</v>
      </c>
      <c r="F2668" s="103">
        <v>1570.25837955988</v>
      </c>
    </row>
    <row r="2669" spans="1:6" hidden="1" x14ac:dyDescent="0.2">
      <c r="A2669" s="102" t="s">
        <v>182</v>
      </c>
      <c r="B2669" s="102" t="s">
        <v>14</v>
      </c>
      <c r="C2669" s="102" t="s">
        <v>155</v>
      </c>
      <c r="D2669" s="103">
        <v>132154.19454787899</v>
      </c>
      <c r="E2669" s="103">
        <v>61816.7209843378</v>
      </c>
      <c r="F2669" s="103">
        <v>69913.854408521598</v>
      </c>
    </row>
    <row r="2670" spans="1:6" hidden="1" x14ac:dyDescent="0.2">
      <c r="A2670" s="102" t="s">
        <v>182</v>
      </c>
      <c r="B2670" s="102" t="s">
        <v>14</v>
      </c>
      <c r="C2670" s="102" t="s">
        <v>156</v>
      </c>
      <c r="D2670" s="103">
        <v>141085.80545212</v>
      </c>
      <c r="E2670" s="103">
        <v>66429.279015662105</v>
      </c>
      <c r="F2670" s="103">
        <v>75080.1455914783</v>
      </c>
    </row>
    <row r="2671" spans="1:6" hidden="1" x14ac:dyDescent="0.2">
      <c r="A2671" s="102" t="s">
        <v>182</v>
      </c>
      <c r="B2671" s="102" t="s">
        <v>14</v>
      </c>
      <c r="C2671" s="102" t="s">
        <v>157</v>
      </c>
      <c r="D2671" s="104">
        <v>1.98704523374439</v>
      </c>
      <c r="E2671" s="104">
        <v>2.1863528343466001</v>
      </c>
      <c r="F2671" s="104">
        <v>2.1659632530447799</v>
      </c>
    </row>
    <row r="2672" spans="1:6" hidden="1" x14ac:dyDescent="0.2">
      <c r="A2672" s="102" t="s">
        <v>182</v>
      </c>
      <c r="B2672" s="102" t="s">
        <v>14</v>
      </c>
      <c r="C2672" s="102" t="s">
        <v>158</v>
      </c>
      <c r="D2672" s="104">
        <v>1.82295543307629</v>
      </c>
      <c r="E2672" s="104">
        <v>1.9388917648291799</v>
      </c>
      <c r="F2672" s="104">
        <v>1.88931918805331</v>
      </c>
    </row>
    <row r="2673" spans="1:6" hidden="1" x14ac:dyDescent="0.2">
      <c r="A2673" s="95" t="s">
        <v>182</v>
      </c>
      <c r="B2673" s="95" t="s">
        <v>15</v>
      </c>
      <c r="C2673" s="95" t="s">
        <v>153</v>
      </c>
      <c r="D2673" s="96">
        <v>106934</v>
      </c>
      <c r="E2673" s="96">
        <v>50822</v>
      </c>
      <c r="F2673" s="96">
        <v>56112</v>
      </c>
    </row>
    <row r="2674" spans="1:6" hidden="1" x14ac:dyDescent="0.2">
      <c r="A2674" s="97" t="s">
        <v>182</v>
      </c>
      <c r="B2674" s="97" t="s">
        <v>15</v>
      </c>
      <c r="C2674" s="97" t="s">
        <v>154</v>
      </c>
      <c r="D2674" s="98">
        <v>2070.61843423547</v>
      </c>
      <c r="E2674" s="98">
        <v>1106.4222350157199</v>
      </c>
      <c r="F2674" s="98">
        <v>1203.0779804143399</v>
      </c>
    </row>
    <row r="2675" spans="1:6" hidden="1" x14ac:dyDescent="0.2">
      <c r="A2675" s="97" t="s">
        <v>182</v>
      </c>
      <c r="B2675" s="97" t="s">
        <v>15</v>
      </c>
      <c r="C2675" s="97" t="s">
        <v>155</v>
      </c>
      <c r="D2675" s="98">
        <v>103527.739635684</v>
      </c>
      <c r="E2675" s="98">
        <v>49001.885708047899</v>
      </c>
      <c r="F2675" s="98">
        <v>54132.882663792501</v>
      </c>
    </row>
    <row r="2676" spans="1:6" hidden="1" x14ac:dyDescent="0.2">
      <c r="A2676" s="97" t="s">
        <v>182</v>
      </c>
      <c r="B2676" s="97" t="s">
        <v>15</v>
      </c>
      <c r="C2676" s="97" t="s">
        <v>156</v>
      </c>
      <c r="D2676" s="98">
        <v>110340.26036431501</v>
      </c>
      <c r="E2676" s="98">
        <v>52642.114291952101</v>
      </c>
      <c r="F2676" s="98">
        <v>58091.117336207397</v>
      </c>
    </row>
    <row r="2677" spans="1:6" hidden="1" x14ac:dyDescent="0.2">
      <c r="A2677" s="97" t="s">
        <v>182</v>
      </c>
      <c r="B2677" s="97" t="s">
        <v>15</v>
      </c>
      <c r="C2677" s="97" t="s">
        <v>157</v>
      </c>
      <c r="D2677" s="99">
        <v>1.9363518003960101</v>
      </c>
      <c r="E2677" s="99">
        <v>2.17705370708694</v>
      </c>
      <c r="F2677" s="99">
        <v>2.1440654056428898</v>
      </c>
    </row>
    <row r="2678" spans="1:6" hidden="1" x14ac:dyDescent="0.2">
      <c r="A2678" s="97" t="s">
        <v>182</v>
      </c>
      <c r="B2678" s="97" t="s">
        <v>15</v>
      </c>
      <c r="C2678" s="97" t="s">
        <v>158</v>
      </c>
      <c r="D2678" s="99">
        <v>1.6397822009984599</v>
      </c>
      <c r="E2678" s="99">
        <v>1.75506495426505</v>
      </c>
      <c r="F2678" s="99">
        <v>1.75141452516435</v>
      </c>
    </row>
    <row r="2679" spans="1:6" hidden="1" x14ac:dyDescent="0.2">
      <c r="A2679" s="100" t="s">
        <v>182</v>
      </c>
      <c r="B2679" s="100" t="s">
        <v>16</v>
      </c>
      <c r="C2679" s="100" t="s">
        <v>153</v>
      </c>
      <c r="D2679" s="101">
        <v>85541</v>
      </c>
      <c r="E2679" s="101">
        <v>40879</v>
      </c>
      <c r="F2679" s="101">
        <v>44662</v>
      </c>
    </row>
    <row r="2680" spans="1:6" hidden="1" x14ac:dyDescent="0.2">
      <c r="A2680" s="102" t="s">
        <v>182</v>
      </c>
      <c r="B2680" s="102" t="s">
        <v>16</v>
      </c>
      <c r="C2680" s="102" t="s">
        <v>154</v>
      </c>
      <c r="D2680" s="103">
        <v>1702.18475422652</v>
      </c>
      <c r="E2680" s="103">
        <v>915.71423253192495</v>
      </c>
      <c r="F2680" s="103">
        <v>1014.27731272568</v>
      </c>
    </row>
    <row r="2681" spans="1:6" hidden="1" x14ac:dyDescent="0.2">
      <c r="A2681" s="102" t="s">
        <v>182</v>
      </c>
      <c r="B2681" s="102" t="s">
        <v>16</v>
      </c>
      <c r="C2681" s="102" t="s">
        <v>155</v>
      </c>
      <c r="D2681" s="103">
        <v>82740.829594289797</v>
      </c>
      <c r="E2681" s="103">
        <v>39372.608941299302</v>
      </c>
      <c r="F2681" s="103">
        <v>42993.468245602802</v>
      </c>
    </row>
    <row r="2682" spans="1:6" hidden="1" x14ac:dyDescent="0.2">
      <c r="A2682" s="102" t="s">
        <v>182</v>
      </c>
      <c r="B2682" s="102" t="s">
        <v>16</v>
      </c>
      <c r="C2682" s="102" t="s">
        <v>156</v>
      </c>
      <c r="D2682" s="103">
        <v>88341.170405710101</v>
      </c>
      <c r="E2682" s="103">
        <v>42385.391058700603</v>
      </c>
      <c r="F2682" s="103">
        <v>46330.531754397103</v>
      </c>
    </row>
    <row r="2683" spans="1:6" hidden="1" x14ac:dyDescent="0.2">
      <c r="A2683" s="102" t="s">
        <v>182</v>
      </c>
      <c r="B2683" s="102" t="s">
        <v>16</v>
      </c>
      <c r="C2683" s="102" t="s">
        <v>157</v>
      </c>
      <c r="D2683" s="104">
        <v>1.9899051381519099</v>
      </c>
      <c r="E2683" s="104">
        <v>2.2400602571783201</v>
      </c>
      <c r="F2683" s="104">
        <v>2.2710073725441902</v>
      </c>
    </row>
    <row r="2684" spans="1:6" hidden="1" x14ac:dyDescent="0.2">
      <c r="A2684" s="102" t="s">
        <v>182</v>
      </c>
      <c r="B2684" s="102" t="s">
        <v>16</v>
      </c>
      <c r="C2684" s="102" t="s">
        <v>158</v>
      </c>
      <c r="D2684" s="104">
        <v>1.57058482702453</v>
      </c>
      <c r="E2684" s="104">
        <v>1.65803873606299</v>
      </c>
      <c r="F2684" s="104">
        <v>1.7396127164659601</v>
      </c>
    </row>
    <row r="2685" spans="1:6" hidden="1" x14ac:dyDescent="0.2">
      <c r="A2685" s="95" t="s">
        <v>182</v>
      </c>
      <c r="B2685" s="95" t="s">
        <v>17</v>
      </c>
      <c r="C2685" s="95" t="s">
        <v>153</v>
      </c>
      <c r="D2685" s="96">
        <v>72265</v>
      </c>
      <c r="E2685" s="96">
        <v>34091</v>
      </c>
      <c r="F2685" s="96">
        <v>38174</v>
      </c>
    </row>
    <row r="2686" spans="1:6" hidden="1" x14ac:dyDescent="0.2">
      <c r="A2686" s="97" t="s">
        <v>182</v>
      </c>
      <c r="B2686" s="97" t="s">
        <v>17</v>
      </c>
      <c r="C2686" s="97" t="s">
        <v>154</v>
      </c>
      <c r="D2686" s="98">
        <v>1521.8887257523099</v>
      </c>
      <c r="E2686" s="98">
        <v>796.77995103263902</v>
      </c>
      <c r="F2686" s="98">
        <v>944.52484702060303</v>
      </c>
    </row>
    <row r="2687" spans="1:6" hidden="1" x14ac:dyDescent="0.2">
      <c r="A2687" s="97" t="s">
        <v>182</v>
      </c>
      <c r="B2687" s="97" t="s">
        <v>17</v>
      </c>
      <c r="C2687" s="97" t="s">
        <v>155</v>
      </c>
      <c r="D2687" s="98">
        <v>69761.424662449703</v>
      </c>
      <c r="E2687" s="98">
        <v>32780.261178491397</v>
      </c>
      <c r="F2687" s="98">
        <v>36620.214185905497</v>
      </c>
    </row>
    <row r="2688" spans="1:6" hidden="1" x14ac:dyDescent="0.2">
      <c r="A2688" s="97" t="s">
        <v>182</v>
      </c>
      <c r="B2688" s="97" t="s">
        <v>17</v>
      </c>
      <c r="C2688" s="97" t="s">
        <v>156</v>
      </c>
      <c r="D2688" s="98">
        <v>74768.575337550195</v>
      </c>
      <c r="E2688" s="98">
        <v>35401.738821508501</v>
      </c>
      <c r="F2688" s="98">
        <v>39727.785814094401</v>
      </c>
    </row>
    <row r="2689" spans="1:6" hidden="1" x14ac:dyDescent="0.2">
      <c r="A2689" s="97" t="s">
        <v>182</v>
      </c>
      <c r="B2689" s="97" t="s">
        <v>17</v>
      </c>
      <c r="C2689" s="97" t="s">
        <v>157</v>
      </c>
      <c r="D2689" s="99">
        <v>2.1059831533277702</v>
      </c>
      <c r="E2689" s="99">
        <v>2.3372149571225198</v>
      </c>
      <c r="F2689" s="99">
        <v>2.4742621863587799</v>
      </c>
    </row>
    <row r="2690" spans="1:6" hidden="1" x14ac:dyDescent="0.2">
      <c r="A2690" s="97" t="s">
        <v>182</v>
      </c>
      <c r="B2690" s="97" t="s">
        <v>17</v>
      </c>
      <c r="C2690" s="97" t="s">
        <v>158</v>
      </c>
      <c r="D2690" s="99">
        <v>1.70372128933893</v>
      </c>
      <c r="E2690" s="99">
        <v>1.6779897684551299</v>
      </c>
      <c r="F2690" s="99">
        <v>1.97569438959351</v>
      </c>
    </row>
    <row r="2691" spans="1:6" hidden="1" x14ac:dyDescent="0.2">
      <c r="A2691" s="100" t="s">
        <v>182</v>
      </c>
      <c r="B2691" s="100" t="s">
        <v>18</v>
      </c>
      <c r="C2691" s="100" t="s">
        <v>153</v>
      </c>
      <c r="D2691" s="101">
        <v>55742</v>
      </c>
      <c r="E2691" s="101">
        <v>27161</v>
      </c>
      <c r="F2691" s="101">
        <v>28581</v>
      </c>
    </row>
    <row r="2692" spans="1:6" hidden="1" x14ac:dyDescent="0.2">
      <c r="A2692" s="102" t="s">
        <v>182</v>
      </c>
      <c r="B2692" s="102" t="s">
        <v>18</v>
      </c>
      <c r="C2692" s="102" t="s">
        <v>154</v>
      </c>
      <c r="D2692" s="103">
        <v>1191.8963579470601</v>
      </c>
      <c r="E2692" s="103">
        <v>653.07764368591904</v>
      </c>
      <c r="F2692" s="103">
        <v>745.747126669198</v>
      </c>
    </row>
    <row r="2693" spans="1:6" hidden="1" x14ac:dyDescent="0.2">
      <c r="A2693" s="102" t="s">
        <v>182</v>
      </c>
      <c r="B2693" s="102" t="s">
        <v>18</v>
      </c>
      <c r="C2693" s="102" t="s">
        <v>155</v>
      </c>
      <c r="D2693" s="103">
        <v>53781.2769351799</v>
      </c>
      <c r="E2693" s="103">
        <v>26086.657931115002</v>
      </c>
      <c r="F2693" s="103">
        <v>27354.2124676493</v>
      </c>
    </row>
    <row r="2694" spans="1:6" hidden="1" x14ac:dyDescent="0.2">
      <c r="A2694" s="102" t="s">
        <v>182</v>
      </c>
      <c r="B2694" s="102" t="s">
        <v>18</v>
      </c>
      <c r="C2694" s="102" t="s">
        <v>156</v>
      </c>
      <c r="D2694" s="103">
        <v>57702.723064819998</v>
      </c>
      <c r="E2694" s="103">
        <v>28235.3420688849</v>
      </c>
      <c r="F2694" s="103">
        <v>29807.787532350601</v>
      </c>
    </row>
    <row r="2695" spans="1:6" hidden="1" x14ac:dyDescent="0.2">
      <c r="A2695" s="102" t="s">
        <v>182</v>
      </c>
      <c r="B2695" s="102" t="s">
        <v>18</v>
      </c>
      <c r="C2695" s="102" t="s">
        <v>157</v>
      </c>
      <c r="D2695" s="104">
        <v>2.13823751919031</v>
      </c>
      <c r="E2695" s="104">
        <v>2.4044683321156</v>
      </c>
      <c r="F2695" s="104">
        <v>2.6092408476582301</v>
      </c>
    </row>
    <row r="2696" spans="1:6" hidden="1" x14ac:dyDescent="0.2">
      <c r="A2696" s="102" t="s">
        <v>182</v>
      </c>
      <c r="B2696" s="102" t="s">
        <v>18</v>
      </c>
      <c r="C2696" s="102" t="s">
        <v>158</v>
      </c>
      <c r="D2696" s="104">
        <v>1.58484428030007</v>
      </c>
      <c r="E2696" s="104">
        <v>1.58965583074935</v>
      </c>
      <c r="F2696" s="104">
        <v>1.88710919263759</v>
      </c>
    </row>
    <row r="2697" spans="1:6" hidden="1" x14ac:dyDescent="0.2">
      <c r="A2697" s="95" t="s">
        <v>182</v>
      </c>
      <c r="B2697" s="95" t="s">
        <v>19</v>
      </c>
      <c r="C2697" s="95" t="s">
        <v>153</v>
      </c>
      <c r="D2697" s="96">
        <v>95165</v>
      </c>
      <c r="E2697" s="96">
        <v>45097</v>
      </c>
      <c r="F2697" s="96">
        <v>50068</v>
      </c>
    </row>
    <row r="2698" spans="1:6" hidden="1" x14ac:dyDescent="0.2">
      <c r="A2698" s="97" t="s">
        <v>182</v>
      </c>
      <c r="B2698" s="97" t="s">
        <v>19</v>
      </c>
      <c r="C2698" s="97" t="s">
        <v>154</v>
      </c>
      <c r="D2698" s="98">
        <v>1900.91181782224</v>
      </c>
      <c r="E2698" s="98">
        <v>901.03053526833003</v>
      </c>
      <c r="F2698" s="98">
        <v>1188.8414830583399</v>
      </c>
    </row>
    <row r="2699" spans="1:6" hidden="1" x14ac:dyDescent="0.2">
      <c r="A2699" s="97" t="s">
        <v>182</v>
      </c>
      <c r="B2699" s="97" t="s">
        <v>19</v>
      </c>
      <c r="C2699" s="97" t="s">
        <v>155</v>
      </c>
      <c r="D2699" s="98">
        <v>92037.914645185403</v>
      </c>
      <c r="E2699" s="98">
        <v>43614.764283086799</v>
      </c>
      <c r="F2699" s="98">
        <v>48112.302341637798</v>
      </c>
    </row>
    <row r="2700" spans="1:6" hidden="1" x14ac:dyDescent="0.2">
      <c r="A2700" s="97" t="s">
        <v>182</v>
      </c>
      <c r="B2700" s="97" t="s">
        <v>19</v>
      </c>
      <c r="C2700" s="97" t="s">
        <v>156</v>
      </c>
      <c r="D2700" s="98">
        <v>98292.085354814597</v>
      </c>
      <c r="E2700" s="98">
        <v>46579.235716913099</v>
      </c>
      <c r="F2700" s="98">
        <v>52023.6976583621</v>
      </c>
    </row>
    <row r="2701" spans="1:6" hidden="1" x14ac:dyDescent="0.2">
      <c r="A2701" s="97" t="s">
        <v>182</v>
      </c>
      <c r="B2701" s="97" t="s">
        <v>19</v>
      </c>
      <c r="C2701" s="97" t="s">
        <v>157</v>
      </c>
      <c r="D2701" s="99">
        <v>1.99749048265879</v>
      </c>
      <c r="E2701" s="99">
        <v>1.99798331434093</v>
      </c>
      <c r="F2701" s="99">
        <v>2.3744537090723501</v>
      </c>
    </row>
    <row r="2702" spans="1:6" hidden="1" x14ac:dyDescent="0.2">
      <c r="A2702" s="97" t="s">
        <v>182</v>
      </c>
      <c r="B2702" s="97" t="s">
        <v>19</v>
      </c>
      <c r="C2702" s="97" t="s">
        <v>158</v>
      </c>
      <c r="D2702" s="99">
        <v>1.54245295960455</v>
      </c>
      <c r="E2702" s="99">
        <v>1.3483733063915699</v>
      </c>
      <c r="F2702" s="99">
        <v>1.8306754616104</v>
      </c>
    </row>
    <row r="2703" spans="1:6" hidden="1" x14ac:dyDescent="0.2">
      <c r="A2703" s="100" t="s">
        <v>182</v>
      </c>
      <c r="B2703" s="100" t="s">
        <v>20</v>
      </c>
      <c r="C2703" s="100" t="s">
        <v>153</v>
      </c>
      <c r="D2703" s="101">
        <v>2001</v>
      </c>
      <c r="E2703" s="101">
        <v>958</v>
      </c>
      <c r="F2703" s="101">
        <v>1043</v>
      </c>
    </row>
    <row r="2704" spans="1:6" hidden="1" x14ac:dyDescent="0.2">
      <c r="A2704" s="102" t="s">
        <v>182</v>
      </c>
      <c r="B2704" s="102" t="s">
        <v>20</v>
      </c>
      <c r="C2704" s="102" t="s">
        <v>154</v>
      </c>
      <c r="D2704" s="103">
        <v>226.97087535075201</v>
      </c>
      <c r="E2704" s="103">
        <v>109.824551117543</v>
      </c>
      <c r="F2704" s="103">
        <v>136.27270479046999</v>
      </c>
    </row>
    <row r="2705" spans="1:6" hidden="1" x14ac:dyDescent="0.2">
      <c r="A2705" s="102" t="s">
        <v>182</v>
      </c>
      <c r="B2705" s="102" t="s">
        <v>20</v>
      </c>
      <c r="C2705" s="102" t="s">
        <v>155</v>
      </c>
      <c r="D2705" s="103">
        <v>1627.622711467</v>
      </c>
      <c r="E2705" s="103">
        <v>777.33367861734598</v>
      </c>
      <c r="F2705" s="103">
        <v>818.82527741899503</v>
      </c>
    </row>
    <row r="2706" spans="1:6" hidden="1" x14ac:dyDescent="0.2">
      <c r="A2706" s="102" t="s">
        <v>182</v>
      </c>
      <c r="B2706" s="102" t="s">
        <v>20</v>
      </c>
      <c r="C2706" s="102" t="s">
        <v>156</v>
      </c>
      <c r="D2706" s="103">
        <v>2374.37728853299</v>
      </c>
      <c r="E2706" s="103">
        <v>1138.66632138265</v>
      </c>
      <c r="F2706" s="103">
        <v>1267.174722581</v>
      </c>
    </row>
    <row r="2707" spans="1:6" hidden="1" x14ac:dyDescent="0.2">
      <c r="A2707" s="102" t="s">
        <v>182</v>
      </c>
      <c r="B2707" s="102" t="s">
        <v>20</v>
      </c>
      <c r="C2707" s="102" t="s">
        <v>157</v>
      </c>
      <c r="D2707" s="104">
        <v>11.3428723313719</v>
      </c>
      <c r="E2707" s="104">
        <v>11.463940617697601</v>
      </c>
      <c r="F2707" s="104">
        <v>13.0654558763634</v>
      </c>
    </row>
    <row r="2708" spans="1:6" hidden="1" x14ac:dyDescent="0.2">
      <c r="A2708" s="102" t="s">
        <v>182</v>
      </c>
      <c r="B2708" s="102" t="s">
        <v>20</v>
      </c>
      <c r="C2708" s="102" t="s">
        <v>158</v>
      </c>
      <c r="D2708" s="104">
        <v>1.9059422167545601</v>
      </c>
      <c r="E2708" s="104">
        <v>1.56720395454262</v>
      </c>
      <c r="F2708" s="104">
        <v>2.15311112844768</v>
      </c>
    </row>
    <row r="2709" spans="1:6" hidden="1" x14ac:dyDescent="0.2">
      <c r="A2709" s="95" t="s">
        <v>183</v>
      </c>
      <c r="B2709" s="95" t="s">
        <v>152</v>
      </c>
      <c r="C2709" s="95" t="s">
        <v>153</v>
      </c>
      <c r="D2709" s="96">
        <v>2966321</v>
      </c>
      <c r="E2709" s="96">
        <v>1464085</v>
      </c>
      <c r="F2709" s="96">
        <v>1502236</v>
      </c>
    </row>
    <row r="2710" spans="1:6" hidden="1" x14ac:dyDescent="0.2">
      <c r="A2710" s="97" t="s">
        <v>183</v>
      </c>
      <c r="B2710" s="97" t="s">
        <v>152</v>
      </c>
      <c r="C2710" s="97" t="s">
        <v>154</v>
      </c>
      <c r="D2710" s="98">
        <v>43316.404287767502</v>
      </c>
      <c r="E2710" s="98">
        <v>21150.780542623601</v>
      </c>
      <c r="F2710" s="98">
        <v>22681.183142908201</v>
      </c>
    </row>
    <row r="2711" spans="1:6" hidden="1" x14ac:dyDescent="0.2">
      <c r="A2711" s="97" t="s">
        <v>183</v>
      </c>
      <c r="B2711" s="97" t="s">
        <v>152</v>
      </c>
      <c r="C2711" s="97" t="s">
        <v>155</v>
      </c>
      <c r="D2711" s="98">
        <v>2895055.9738955302</v>
      </c>
      <c r="E2711" s="98">
        <v>1429287.3072486201</v>
      </c>
      <c r="F2711" s="98">
        <v>1464920.45787832</v>
      </c>
    </row>
    <row r="2712" spans="1:6" hidden="1" x14ac:dyDescent="0.2">
      <c r="A2712" s="97" t="s">
        <v>183</v>
      </c>
      <c r="B2712" s="97" t="s">
        <v>152</v>
      </c>
      <c r="C2712" s="97" t="s">
        <v>156</v>
      </c>
      <c r="D2712" s="98">
        <v>3037586.02610446</v>
      </c>
      <c r="E2712" s="98">
        <v>1498882.6927513699</v>
      </c>
      <c r="F2712" s="98">
        <v>1539551.54212167</v>
      </c>
    </row>
    <row r="2713" spans="1:6" hidden="1" x14ac:dyDescent="0.2">
      <c r="A2713" s="97" t="s">
        <v>183</v>
      </c>
      <c r="B2713" s="97" t="s">
        <v>152</v>
      </c>
      <c r="C2713" s="97" t="s">
        <v>157</v>
      </c>
      <c r="D2713" s="99">
        <v>1.46027366181096</v>
      </c>
      <c r="E2713" s="99">
        <v>1.44464157085303</v>
      </c>
      <c r="F2713" s="99">
        <v>1.5098282255855999</v>
      </c>
    </row>
    <row r="2714" spans="1:6" hidden="1" x14ac:dyDescent="0.2">
      <c r="A2714" s="97" t="s">
        <v>183</v>
      </c>
      <c r="B2714" s="97" t="s">
        <v>152</v>
      </c>
      <c r="C2714" s="97" t="s">
        <v>158</v>
      </c>
      <c r="D2714" s="99">
        <v>3.4818181761928999</v>
      </c>
      <c r="E2714" s="99">
        <v>1.18465340962123</v>
      </c>
      <c r="F2714" s="99">
        <v>1.284984563688</v>
      </c>
    </row>
    <row r="2715" spans="1:6" hidden="1" x14ac:dyDescent="0.2">
      <c r="A2715" s="100" t="s">
        <v>183</v>
      </c>
      <c r="B2715" s="100" t="s">
        <v>4</v>
      </c>
      <c r="C2715" s="100" t="s">
        <v>153</v>
      </c>
      <c r="D2715" s="101">
        <v>254499</v>
      </c>
      <c r="E2715" s="101">
        <v>130506</v>
      </c>
      <c r="F2715" s="101">
        <v>123993</v>
      </c>
    </row>
    <row r="2716" spans="1:6" hidden="1" x14ac:dyDescent="0.2">
      <c r="A2716" s="102" t="s">
        <v>183</v>
      </c>
      <c r="B2716" s="102" t="s">
        <v>4</v>
      </c>
      <c r="C2716" s="102" t="s">
        <v>154</v>
      </c>
      <c r="D2716" s="103">
        <v>4854.9247717754497</v>
      </c>
      <c r="E2716" s="103">
        <v>2695.2040950155401</v>
      </c>
      <c r="F2716" s="103">
        <v>2625.2853983924701</v>
      </c>
    </row>
    <row r="2717" spans="1:6" hidden="1" x14ac:dyDescent="0.2">
      <c r="A2717" s="102" t="s">
        <v>183</v>
      </c>
      <c r="B2717" s="102" t="s">
        <v>4</v>
      </c>
      <c r="C2717" s="102" t="s">
        <v>155</v>
      </c>
      <c r="D2717" s="103">
        <v>246511.57938453701</v>
      </c>
      <c r="E2717" s="103">
        <v>126071.795606853</v>
      </c>
      <c r="F2717" s="103">
        <v>119673.82726337999</v>
      </c>
    </row>
    <row r="2718" spans="1:6" hidden="1" x14ac:dyDescent="0.2">
      <c r="A2718" s="102" t="s">
        <v>183</v>
      </c>
      <c r="B2718" s="102" t="s">
        <v>4</v>
      </c>
      <c r="C2718" s="102" t="s">
        <v>156</v>
      </c>
      <c r="D2718" s="103">
        <v>262486.420615462</v>
      </c>
      <c r="E2718" s="103">
        <v>134940.204393147</v>
      </c>
      <c r="F2718" s="103">
        <v>128312.172736619</v>
      </c>
    </row>
    <row r="2719" spans="1:6" hidden="1" x14ac:dyDescent="0.2">
      <c r="A2719" s="102" t="s">
        <v>183</v>
      </c>
      <c r="B2719" s="102" t="s">
        <v>4</v>
      </c>
      <c r="C2719" s="102" t="s">
        <v>157</v>
      </c>
      <c r="D2719" s="104">
        <v>1.90764001892952</v>
      </c>
      <c r="E2719" s="104">
        <v>2.0651955427455699</v>
      </c>
      <c r="F2719" s="104">
        <v>2.1172851680276099</v>
      </c>
    </row>
    <row r="2720" spans="1:6" hidden="1" x14ac:dyDescent="0.2">
      <c r="A2720" s="102" t="s">
        <v>183</v>
      </c>
      <c r="B2720" s="102" t="s">
        <v>4</v>
      </c>
      <c r="C2720" s="102" t="s">
        <v>158</v>
      </c>
      <c r="D2720" s="104">
        <v>1.0044722590369599</v>
      </c>
      <c r="E2720" s="104">
        <v>1.0558903044343499</v>
      </c>
      <c r="F2720" s="104">
        <v>1.0918164666915999</v>
      </c>
    </row>
    <row r="2721" spans="1:6" hidden="1" x14ac:dyDescent="0.2">
      <c r="A2721" s="95" t="s">
        <v>183</v>
      </c>
      <c r="B2721" s="95" t="s">
        <v>5</v>
      </c>
      <c r="C2721" s="95" t="s">
        <v>153</v>
      </c>
      <c r="D2721" s="96">
        <v>269152</v>
      </c>
      <c r="E2721" s="96">
        <v>137219</v>
      </c>
      <c r="F2721" s="96">
        <v>131933</v>
      </c>
    </row>
    <row r="2722" spans="1:6" hidden="1" x14ac:dyDescent="0.2">
      <c r="A2722" s="97" t="s">
        <v>183</v>
      </c>
      <c r="B2722" s="97" t="s">
        <v>5</v>
      </c>
      <c r="C2722" s="97" t="s">
        <v>154</v>
      </c>
      <c r="D2722" s="98">
        <v>4987.3862227012796</v>
      </c>
      <c r="E2722" s="98">
        <v>2846.2248696308202</v>
      </c>
      <c r="F2722" s="98">
        <v>2736.2751105023699</v>
      </c>
    </row>
    <row r="2723" spans="1:6" hidden="1" x14ac:dyDescent="0.2">
      <c r="A2723" s="97" t="s">
        <v>183</v>
      </c>
      <c r="B2723" s="97" t="s">
        <v>5</v>
      </c>
      <c r="C2723" s="97" t="s">
        <v>155</v>
      </c>
      <c r="D2723" s="98">
        <v>260946.65112125501</v>
      </c>
      <c r="E2723" s="98">
        <v>132536.33316814699</v>
      </c>
      <c r="F2723" s="98">
        <v>127431.22473990401</v>
      </c>
    </row>
    <row r="2724" spans="1:6" hidden="1" x14ac:dyDescent="0.2">
      <c r="A2724" s="97" t="s">
        <v>183</v>
      </c>
      <c r="B2724" s="97" t="s">
        <v>5</v>
      </c>
      <c r="C2724" s="97" t="s">
        <v>156</v>
      </c>
      <c r="D2724" s="98">
        <v>277357.348878744</v>
      </c>
      <c r="E2724" s="98">
        <v>141901.666831852</v>
      </c>
      <c r="F2724" s="98">
        <v>136434.77526009499</v>
      </c>
    </row>
    <row r="2725" spans="1:6" hidden="1" x14ac:dyDescent="0.2">
      <c r="A2725" s="97" t="s">
        <v>183</v>
      </c>
      <c r="B2725" s="97" t="s">
        <v>5</v>
      </c>
      <c r="C2725" s="97" t="s">
        <v>157</v>
      </c>
      <c r="D2725" s="99">
        <v>1.85299987468095</v>
      </c>
      <c r="E2725" s="99">
        <v>2.0742206761678901</v>
      </c>
      <c r="F2725" s="99">
        <v>2.0739883960058201</v>
      </c>
    </row>
    <row r="2726" spans="1:6" hidden="1" x14ac:dyDescent="0.2">
      <c r="A2726" s="97" t="s">
        <v>183</v>
      </c>
      <c r="B2726" s="97" t="s">
        <v>5</v>
      </c>
      <c r="C2726" s="97" t="s">
        <v>158</v>
      </c>
      <c r="D2726" s="99">
        <v>1.0184992547868801</v>
      </c>
      <c r="E2726" s="99">
        <v>1.1264852624536199</v>
      </c>
      <c r="F2726" s="99">
        <v>1.11650692073641</v>
      </c>
    </row>
    <row r="2727" spans="1:6" hidden="1" x14ac:dyDescent="0.2">
      <c r="A2727" s="100" t="s">
        <v>183</v>
      </c>
      <c r="B2727" s="100" t="s">
        <v>6</v>
      </c>
      <c r="C2727" s="100" t="s">
        <v>153</v>
      </c>
      <c r="D2727" s="101">
        <v>272512</v>
      </c>
      <c r="E2727" s="101">
        <v>137827</v>
      </c>
      <c r="F2727" s="101">
        <v>134685</v>
      </c>
    </row>
    <row r="2728" spans="1:6" hidden="1" x14ac:dyDescent="0.2">
      <c r="A2728" s="102" t="s">
        <v>183</v>
      </c>
      <c r="B2728" s="102" t="s">
        <v>6</v>
      </c>
      <c r="C2728" s="102" t="s">
        <v>154</v>
      </c>
      <c r="D2728" s="103">
        <v>4921.4882636518296</v>
      </c>
      <c r="E2728" s="103">
        <v>2681.1120982254001</v>
      </c>
      <c r="F2728" s="103">
        <v>2906.2500926831999</v>
      </c>
    </row>
    <row r="2729" spans="1:6" hidden="1" x14ac:dyDescent="0.2">
      <c r="A2729" s="102" t="s">
        <v>183</v>
      </c>
      <c r="B2729" s="102" t="s">
        <v>6</v>
      </c>
      <c r="C2729" s="102" t="s">
        <v>155</v>
      </c>
      <c r="D2729" s="103">
        <v>264415.06777884997</v>
      </c>
      <c r="E2729" s="103">
        <v>133415.980045534</v>
      </c>
      <c r="F2729" s="103">
        <v>129903.57845482101</v>
      </c>
    </row>
    <row r="2730" spans="1:6" hidden="1" x14ac:dyDescent="0.2">
      <c r="A2730" s="102" t="s">
        <v>183</v>
      </c>
      <c r="B2730" s="102" t="s">
        <v>6</v>
      </c>
      <c r="C2730" s="102" t="s">
        <v>156</v>
      </c>
      <c r="D2730" s="103">
        <v>280608.93222114898</v>
      </c>
      <c r="E2730" s="103">
        <v>142238.01995446501</v>
      </c>
      <c r="F2730" s="103">
        <v>139466.42154517799</v>
      </c>
    </row>
    <row r="2731" spans="1:6" hidden="1" x14ac:dyDescent="0.2">
      <c r="A2731" s="102" t="s">
        <v>183</v>
      </c>
      <c r="B2731" s="102" t="s">
        <v>6</v>
      </c>
      <c r="C2731" s="102" t="s">
        <v>157</v>
      </c>
      <c r="D2731" s="104">
        <v>1.8059712099473899</v>
      </c>
      <c r="E2731" s="104">
        <v>1.9452734937460701</v>
      </c>
      <c r="F2731" s="104">
        <v>2.1578127428319398</v>
      </c>
    </row>
    <row r="2732" spans="1:6" hidden="1" x14ac:dyDescent="0.2">
      <c r="A2732" s="102" t="s">
        <v>183</v>
      </c>
      <c r="B2732" s="102" t="s">
        <v>6</v>
      </c>
      <c r="C2732" s="102" t="s">
        <v>158</v>
      </c>
      <c r="D2732" s="104">
        <v>0.98793343180672</v>
      </c>
      <c r="E2732" s="104">
        <v>1.0237328637709999</v>
      </c>
      <c r="F2732" s="104">
        <v>1.2054202897992701</v>
      </c>
    </row>
    <row r="2733" spans="1:6" hidden="1" x14ac:dyDescent="0.2">
      <c r="A2733" s="95" t="s">
        <v>183</v>
      </c>
      <c r="B2733" s="95" t="s">
        <v>7</v>
      </c>
      <c r="C2733" s="95" t="s">
        <v>153</v>
      </c>
      <c r="D2733" s="96">
        <v>279370</v>
      </c>
      <c r="E2733" s="96">
        <v>142739</v>
      </c>
      <c r="F2733" s="96">
        <v>136631</v>
      </c>
    </row>
    <row r="2734" spans="1:6" hidden="1" x14ac:dyDescent="0.2">
      <c r="A2734" s="97" t="s">
        <v>183</v>
      </c>
      <c r="B2734" s="97" t="s">
        <v>7</v>
      </c>
      <c r="C2734" s="97" t="s">
        <v>154</v>
      </c>
      <c r="D2734" s="98">
        <v>5029.9175665038401</v>
      </c>
      <c r="E2734" s="98">
        <v>2931.8774161044698</v>
      </c>
      <c r="F2734" s="98">
        <v>2686.3331041520601</v>
      </c>
    </row>
    <row r="2735" spans="1:6" hidden="1" x14ac:dyDescent="0.2">
      <c r="A2735" s="97" t="s">
        <v>183</v>
      </c>
      <c r="B2735" s="97" t="s">
        <v>7</v>
      </c>
      <c r="C2735" s="97" t="s">
        <v>155</v>
      </c>
      <c r="D2735" s="98">
        <v>271094.67769257003</v>
      </c>
      <c r="E2735" s="98">
        <v>137915.41586301301</v>
      </c>
      <c r="F2735" s="98">
        <v>132211.39034078401</v>
      </c>
    </row>
    <row r="2736" spans="1:6" hidden="1" x14ac:dyDescent="0.2">
      <c r="A2736" s="97" t="s">
        <v>183</v>
      </c>
      <c r="B2736" s="97" t="s">
        <v>7</v>
      </c>
      <c r="C2736" s="97" t="s">
        <v>156</v>
      </c>
      <c r="D2736" s="98">
        <v>287645.32230742899</v>
      </c>
      <c r="E2736" s="98">
        <v>147562.584136986</v>
      </c>
      <c r="F2736" s="98">
        <v>141050.609659215</v>
      </c>
    </row>
    <row r="2737" spans="1:6" hidden="1" x14ac:dyDescent="0.2">
      <c r="A2737" s="97" t="s">
        <v>183</v>
      </c>
      <c r="B2737" s="97" t="s">
        <v>7</v>
      </c>
      <c r="C2737" s="97" t="s">
        <v>157</v>
      </c>
      <c r="D2737" s="99">
        <v>1.8004501437175899</v>
      </c>
      <c r="E2737" s="99">
        <v>2.0540128599082701</v>
      </c>
      <c r="F2737" s="99">
        <v>1.9661226984740301</v>
      </c>
    </row>
    <row r="2738" spans="1:6" hidden="1" x14ac:dyDescent="0.2">
      <c r="A2738" s="97" t="s">
        <v>183</v>
      </c>
      <c r="B2738" s="97" t="s">
        <v>7</v>
      </c>
      <c r="C2738" s="97" t="s">
        <v>158</v>
      </c>
      <c r="D2738" s="99">
        <v>0.94596603526087997</v>
      </c>
      <c r="E2738" s="99">
        <v>1.0568951821988</v>
      </c>
      <c r="F2738" s="99">
        <v>1.0145464014194201</v>
      </c>
    </row>
    <row r="2739" spans="1:6" hidden="1" x14ac:dyDescent="0.2">
      <c r="A2739" s="100" t="s">
        <v>183</v>
      </c>
      <c r="B2739" s="100" t="s">
        <v>8</v>
      </c>
      <c r="C2739" s="100" t="s">
        <v>153</v>
      </c>
      <c r="D2739" s="101">
        <v>263931</v>
      </c>
      <c r="E2739" s="101">
        <v>130418</v>
      </c>
      <c r="F2739" s="101">
        <v>133513</v>
      </c>
    </row>
    <row r="2740" spans="1:6" hidden="1" x14ac:dyDescent="0.2">
      <c r="A2740" s="102" t="s">
        <v>183</v>
      </c>
      <c r="B2740" s="102" t="s">
        <v>8</v>
      </c>
      <c r="C2740" s="102" t="s">
        <v>154</v>
      </c>
      <c r="D2740" s="103">
        <v>5057.23811923843</v>
      </c>
      <c r="E2740" s="103">
        <v>2760.8586487551302</v>
      </c>
      <c r="F2740" s="103">
        <v>2877.6482137684602</v>
      </c>
    </row>
    <row r="2741" spans="1:6" hidden="1" x14ac:dyDescent="0.2">
      <c r="A2741" s="102" t="s">
        <v>183</v>
      </c>
      <c r="B2741" s="102" t="s">
        <v>8</v>
      </c>
      <c r="C2741" s="102" t="s">
        <v>155</v>
      </c>
      <c r="D2741" s="103">
        <v>255610.72936558301</v>
      </c>
      <c r="E2741" s="103">
        <v>125875.779404606</v>
      </c>
      <c r="F2741" s="103">
        <v>128778.634845605</v>
      </c>
    </row>
    <row r="2742" spans="1:6" hidden="1" x14ac:dyDescent="0.2">
      <c r="A2742" s="102" t="s">
        <v>183</v>
      </c>
      <c r="B2742" s="102" t="s">
        <v>8</v>
      </c>
      <c r="C2742" s="102" t="s">
        <v>156</v>
      </c>
      <c r="D2742" s="103">
        <v>272251.27063441603</v>
      </c>
      <c r="E2742" s="103">
        <v>134960.22059539301</v>
      </c>
      <c r="F2742" s="103">
        <v>138247.36515439401</v>
      </c>
    </row>
    <row r="2743" spans="1:6" hidden="1" x14ac:dyDescent="0.2">
      <c r="A2743" s="102" t="s">
        <v>183</v>
      </c>
      <c r="B2743" s="102" t="s">
        <v>8</v>
      </c>
      <c r="C2743" s="102" t="s">
        <v>157</v>
      </c>
      <c r="D2743" s="104">
        <v>1.9161213041432901</v>
      </c>
      <c r="E2743" s="104">
        <v>2.1169306757925499</v>
      </c>
      <c r="F2743" s="104">
        <v>2.1553318506575798</v>
      </c>
    </row>
    <row r="2744" spans="1:6" hidden="1" x14ac:dyDescent="0.2">
      <c r="A2744" s="102" t="s">
        <v>183</v>
      </c>
      <c r="B2744" s="102" t="s">
        <v>8</v>
      </c>
      <c r="C2744" s="102" t="s">
        <v>158</v>
      </c>
      <c r="D2744" s="104">
        <v>0.99638415119085</v>
      </c>
      <c r="E2744" s="104">
        <v>1.04348468388756</v>
      </c>
      <c r="F2744" s="104">
        <v>1.1449038159276701</v>
      </c>
    </row>
    <row r="2745" spans="1:6" hidden="1" x14ac:dyDescent="0.2">
      <c r="A2745" s="95" t="s">
        <v>183</v>
      </c>
      <c r="B2745" s="95" t="s">
        <v>9</v>
      </c>
      <c r="C2745" s="95" t="s">
        <v>153</v>
      </c>
      <c r="D2745" s="96">
        <v>215267</v>
      </c>
      <c r="E2745" s="96">
        <v>106293</v>
      </c>
      <c r="F2745" s="96">
        <v>108974</v>
      </c>
    </row>
    <row r="2746" spans="1:6" hidden="1" x14ac:dyDescent="0.2">
      <c r="A2746" s="97" t="s">
        <v>183</v>
      </c>
      <c r="B2746" s="97" t="s">
        <v>9</v>
      </c>
      <c r="C2746" s="97" t="s">
        <v>154</v>
      </c>
      <c r="D2746" s="98">
        <v>4337.0901341456502</v>
      </c>
      <c r="E2746" s="98">
        <v>2451.4723766263301</v>
      </c>
      <c r="F2746" s="98">
        <v>2311.5136498951802</v>
      </c>
    </row>
    <row r="2747" spans="1:6" hidden="1" x14ac:dyDescent="0.2">
      <c r="A2747" s="97" t="s">
        <v>183</v>
      </c>
      <c r="B2747" s="97" t="s">
        <v>9</v>
      </c>
      <c r="C2747" s="97" t="s">
        <v>155</v>
      </c>
      <c r="D2747" s="98">
        <v>208131.531423846</v>
      </c>
      <c r="E2747" s="98">
        <v>102259.78796896301</v>
      </c>
      <c r="F2747" s="98">
        <v>105171.05090232599</v>
      </c>
    </row>
    <row r="2748" spans="1:6" hidden="1" x14ac:dyDescent="0.2">
      <c r="A2748" s="97" t="s">
        <v>183</v>
      </c>
      <c r="B2748" s="97" t="s">
        <v>9</v>
      </c>
      <c r="C2748" s="97" t="s">
        <v>156</v>
      </c>
      <c r="D2748" s="98">
        <v>222402.46857615301</v>
      </c>
      <c r="E2748" s="98">
        <v>110326.212031036</v>
      </c>
      <c r="F2748" s="98">
        <v>112776.949097673</v>
      </c>
    </row>
    <row r="2749" spans="1:6" hidden="1" x14ac:dyDescent="0.2">
      <c r="A2749" s="97" t="s">
        <v>183</v>
      </c>
      <c r="B2749" s="97" t="s">
        <v>9</v>
      </c>
      <c r="C2749" s="97" t="s">
        <v>157</v>
      </c>
      <c r="D2749" s="99">
        <v>2.0147491878205401</v>
      </c>
      <c r="E2749" s="99">
        <v>2.30633473194503</v>
      </c>
      <c r="F2749" s="99">
        <v>2.12116068960961</v>
      </c>
    </row>
    <row r="2750" spans="1:6" hidden="1" x14ac:dyDescent="0.2">
      <c r="A2750" s="97" t="s">
        <v>183</v>
      </c>
      <c r="B2750" s="97" t="s">
        <v>9</v>
      </c>
      <c r="C2750" s="97" t="s">
        <v>158</v>
      </c>
      <c r="D2750" s="99">
        <v>1.0947218637348901</v>
      </c>
      <c r="E2750" s="99">
        <v>1.25383300296616</v>
      </c>
      <c r="F2750" s="99">
        <v>1.0916482167375501</v>
      </c>
    </row>
    <row r="2751" spans="1:6" hidden="1" x14ac:dyDescent="0.2">
      <c r="A2751" s="100" t="s">
        <v>183</v>
      </c>
      <c r="B2751" s="100" t="s">
        <v>10</v>
      </c>
      <c r="C2751" s="100" t="s">
        <v>153</v>
      </c>
      <c r="D2751" s="101">
        <v>209698</v>
      </c>
      <c r="E2751" s="101">
        <v>100257</v>
      </c>
      <c r="F2751" s="101">
        <v>109441</v>
      </c>
    </row>
    <row r="2752" spans="1:6" hidden="1" x14ac:dyDescent="0.2">
      <c r="A2752" s="102" t="s">
        <v>183</v>
      </c>
      <c r="B2752" s="102" t="s">
        <v>10</v>
      </c>
      <c r="C2752" s="102" t="s">
        <v>154</v>
      </c>
      <c r="D2752" s="103">
        <v>4491.7497722705903</v>
      </c>
      <c r="E2752" s="103">
        <v>2366.5414210355698</v>
      </c>
      <c r="F2752" s="103">
        <v>2534.6052510014501</v>
      </c>
    </row>
    <row r="2753" spans="1:6" hidden="1" x14ac:dyDescent="0.2">
      <c r="A2753" s="102" t="s">
        <v>183</v>
      </c>
      <c r="B2753" s="102" t="s">
        <v>10</v>
      </c>
      <c r="C2753" s="102" t="s">
        <v>155</v>
      </c>
      <c r="D2753" s="103">
        <v>202308.08225315699</v>
      </c>
      <c r="E2753" s="103">
        <v>96363.5180981554</v>
      </c>
      <c r="F2753" s="103">
        <v>105271.01607942399</v>
      </c>
    </row>
    <row r="2754" spans="1:6" hidden="1" x14ac:dyDescent="0.2">
      <c r="A2754" s="102" t="s">
        <v>183</v>
      </c>
      <c r="B2754" s="102" t="s">
        <v>10</v>
      </c>
      <c r="C2754" s="102" t="s">
        <v>156</v>
      </c>
      <c r="D2754" s="103">
        <v>217087.91774684301</v>
      </c>
      <c r="E2754" s="103">
        <v>104150.481901844</v>
      </c>
      <c r="F2754" s="103">
        <v>113610.983920575</v>
      </c>
    </row>
    <row r="2755" spans="1:6" hidden="1" x14ac:dyDescent="0.2">
      <c r="A2755" s="102" t="s">
        <v>183</v>
      </c>
      <c r="B2755" s="102" t="s">
        <v>10</v>
      </c>
      <c r="C2755" s="102" t="s">
        <v>157</v>
      </c>
      <c r="D2755" s="104">
        <v>2.1420088757501698</v>
      </c>
      <c r="E2755" s="104">
        <v>2.3604750002848398</v>
      </c>
      <c r="F2755" s="104">
        <v>2.3159558584090498</v>
      </c>
    </row>
    <row r="2756" spans="1:6" hidden="1" x14ac:dyDescent="0.2">
      <c r="A2756" s="102" t="s">
        <v>183</v>
      </c>
      <c r="B2756" s="102" t="s">
        <v>10</v>
      </c>
      <c r="C2756" s="102" t="s">
        <v>158</v>
      </c>
      <c r="D2756" s="104">
        <v>1.2375892451698101</v>
      </c>
      <c r="E2756" s="104">
        <v>1.2785369645183799</v>
      </c>
      <c r="F2756" s="104">
        <v>1.3395328852362201</v>
      </c>
    </row>
    <row r="2757" spans="1:6" hidden="1" x14ac:dyDescent="0.2">
      <c r="A2757" s="95" t="s">
        <v>183</v>
      </c>
      <c r="B2757" s="95" t="s">
        <v>11</v>
      </c>
      <c r="C2757" s="95" t="s">
        <v>153</v>
      </c>
      <c r="D2757" s="96">
        <v>209795</v>
      </c>
      <c r="E2757" s="96">
        <v>101631</v>
      </c>
      <c r="F2757" s="96">
        <v>108164</v>
      </c>
    </row>
    <row r="2758" spans="1:6" hidden="1" x14ac:dyDescent="0.2">
      <c r="A2758" s="97" t="s">
        <v>183</v>
      </c>
      <c r="B2758" s="97" t="s">
        <v>11</v>
      </c>
      <c r="C2758" s="97" t="s">
        <v>154</v>
      </c>
      <c r="D2758" s="98">
        <v>4250.8844139163202</v>
      </c>
      <c r="E2758" s="98">
        <v>2209.3034457591798</v>
      </c>
      <c r="F2758" s="98">
        <v>2407.5859012129499</v>
      </c>
    </row>
    <row r="2759" spans="1:6" hidden="1" x14ac:dyDescent="0.2">
      <c r="A2759" s="97" t="s">
        <v>183</v>
      </c>
      <c r="B2759" s="97" t="s">
        <v>11</v>
      </c>
      <c r="C2759" s="97" t="s">
        <v>155</v>
      </c>
      <c r="D2759" s="98">
        <v>202801.358821653</v>
      </c>
      <c r="E2759" s="98">
        <v>97996.209201374499</v>
      </c>
      <c r="F2759" s="98">
        <v>104202.990887636</v>
      </c>
    </row>
    <row r="2760" spans="1:6" hidden="1" x14ac:dyDescent="0.2">
      <c r="A2760" s="97" t="s">
        <v>183</v>
      </c>
      <c r="B2760" s="97" t="s">
        <v>11</v>
      </c>
      <c r="C2760" s="97" t="s">
        <v>156</v>
      </c>
      <c r="D2760" s="98">
        <v>216788.64117834601</v>
      </c>
      <c r="E2760" s="98">
        <v>105265.79079862501</v>
      </c>
      <c r="F2760" s="98">
        <v>112125.009112364</v>
      </c>
    </row>
    <row r="2761" spans="1:6" hidden="1" x14ac:dyDescent="0.2">
      <c r="A2761" s="97" t="s">
        <v>183</v>
      </c>
      <c r="B2761" s="97" t="s">
        <v>11</v>
      </c>
      <c r="C2761" s="97" t="s">
        <v>157</v>
      </c>
      <c r="D2761" s="99">
        <v>2.02620863886952</v>
      </c>
      <c r="E2761" s="99">
        <v>2.17384798512184</v>
      </c>
      <c r="F2761" s="99">
        <v>2.2258661858039201</v>
      </c>
    </row>
    <row r="2762" spans="1:6" hidden="1" x14ac:dyDescent="0.2">
      <c r="A2762" s="97" t="s">
        <v>183</v>
      </c>
      <c r="B2762" s="97" t="s">
        <v>11</v>
      </c>
      <c r="C2762" s="97" t="s">
        <v>158</v>
      </c>
      <c r="D2762" s="99">
        <v>1.14647522628361</v>
      </c>
      <c r="E2762" s="99">
        <v>1.1720651680787399</v>
      </c>
      <c r="F2762" s="99">
        <v>1.2388316283976599</v>
      </c>
    </row>
    <row r="2763" spans="1:6" hidden="1" x14ac:dyDescent="0.2">
      <c r="A2763" s="100" t="s">
        <v>183</v>
      </c>
      <c r="B2763" s="100" t="s">
        <v>12</v>
      </c>
      <c r="C2763" s="100" t="s">
        <v>153</v>
      </c>
      <c r="D2763" s="101">
        <v>205798</v>
      </c>
      <c r="E2763" s="101">
        <v>101412</v>
      </c>
      <c r="F2763" s="101">
        <v>104386</v>
      </c>
    </row>
    <row r="2764" spans="1:6" hidden="1" x14ac:dyDescent="0.2">
      <c r="A2764" s="102" t="s">
        <v>183</v>
      </c>
      <c r="B2764" s="102" t="s">
        <v>12</v>
      </c>
      <c r="C2764" s="102" t="s">
        <v>154</v>
      </c>
      <c r="D2764" s="103">
        <v>4233.5684185607297</v>
      </c>
      <c r="E2764" s="103">
        <v>2236.4727681333102</v>
      </c>
      <c r="F2764" s="103">
        <v>2377.9702735074802</v>
      </c>
    </row>
    <row r="2765" spans="1:6" hidden="1" x14ac:dyDescent="0.2">
      <c r="A2765" s="102" t="s">
        <v>183</v>
      </c>
      <c r="B2765" s="102" t="s">
        <v>12</v>
      </c>
      <c r="C2765" s="102" t="s">
        <v>155</v>
      </c>
      <c r="D2765" s="103">
        <v>198832.84744810601</v>
      </c>
      <c r="E2765" s="103">
        <v>97732.509681641299</v>
      </c>
      <c r="F2765" s="103">
        <v>100473.715118472</v>
      </c>
    </row>
    <row r="2766" spans="1:6" hidden="1" x14ac:dyDescent="0.2">
      <c r="A2766" s="102" t="s">
        <v>183</v>
      </c>
      <c r="B2766" s="102" t="s">
        <v>12</v>
      </c>
      <c r="C2766" s="102" t="s">
        <v>156</v>
      </c>
      <c r="D2766" s="103">
        <v>212763.152551893</v>
      </c>
      <c r="E2766" s="103">
        <v>105091.490318358</v>
      </c>
      <c r="F2766" s="103">
        <v>108298.284881527</v>
      </c>
    </row>
    <row r="2767" spans="1:6" hidden="1" x14ac:dyDescent="0.2">
      <c r="A2767" s="102" t="s">
        <v>183</v>
      </c>
      <c r="B2767" s="102" t="s">
        <v>12</v>
      </c>
      <c r="C2767" s="102" t="s">
        <v>157</v>
      </c>
      <c r="D2767" s="104">
        <v>2.0571475031636499</v>
      </c>
      <c r="E2767" s="104">
        <v>2.2053334596825902</v>
      </c>
      <c r="F2767" s="104">
        <v>2.2780547904005202</v>
      </c>
    </row>
    <row r="2768" spans="1:6" hidden="1" x14ac:dyDescent="0.2">
      <c r="A2768" s="102" t="s">
        <v>183</v>
      </c>
      <c r="B2768" s="102" t="s">
        <v>12</v>
      </c>
      <c r="C2768" s="102" t="s">
        <v>158</v>
      </c>
      <c r="D2768" s="104">
        <v>1.20678106199184</v>
      </c>
      <c r="E2768" s="104">
        <v>1.23964411918429</v>
      </c>
      <c r="F2768" s="104">
        <v>1.30160692559303</v>
      </c>
    </row>
    <row r="2769" spans="1:6" hidden="1" x14ac:dyDescent="0.2">
      <c r="A2769" s="95" t="s">
        <v>183</v>
      </c>
      <c r="B2769" s="95" t="s">
        <v>13</v>
      </c>
      <c r="C2769" s="95" t="s">
        <v>153</v>
      </c>
      <c r="D2769" s="96">
        <v>173561</v>
      </c>
      <c r="E2769" s="96">
        <v>84061</v>
      </c>
      <c r="F2769" s="96">
        <v>89500</v>
      </c>
    </row>
    <row r="2770" spans="1:6" hidden="1" x14ac:dyDescent="0.2">
      <c r="A2770" s="97" t="s">
        <v>183</v>
      </c>
      <c r="B2770" s="97" t="s">
        <v>13</v>
      </c>
      <c r="C2770" s="97" t="s">
        <v>154</v>
      </c>
      <c r="D2770" s="98">
        <v>3525.7448996401299</v>
      </c>
      <c r="E2770" s="98">
        <v>1860.22498681979</v>
      </c>
      <c r="F2770" s="98">
        <v>2063.0694740368699</v>
      </c>
    </row>
    <row r="2771" spans="1:6" hidden="1" x14ac:dyDescent="0.2">
      <c r="A2771" s="97" t="s">
        <v>183</v>
      </c>
      <c r="B2771" s="97" t="s">
        <v>13</v>
      </c>
      <c r="C2771" s="97" t="s">
        <v>155</v>
      </c>
      <c r="D2771" s="98">
        <v>167760.37304487801</v>
      </c>
      <c r="E2771" s="98">
        <v>81000.520155800798</v>
      </c>
      <c r="F2771" s="98">
        <v>86105.796294959597</v>
      </c>
    </row>
    <row r="2772" spans="1:6" hidden="1" x14ac:dyDescent="0.2">
      <c r="A2772" s="97" t="s">
        <v>183</v>
      </c>
      <c r="B2772" s="97" t="s">
        <v>13</v>
      </c>
      <c r="C2772" s="97" t="s">
        <v>156</v>
      </c>
      <c r="D2772" s="98">
        <v>179361.626955121</v>
      </c>
      <c r="E2772" s="98">
        <v>87121.479844199202</v>
      </c>
      <c r="F2772" s="98">
        <v>92894.203705040403</v>
      </c>
    </row>
    <row r="2773" spans="1:6" hidden="1" x14ac:dyDescent="0.2">
      <c r="A2773" s="97" t="s">
        <v>183</v>
      </c>
      <c r="B2773" s="97" t="s">
        <v>13</v>
      </c>
      <c r="C2773" s="97" t="s">
        <v>157</v>
      </c>
      <c r="D2773" s="99">
        <v>2.0314154099366402</v>
      </c>
      <c r="E2773" s="99">
        <v>2.2129465350397801</v>
      </c>
      <c r="F2773" s="99">
        <v>2.3051055575830901</v>
      </c>
    </row>
    <row r="2774" spans="1:6" hidden="1" x14ac:dyDescent="0.2">
      <c r="A2774" s="97" t="s">
        <v>183</v>
      </c>
      <c r="B2774" s="97" t="s">
        <v>13</v>
      </c>
      <c r="C2774" s="97" t="s">
        <v>158</v>
      </c>
      <c r="D2774" s="99">
        <v>1.1677593116104701</v>
      </c>
      <c r="E2774" s="99">
        <v>1.21322583671298</v>
      </c>
      <c r="F2774" s="99">
        <v>1.3055778134027101</v>
      </c>
    </row>
    <row r="2775" spans="1:6" hidden="1" x14ac:dyDescent="0.2">
      <c r="A2775" s="100" t="s">
        <v>183</v>
      </c>
      <c r="B2775" s="100" t="s">
        <v>14</v>
      </c>
      <c r="C2775" s="100" t="s">
        <v>153</v>
      </c>
      <c r="D2775" s="101">
        <v>157661</v>
      </c>
      <c r="E2775" s="101">
        <v>74326</v>
      </c>
      <c r="F2775" s="101">
        <v>83335</v>
      </c>
    </row>
    <row r="2776" spans="1:6" hidden="1" x14ac:dyDescent="0.2">
      <c r="A2776" s="102" t="s">
        <v>183</v>
      </c>
      <c r="B2776" s="102" t="s">
        <v>14</v>
      </c>
      <c r="C2776" s="102" t="s">
        <v>154</v>
      </c>
      <c r="D2776" s="103">
        <v>3353.8130456874801</v>
      </c>
      <c r="E2776" s="103">
        <v>1721.71933525088</v>
      </c>
      <c r="F2776" s="103">
        <v>2033.52636022356</v>
      </c>
    </row>
    <row r="2777" spans="1:6" hidden="1" x14ac:dyDescent="0.2">
      <c r="A2777" s="102" t="s">
        <v>183</v>
      </c>
      <c r="B2777" s="102" t="s">
        <v>14</v>
      </c>
      <c r="C2777" s="102" t="s">
        <v>155</v>
      </c>
      <c r="D2777" s="103">
        <v>152143.238815055</v>
      </c>
      <c r="E2777" s="103">
        <v>71493.392460461604</v>
      </c>
      <c r="F2777" s="103">
        <v>79989.401224471396</v>
      </c>
    </row>
    <row r="2778" spans="1:6" hidden="1" x14ac:dyDescent="0.2">
      <c r="A2778" s="102" t="s">
        <v>183</v>
      </c>
      <c r="B2778" s="102" t="s">
        <v>14</v>
      </c>
      <c r="C2778" s="102" t="s">
        <v>156</v>
      </c>
      <c r="D2778" s="103">
        <v>163178.76118494401</v>
      </c>
      <c r="E2778" s="103">
        <v>77158.607539538294</v>
      </c>
      <c r="F2778" s="103">
        <v>86680.598775528502</v>
      </c>
    </row>
    <row r="2779" spans="1:6" hidden="1" x14ac:dyDescent="0.2">
      <c r="A2779" s="102" t="s">
        <v>183</v>
      </c>
      <c r="B2779" s="102" t="s">
        <v>14</v>
      </c>
      <c r="C2779" s="102" t="s">
        <v>157</v>
      </c>
      <c r="D2779" s="104">
        <v>2.1272306059757802</v>
      </c>
      <c r="E2779" s="104">
        <v>2.3164428803526098</v>
      </c>
      <c r="F2779" s="104">
        <v>2.44018282861169</v>
      </c>
    </row>
    <row r="2780" spans="1:6" hidden="1" x14ac:dyDescent="0.2">
      <c r="A2780" s="102" t="s">
        <v>183</v>
      </c>
      <c r="B2780" s="102" t="s">
        <v>14</v>
      </c>
      <c r="C2780" s="102" t="s">
        <v>158</v>
      </c>
      <c r="D2780" s="104">
        <v>1.2389120159588001</v>
      </c>
      <c r="E2780" s="104">
        <v>1.29604915114929</v>
      </c>
      <c r="F2780" s="104">
        <v>1.3979288848760201</v>
      </c>
    </row>
    <row r="2781" spans="1:6" hidden="1" x14ac:dyDescent="0.2">
      <c r="A2781" s="95" t="s">
        <v>183</v>
      </c>
      <c r="B2781" s="95" t="s">
        <v>15</v>
      </c>
      <c r="C2781" s="95" t="s">
        <v>153</v>
      </c>
      <c r="D2781" s="96">
        <v>125878</v>
      </c>
      <c r="E2781" s="96">
        <v>60910</v>
      </c>
      <c r="F2781" s="96">
        <v>64968</v>
      </c>
    </row>
    <row r="2782" spans="1:6" hidden="1" x14ac:dyDescent="0.2">
      <c r="A2782" s="97" t="s">
        <v>183</v>
      </c>
      <c r="B2782" s="97" t="s">
        <v>15</v>
      </c>
      <c r="C2782" s="97" t="s">
        <v>154</v>
      </c>
      <c r="D2782" s="98">
        <v>2844.6539705223099</v>
      </c>
      <c r="E2782" s="98">
        <v>1551.2401448046901</v>
      </c>
      <c r="F2782" s="98">
        <v>1693.5823938942499</v>
      </c>
    </row>
    <row r="2783" spans="1:6" hidden="1" x14ac:dyDescent="0.2">
      <c r="A2783" s="97" t="s">
        <v>183</v>
      </c>
      <c r="B2783" s="97" t="s">
        <v>15</v>
      </c>
      <c r="C2783" s="97" t="s">
        <v>155</v>
      </c>
      <c r="D2783" s="98">
        <v>121197.917643194</v>
      </c>
      <c r="E2783" s="98">
        <v>58357.868279200098</v>
      </c>
      <c r="F2783" s="98">
        <v>62181.683926552803</v>
      </c>
    </row>
    <row r="2784" spans="1:6" hidden="1" x14ac:dyDescent="0.2">
      <c r="A2784" s="97" t="s">
        <v>183</v>
      </c>
      <c r="B2784" s="97" t="s">
        <v>15</v>
      </c>
      <c r="C2784" s="97" t="s">
        <v>156</v>
      </c>
      <c r="D2784" s="98">
        <v>130558.082356805</v>
      </c>
      <c r="E2784" s="98">
        <v>63462.131720799902</v>
      </c>
      <c r="F2784" s="98">
        <v>67754.316073447102</v>
      </c>
    </row>
    <row r="2785" spans="1:6" hidden="1" x14ac:dyDescent="0.2">
      <c r="A2785" s="97" t="s">
        <v>183</v>
      </c>
      <c r="B2785" s="97" t="s">
        <v>15</v>
      </c>
      <c r="C2785" s="97" t="s">
        <v>157</v>
      </c>
      <c r="D2785" s="99">
        <v>2.2598499900874698</v>
      </c>
      <c r="E2785" s="99">
        <v>2.5467741664828201</v>
      </c>
      <c r="F2785" s="99">
        <v>2.6067947203149999</v>
      </c>
    </row>
    <row r="2786" spans="1:6" hidden="1" x14ac:dyDescent="0.2">
      <c r="A2786" s="97" t="s">
        <v>183</v>
      </c>
      <c r="B2786" s="97" t="s">
        <v>15</v>
      </c>
      <c r="C2786" s="97" t="s">
        <v>158</v>
      </c>
      <c r="D2786" s="99">
        <v>1.30643764089313</v>
      </c>
      <c r="E2786" s="99">
        <v>1.4084518037979601</v>
      </c>
      <c r="F2786" s="99">
        <v>1.45455907050697</v>
      </c>
    </row>
    <row r="2787" spans="1:6" hidden="1" x14ac:dyDescent="0.2">
      <c r="A2787" s="100" t="s">
        <v>183</v>
      </c>
      <c r="B2787" s="100" t="s">
        <v>16</v>
      </c>
      <c r="C2787" s="100" t="s">
        <v>153</v>
      </c>
      <c r="D2787" s="101">
        <v>101985</v>
      </c>
      <c r="E2787" s="101">
        <v>47730</v>
      </c>
      <c r="F2787" s="101">
        <v>54255</v>
      </c>
    </row>
    <row r="2788" spans="1:6" hidden="1" x14ac:dyDescent="0.2">
      <c r="A2788" s="102" t="s">
        <v>183</v>
      </c>
      <c r="B2788" s="102" t="s">
        <v>16</v>
      </c>
      <c r="C2788" s="102" t="s">
        <v>154</v>
      </c>
      <c r="D2788" s="103">
        <v>2580.4493719391398</v>
      </c>
      <c r="E2788" s="103">
        <v>1306.1269078989301</v>
      </c>
      <c r="F2788" s="103">
        <v>1624.2123365135401</v>
      </c>
    </row>
    <row r="2789" spans="1:6" hidden="1" x14ac:dyDescent="0.2">
      <c r="A2789" s="102" t="s">
        <v>183</v>
      </c>
      <c r="B2789" s="102" t="s">
        <v>16</v>
      </c>
      <c r="C2789" s="102" t="s">
        <v>155</v>
      </c>
      <c r="D2789" s="103">
        <v>97739.592402665498</v>
      </c>
      <c r="E2789" s="103">
        <v>45581.1335435695</v>
      </c>
      <c r="F2789" s="103">
        <v>51582.812950681</v>
      </c>
    </row>
    <row r="2790" spans="1:6" hidden="1" x14ac:dyDescent="0.2">
      <c r="A2790" s="102" t="s">
        <v>183</v>
      </c>
      <c r="B2790" s="102" t="s">
        <v>16</v>
      </c>
      <c r="C2790" s="102" t="s">
        <v>156</v>
      </c>
      <c r="D2790" s="103">
        <v>106230.40759733399</v>
      </c>
      <c r="E2790" s="103">
        <v>49878.866456430398</v>
      </c>
      <c r="F2790" s="103">
        <v>56927.187049318898</v>
      </c>
    </row>
    <row r="2791" spans="1:6" hidden="1" x14ac:dyDescent="0.2">
      <c r="A2791" s="102" t="s">
        <v>183</v>
      </c>
      <c r="B2791" s="102" t="s">
        <v>16</v>
      </c>
      <c r="C2791" s="102" t="s">
        <v>157</v>
      </c>
      <c r="D2791" s="104">
        <v>2.5302244172566</v>
      </c>
      <c r="E2791" s="104">
        <v>2.7364904837605999</v>
      </c>
      <c r="F2791" s="104">
        <v>2.9936638770869699</v>
      </c>
    </row>
    <row r="2792" spans="1:6" hidden="1" x14ac:dyDescent="0.2">
      <c r="A2792" s="102" t="s">
        <v>183</v>
      </c>
      <c r="B2792" s="102" t="s">
        <v>16</v>
      </c>
      <c r="C2792" s="102" t="s">
        <v>158</v>
      </c>
      <c r="D2792" s="104">
        <v>1.5098350785504899</v>
      </c>
      <c r="E2792" s="104">
        <v>1.47025182510733</v>
      </c>
      <c r="F2792" s="104">
        <v>1.74697612389148</v>
      </c>
    </row>
    <row r="2793" spans="1:6" hidden="1" x14ac:dyDescent="0.2">
      <c r="A2793" s="95" t="s">
        <v>183</v>
      </c>
      <c r="B2793" s="95" t="s">
        <v>17</v>
      </c>
      <c r="C2793" s="95" t="s">
        <v>153</v>
      </c>
      <c r="D2793" s="96">
        <v>78905</v>
      </c>
      <c r="E2793" s="96">
        <v>38477</v>
      </c>
      <c r="F2793" s="96">
        <v>40428</v>
      </c>
    </row>
    <row r="2794" spans="1:6" hidden="1" x14ac:dyDescent="0.2">
      <c r="A2794" s="97" t="s">
        <v>183</v>
      </c>
      <c r="B2794" s="97" t="s">
        <v>17</v>
      </c>
      <c r="C2794" s="97" t="s">
        <v>154</v>
      </c>
      <c r="D2794" s="98">
        <v>2320.66368069091</v>
      </c>
      <c r="E2794" s="98">
        <v>1236.93571463431</v>
      </c>
      <c r="F2794" s="98">
        <v>1376.79052355674</v>
      </c>
    </row>
    <row r="2795" spans="1:6" hidden="1" x14ac:dyDescent="0.2">
      <c r="A2795" s="97" t="s">
        <v>183</v>
      </c>
      <c r="B2795" s="97" t="s">
        <v>17</v>
      </c>
      <c r="C2795" s="97" t="s">
        <v>155</v>
      </c>
      <c r="D2795" s="98">
        <v>75086.997086243995</v>
      </c>
      <c r="E2795" s="98">
        <v>36441.968296829298</v>
      </c>
      <c r="F2795" s="98">
        <v>38162.876331150903</v>
      </c>
    </row>
    <row r="2796" spans="1:6" hidden="1" x14ac:dyDescent="0.2">
      <c r="A2796" s="97" t="s">
        <v>183</v>
      </c>
      <c r="B2796" s="97" t="s">
        <v>17</v>
      </c>
      <c r="C2796" s="97" t="s">
        <v>156</v>
      </c>
      <c r="D2796" s="98">
        <v>82723.002913755903</v>
      </c>
      <c r="E2796" s="98">
        <v>40512.0317031706</v>
      </c>
      <c r="F2796" s="98">
        <v>42693.123668849003</v>
      </c>
    </row>
    <row r="2797" spans="1:6" hidden="1" x14ac:dyDescent="0.2">
      <c r="A2797" s="97" t="s">
        <v>183</v>
      </c>
      <c r="B2797" s="97" t="s">
        <v>17</v>
      </c>
      <c r="C2797" s="97" t="s">
        <v>157</v>
      </c>
      <c r="D2797" s="99">
        <v>2.9410857115403499</v>
      </c>
      <c r="E2797" s="99">
        <v>3.2147405323552198</v>
      </c>
      <c r="F2797" s="99">
        <v>3.4055370623249899</v>
      </c>
    </row>
    <row r="2798" spans="1:6" hidden="1" x14ac:dyDescent="0.2">
      <c r="A2798" s="97" t="s">
        <v>183</v>
      </c>
      <c r="B2798" s="97" t="s">
        <v>17</v>
      </c>
      <c r="C2798" s="97" t="s">
        <v>158</v>
      </c>
      <c r="D2798" s="99">
        <v>1.74128430077394</v>
      </c>
      <c r="E2798" s="99">
        <v>1.74411829366938</v>
      </c>
      <c r="F2798" s="99">
        <v>1.86830982243347</v>
      </c>
    </row>
    <row r="2799" spans="1:6" hidden="1" x14ac:dyDescent="0.2">
      <c r="A2799" s="100" t="s">
        <v>183</v>
      </c>
      <c r="B2799" s="100" t="s">
        <v>18</v>
      </c>
      <c r="C2799" s="100" t="s">
        <v>153</v>
      </c>
      <c r="D2799" s="101">
        <v>61047</v>
      </c>
      <c r="E2799" s="101">
        <v>29215</v>
      </c>
      <c r="F2799" s="101">
        <v>31832</v>
      </c>
    </row>
    <row r="2800" spans="1:6" hidden="1" x14ac:dyDescent="0.2">
      <c r="A2800" s="102" t="s">
        <v>183</v>
      </c>
      <c r="B2800" s="102" t="s">
        <v>18</v>
      </c>
      <c r="C2800" s="102" t="s">
        <v>154</v>
      </c>
      <c r="D2800" s="103">
        <v>1784.9592580169799</v>
      </c>
      <c r="E2800" s="103">
        <v>956.24057177424402</v>
      </c>
      <c r="F2800" s="103">
        <v>1133.6494769097501</v>
      </c>
    </row>
    <row r="2801" spans="1:6" hidden="1" x14ac:dyDescent="0.2">
      <c r="A2801" s="102" t="s">
        <v>183</v>
      </c>
      <c r="B2801" s="102" t="s">
        <v>18</v>
      </c>
      <c r="C2801" s="102" t="s">
        <v>155</v>
      </c>
      <c r="D2801" s="103">
        <v>58110.348858023397</v>
      </c>
      <c r="E2801" s="103">
        <v>27641.773633911998</v>
      </c>
      <c r="F2801" s="103">
        <v>29966.896908141902</v>
      </c>
    </row>
    <row r="2802" spans="1:6" hidden="1" x14ac:dyDescent="0.2">
      <c r="A2802" s="102" t="s">
        <v>183</v>
      </c>
      <c r="B2802" s="102" t="s">
        <v>18</v>
      </c>
      <c r="C2802" s="102" t="s">
        <v>156</v>
      </c>
      <c r="D2802" s="103">
        <v>63983.651141976501</v>
      </c>
      <c r="E2802" s="103">
        <v>30788.2263660879</v>
      </c>
      <c r="F2802" s="103">
        <v>33697.103091858</v>
      </c>
    </row>
    <row r="2803" spans="1:6" hidden="1" x14ac:dyDescent="0.2">
      <c r="A2803" s="102" t="s">
        <v>183</v>
      </c>
      <c r="B2803" s="102" t="s">
        <v>18</v>
      </c>
      <c r="C2803" s="102" t="s">
        <v>157</v>
      </c>
      <c r="D2803" s="104">
        <v>2.92390986947267</v>
      </c>
      <c r="E2803" s="104">
        <v>3.2731150839440102</v>
      </c>
      <c r="F2803" s="104">
        <v>3.5613517118300999</v>
      </c>
    </row>
    <row r="2804" spans="1:6" hidden="1" x14ac:dyDescent="0.2">
      <c r="A2804" s="102" t="s">
        <v>183</v>
      </c>
      <c r="B2804" s="102" t="s">
        <v>18</v>
      </c>
      <c r="C2804" s="102" t="s">
        <v>158</v>
      </c>
      <c r="D2804" s="104">
        <v>1.6125743535336901</v>
      </c>
      <c r="E2804" s="104">
        <v>1.5513515688319699</v>
      </c>
      <c r="F2804" s="104">
        <v>1.89112768396111</v>
      </c>
    </row>
    <row r="2805" spans="1:6" hidden="1" x14ac:dyDescent="0.2">
      <c r="A2805" s="95" t="s">
        <v>183</v>
      </c>
      <c r="B2805" s="95" t="s">
        <v>19</v>
      </c>
      <c r="C2805" s="95" t="s">
        <v>153</v>
      </c>
      <c r="D2805" s="96">
        <v>86271</v>
      </c>
      <c r="E2805" s="96">
        <v>40678</v>
      </c>
      <c r="F2805" s="96">
        <v>45593</v>
      </c>
    </row>
    <row r="2806" spans="1:6" hidden="1" x14ac:dyDescent="0.2">
      <c r="A2806" s="97" t="s">
        <v>183</v>
      </c>
      <c r="B2806" s="97" t="s">
        <v>19</v>
      </c>
      <c r="C2806" s="97" t="s">
        <v>154</v>
      </c>
      <c r="D2806" s="98">
        <v>2281.19761948931</v>
      </c>
      <c r="E2806" s="98">
        <v>1224.7371011441401</v>
      </c>
      <c r="F2806" s="98">
        <v>1378.4899259669301</v>
      </c>
    </row>
    <row r="2807" spans="1:6" hidden="1" x14ac:dyDescent="0.2">
      <c r="A2807" s="97" t="s">
        <v>183</v>
      </c>
      <c r="B2807" s="97" t="s">
        <v>19</v>
      </c>
      <c r="C2807" s="97" t="s">
        <v>155</v>
      </c>
      <c r="D2807" s="98">
        <v>82517.927449879193</v>
      </c>
      <c r="E2807" s="98">
        <v>38663.037702937901</v>
      </c>
      <c r="F2807" s="98">
        <v>43325.080439868798</v>
      </c>
    </row>
    <row r="2808" spans="1:6" hidden="1" x14ac:dyDescent="0.2">
      <c r="A2808" s="97" t="s">
        <v>183</v>
      </c>
      <c r="B2808" s="97" t="s">
        <v>19</v>
      </c>
      <c r="C2808" s="97" t="s">
        <v>156</v>
      </c>
      <c r="D2808" s="98">
        <v>90024.072550120807</v>
      </c>
      <c r="E2808" s="98">
        <v>42692.962297061997</v>
      </c>
      <c r="F2808" s="98">
        <v>47860.919560131202</v>
      </c>
    </row>
    <row r="2809" spans="1:6" hidden="1" x14ac:dyDescent="0.2">
      <c r="A2809" s="97" t="s">
        <v>183</v>
      </c>
      <c r="B2809" s="97" t="s">
        <v>19</v>
      </c>
      <c r="C2809" s="97" t="s">
        <v>157</v>
      </c>
      <c r="D2809" s="99">
        <v>2.6442229943889699</v>
      </c>
      <c r="E2809" s="99">
        <v>3.0108095313047398</v>
      </c>
      <c r="F2809" s="99">
        <v>3.0234683525254602</v>
      </c>
    </row>
    <row r="2810" spans="1:6" hidden="1" x14ac:dyDescent="0.2">
      <c r="A2810" s="97" t="s">
        <v>183</v>
      </c>
      <c r="B2810" s="97" t="s">
        <v>19</v>
      </c>
      <c r="C2810" s="97" t="s">
        <v>158</v>
      </c>
      <c r="D2810" s="99">
        <v>1.39931103472555</v>
      </c>
      <c r="E2810" s="99">
        <v>1.48221453034619</v>
      </c>
      <c r="F2810" s="99">
        <v>1.51196615897691</v>
      </c>
    </row>
    <row r="2811" spans="1:6" hidden="1" x14ac:dyDescent="0.2">
      <c r="A2811" s="100" t="s">
        <v>183</v>
      </c>
      <c r="B2811" s="100" t="s">
        <v>20</v>
      </c>
      <c r="C2811" s="100" t="s">
        <v>153</v>
      </c>
      <c r="D2811" s="101">
        <v>991</v>
      </c>
      <c r="E2811" s="101">
        <v>386</v>
      </c>
      <c r="F2811" s="101">
        <v>605</v>
      </c>
    </row>
    <row r="2812" spans="1:6" hidden="1" x14ac:dyDescent="0.2">
      <c r="A2812" s="102" t="s">
        <v>183</v>
      </c>
      <c r="B2812" s="102" t="s">
        <v>20</v>
      </c>
      <c r="C2812" s="102" t="s">
        <v>154</v>
      </c>
      <c r="D2812" s="103">
        <v>141.40906629706299</v>
      </c>
      <c r="E2812" s="103">
        <v>76.422928861557807</v>
      </c>
      <c r="F2812" s="103">
        <v>112.05115968337699</v>
      </c>
    </row>
    <row r="2813" spans="1:6" hidden="1" x14ac:dyDescent="0.2">
      <c r="A2813" s="102" t="s">
        <v>183</v>
      </c>
      <c r="B2813" s="102" t="s">
        <v>20</v>
      </c>
      <c r="C2813" s="102" t="s">
        <v>155</v>
      </c>
      <c r="D2813" s="103">
        <v>758.35093859315305</v>
      </c>
      <c r="E2813" s="103">
        <v>260.26744879106201</v>
      </c>
      <c r="F2813" s="103">
        <v>420.651161467093</v>
      </c>
    </row>
    <row r="2814" spans="1:6" hidden="1" x14ac:dyDescent="0.2">
      <c r="A2814" s="102" t="s">
        <v>183</v>
      </c>
      <c r="B2814" s="102" t="s">
        <v>20</v>
      </c>
      <c r="C2814" s="102" t="s">
        <v>156</v>
      </c>
      <c r="D2814" s="103">
        <v>1223.64906140684</v>
      </c>
      <c r="E2814" s="103">
        <v>511.73255120893799</v>
      </c>
      <c r="F2814" s="103">
        <v>789.34883853290705</v>
      </c>
    </row>
    <row r="2815" spans="1:6" hidden="1" x14ac:dyDescent="0.2">
      <c r="A2815" s="102" t="s">
        <v>183</v>
      </c>
      <c r="B2815" s="102" t="s">
        <v>20</v>
      </c>
      <c r="C2815" s="102" t="s">
        <v>157</v>
      </c>
      <c r="D2815" s="104">
        <v>14.2693306051527</v>
      </c>
      <c r="E2815" s="104">
        <v>19.798686233564201</v>
      </c>
      <c r="F2815" s="104">
        <v>18.5208528402277</v>
      </c>
    </row>
    <row r="2816" spans="1:6" hidden="1" x14ac:dyDescent="0.2">
      <c r="A2816" s="102" t="s">
        <v>183</v>
      </c>
      <c r="B2816" s="102" t="s">
        <v>20</v>
      </c>
      <c r="C2816" s="102" t="s">
        <v>158</v>
      </c>
      <c r="D2816" s="104">
        <v>1.6739796007068</v>
      </c>
      <c r="E2816" s="104">
        <v>1.5177971835433299</v>
      </c>
      <c r="F2816" s="104">
        <v>1.81540550349951</v>
      </c>
    </row>
    <row r="2817" spans="1:6" hidden="1" x14ac:dyDescent="0.2">
      <c r="A2817" s="95" t="s">
        <v>184</v>
      </c>
      <c r="B2817" s="95" t="s">
        <v>152</v>
      </c>
      <c r="C2817" s="95" t="s">
        <v>153</v>
      </c>
      <c r="D2817" s="96">
        <v>2850330</v>
      </c>
      <c r="E2817" s="96">
        <v>1410419</v>
      </c>
      <c r="F2817" s="96">
        <v>1439911</v>
      </c>
    </row>
    <row r="2818" spans="1:6" hidden="1" x14ac:dyDescent="0.2">
      <c r="A2818" s="97" t="s">
        <v>184</v>
      </c>
      <c r="B2818" s="97" t="s">
        <v>152</v>
      </c>
      <c r="C2818" s="97" t="s">
        <v>154</v>
      </c>
      <c r="D2818" s="98">
        <v>48351.984356113797</v>
      </c>
      <c r="E2818" s="98">
        <v>23082.219562254901</v>
      </c>
      <c r="F2818" s="98">
        <v>25823.3462814704</v>
      </c>
    </row>
    <row r="2819" spans="1:6" hidden="1" x14ac:dyDescent="0.2">
      <c r="A2819" s="97" t="s">
        <v>184</v>
      </c>
      <c r="B2819" s="97" t="s">
        <v>152</v>
      </c>
      <c r="C2819" s="97" t="s">
        <v>155</v>
      </c>
      <c r="D2819" s="98">
        <v>2770788.6379829398</v>
      </c>
      <c r="E2819" s="98">
        <v>1372447.62805306</v>
      </c>
      <c r="F2819" s="98">
        <v>1397430.3415033701</v>
      </c>
    </row>
    <row r="2820" spans="1:6" hidden="1" x14ac:dyDescent="0.2">
      <c r="A2820" s="97" t="s">
        <v>184</v>
      </c>
      <c r="B2820" s="97" t="s">
        <v>152</v>
      </c>
      <c r="C2820" s="97" t="s">
        <v>156</v>
      </c>
      <c r="D2820" s="98">
        <v>2929871.3620170499</v>
      </c>
      <c r="E2820" s="98">
        <v>1448390.37194693</v>
      </c>
      <c r="F2820" s="98">
        <v>1482391.6584966199</v>
      </c>
    </row>
    <row r="2821" spans="1:6" hidden="1" x14ac:dyDescent="0.2">
      <c r="A2821" s="97" t="s">
        <v>184</v>
      </c>
      <c r="B2821" s="97" t="s">
        <v>152</v>
      </c>
      <c r="C2821" s="97" t="s">
        <v>157</v>
      </c>
      <c r="D2821" s="99">
        <v>1.6963644334555601</v>
      </c>
      <c r="E2821" s="99">
        <v>1.6365505259256199</v>
      </c>
      <c r="F2821" s="99">
        <v>1.7933987782210401</v>
      </c>
    </row>
    <row r="2822" spans="1:6" hidden="1" x14ac:dyDescent="0.2">
      <c r="A2822" s="97" t="s">
        <v>184</v>
      </c>
      <c r="B2822" s="97" t="s">
        <v>152</v>
      </c>
      <c r="C2822" s="97" t="s">
        <v>158</v>
      </c>
      <c r="D2822" s="99">
        <v>7.2773161113081999</v>
      </c>
      <c r="E2822" s="99">
        <v>2.6312413016541401</v>
      </c>
      <c r="F2822" s="99">
        <v>3.1160243400042198</v>
      </c>
    </row>
    <row r="2823" spans="1:6" hidden="1" x14ac:dyDescent="0.2">
      <c r="A2823" s="100" t="s">
        <v>184</v>
      </c>
      <c r="B2823" s="100" t="s">
        <v>4</v>
      </c>
      <c r="C2823" s="100" t="s">
        <v>153</v>
      </c>
      <c r="D2823" s="101">
        <v>252420</v>
      </c>
      <c r="E2823" s="101">
        <v>126505</v>
      </c>
      <c r="F2823" s="101">
        <v>125915</v>
      </c>
    </row>
    <row r="2824" spans="1:6" hidden="1" x14ac:dyDescent="0.2">
      <c r="A2824" s="102" t="s">
        <v>184</v>
      </c>
      <c r="B2824" s="102" t="s">
        <v>4</v>
      </c>
      <c r="C2824" s="102" t="s">
        <v>154</v>
      </c>
      <c r="D2824" s="103">
        <v>5759.9044673631897</v>
      </c>
      <c r="E2824" s="103">
        <v>2919.3702918733602</v>
      </c>
      <c r="F2824" s="103">
        <v>3312.11779552085</v>
      </c>
    </row>
    <row r="2825" spans="1:6" hidden="1" x14ac:dyDescent="0.2">
      <c r="A2825" s="102" t="s">
        <v>184</v>
      </c>
      <c r="B2825" s="102" t="s">
        <v>4</v>
      </c>
      <c r="C2825" s="102" t="s">
        <v>155</v>
      </c>
      <c r="D2825" s="103">
        <v>242944.67747656599</v>
      </c>
      <c r="E2825" s="103">
        <v>121702.49411859601</v>
      </c>
      <c r="F2825" s="103">
        <v>120466.40540507399</v>
      </c>
    </row>
    <row r="2826" spans="1:6" hidden="1" x14ac:dyDescent="0.2">
      <c r="A2826" s="102" t="s">
        <v>184</v>
      </c>
      <c r="B2826" s="102" t="s">
        <v>4</v>
      </c>
      <c r="C2826" s="102" t="s">
        <v>156</v>
      </c>
      <c r="D2826" s="103">
        <v>261895.32252343299</v>
      </c>
      <c r="E2826" s="103">
        <v>131307.50588140299</v>
      </c>
      <c r="F2826" s="103">
        <v>131363.594594925</v>
      </c>
    </row>
    <row r="2827" spans="1:6" hidden="1" x14ac:dyDescent="0.2">
      <c r="A2827" s="102" t="s">
        <v>184</v>
      </c>
      <c r="B2827" s="102" t="s">
        <v>4</v>
      </c>
      <c r="C2827" s="102" t="s">
        <v>157</v>
      </c>
      <c r="D2827" s="104">
        <v>2.2818732538480302</v>
      </c>
      <c r="E2827" s="104">
        <v>2.3077113883825602</v>
      </c>
      <c r="F2827" s="104">
        <v>2.6304394198632801</v>
      </c>
    </row>
    <row r="2828" spans="1:6" hidden="1" x14ac:dyDescent="0.2">
      <c r="A2828" s="102" t="s">
        <v>184</v>
      </c>
      <c r="B2828" s="102" t="s">
        <v>4</v>
      </c>
      <c r="C2828" s="102" t="s">
        <v>158</v>
      </c>
      <c r="D2828" s="104">
        <v>2.3720038420518699</v>
      </c>
      <c r="E2828" s="104">
        <v>2.1214688186683301</v>
      </c>
      <c r="F2828" s="104">
        <v>2.7104468222621101</v>
      </c>
    </row>
    <row r="2829" spans="1:6" hidden="1" x14ac:dyDescent="0.2">
      <c r="A2829" s="95" t="s">
        <v>184</v>
      </c>
      <c r="B2829" s="95" t="s">
        <v>5</v>
      </c>
      <c r="C2829" s="95" t="s">
        <v>153</v>
      </c>
      <c r="D2829" s="96">
        <v>260548</v>
      </c>
      <c r="E2829" s="96">
        <v>131009</v>
      </c>
      <c r="F2829" s="96">
        <v>129539</v>
      </c>
    </row>
    <row r="2830" spans="1:6" hidden="1" x14ac:dyDescent="0.2">
      <c r="A2830" s="97" t="s">
        <v>184</v>
      </c>
      <c r="B2830" s="97" t="s">
        <v>5</v>
      </c>
      <c r="C2830" s="97" t="s">
        <v>154</v>
      </c>
      <c r="D2830" s="98">
        <v>5363.98472564653</v>
      </c>
      <c r="E2830" s="98">
        <v>2866.8559643313101</v>
      </c>
      <c r="F2830" s="98">
        <v>2985.9369581056499</v>
      </c>
    </row>
    <row r="2831" spans="1:6" hidden="1" x14ac:dyDescent="0.2">
      <c r="A2831" s="97" t="s">
        <v>184</v>
      </c>
      <c r="B2831" s="97" t="s">
        <v>5</v>
      </c>
      <c r="C2831" s="97" t="s">
        <v>155</v>
      </c>
      <c r="D2831" s="98">
        <v>251723.98467574199</v>
      </c>
      <c r="E2831" s="98">
        <v>126292.882737259</v>
      </c>
      <c r="F2831" s="98">
        <v>124626.988720471</v>
      </c>
    </row>
    <row r="2832" spans="1:6" hidden="1" x14ac:dyDescent="0.2">
      <c r="A2832" s="97" t="s">
        <v>184</v>
      </c>
      <c r="B2832" s="97" t="s">
        <v>5</v>
      </c>
      <c r="C2832" s="97" t="s">
        <v>156</v>
      </c>
      <c r="D2832" s="98">
        <v>269372.01532425702</v>
      </c>
      <c r="E2832" s="98">
        <v>135725.11726274001</v>
      </c>
      <c r="F2832" s="98">
        <v>134451.011279528</v>
      </c>
    </row>
    <row r="2833" spans="1:6" hidden="1" x14ac:dyDescent="0.2">
      <c r="A2833" s="97" t="s">
        <v>184</v>
      </c>
      <c r="B2833" s="97" t="s">
        <v>5</v>
      </c>
      <c r="C2833" s="97" t="s">
        <v>157</v>
      </c>
      <c r="D2833" s="99">
        <v>2.05873187498907</v>
      </c>
      <c r="E2833" s="99">
        <v>2.18828932694037</v>
      </c>
      <c r="F2833" s="99">
        <v>2.3050486402594199</v>
      </c>
    </row>
    <row r="2834" spans="1:6" hidden="1" x14ac:dyDescent="0.2">
      <c r="A2834" s="97" t="s">
        <v>184</v>
      </c>
      <c r="B2834" s="97" t="s">
        <v>5</v>
      </c>
      <c r="C2834" s="97" t="s">
        <v>158</v>
      </c>
      <c r="D2834" s="99">
        <v>1.9572748535426501</v>
      </c>
      <c r="E2834" s="99">
        <v>1.9111640835258601</v>
      </c>
      <c r="F2834" s="99">
        <v>2.1393502782557601</v>
      </c>
    </row>
    <row r="2835" spans="1:6" hidden="1" x14ac:dyDescent="0.2">
      <c r="A2835" s="100" t="s">
        <v>184</v>
      </c>
      <c r="B2835" s="100" t="s">
        <v>6</v>
      </c>
      <c r="C2835" s="100" t="s">
        <v>153</v>
      </c>
      <c r="D2835" s="101">
        <v>265594</v>
      </c>
      <c r="E2835" s="101">
        <v>135914</v>
      </c>
      <c r="F2835" s="101">
        <v>129680</v>
      </c>
    </row>
    <row r="2836" spans="1:6" hidden="1" x14ac:dyDescent="0.2">
      <c r="A2836" s="102" t="s">
        <v>184</v>
      </c>
      <c r="B2836" s="102" t="s">
        <v>6</v>
      </c>
      <c r="C2836" s="102" t="s">
        <v>154</v>
      </c>
      <c r="D2836" s="103">
        <v>5144.5482635114404</v>
      </c>
      <c r="E2836" s="103">
        <v>2839.3997805351401</v>
      </c>
      <c r="F2836" s="103">
        <v>2881.26105393429</v>
      </c>
    </row>
    <row r="2837" spans="1:6" hidden="1" x14ac:dyDescent="0.2">
      <c r="A2837" s="102" t="s">
        <v>184</v>
      </c>
      <c r="B2837" s="102" t="s">
        <v>6</v>
      </c>
      <c r="C2837" s="102" t="s">
        <v>155</v>
      </c>
      <c r="D2837" s="103">
        <v>257130.96831078501</v>
      </c>
      <c r="E2837" s="103">
        <v>131243.04949275</v>
      </c>
      <c r="F2837" s="103">
        <v>124940.185665417</v>
      </c>
    </row>
    <row r="2838" spans="1:6" hidden="1" x14ac:dyDescent="0.2">
      <c r="A2838" s="102" t="s">
        <v>184</v>
      </c>
      <c r="B2838" s="102" t="s">
        <v>6</v>
      </c>
      <c r="C2838" s="102" t="s">
        <v>156</v>
      </c>
      <c r="D2838" s="103">
        <v>274057.031689214</v>
      </c>
      <c r="E2838" s="103">
        <v>140584.95050724901</v>
      </c>
      <c r="F2838" s="103">
        <v>134419.814334583</v>
      </c>
    </row>
    <row r="2839" spans="1:6" hidden="1" x14ac:dyDescent="0.2">
      <c r="A2839" s="102" t="s">
        <v>184</v>
      </c>
      <c r="B2839" s="102" t="s">
        <v>6</v>
      </c>
      <c r="C2839" s="102" t="s">
        <v>157</v>
      </c>
      <c r="D2839" s="104">
        <v>1.9369971699328401</v>
      </c>
      <c r="E2839" s="104">
        <v>2.08911501429959</v>
      </c>
      <c r="F2839" s="104">
        <v>2.2218237615162599</v>
      </c>
    </row>
    <row r="2840" spans="1:6" hidden="1" x14ac:dyDescent="0.2">
      <c r="A2840" s="102" t="s">
        <v>184</v>
      </c>
      <c r="B2840" s="102" t="s">
        <v>6</v>
      </c>
      <c r="C2840" s="102" t="s">
        <v>158</v>
      </c>
      <c r="D2840" s="104">
        <v>1.8435736115757899</v>
      </c>
      <c r="E2840" s="104">
        <v>1.85779808912845</v>
      </c>
      <c r="F2840" s="104">
        <v>2.0821559728736099</v>
      </c>
    </row>
    <row r="2841" spans="1:6" hidden="1" x14ac:dyDescent="0.2">
      <c r="A2841" s="95" t="s">
        <v>184</v>
      </c>
      <c r="B2841" s="95" t="s">
        <v>7</v>
      </c>
      <c r="C2841" s="95" t="s">
        <v>153</v>
      </c>
      <c r="D2841" s="96">
        <v>259160</v>
      </c>
      <c r="E2841" s="96">
        <v>130439</v>
      </c>
      <c r="F2841" s="96">
        <v>128721</v>
      </c>
    </row>
    <row r="2842" spans="1:6" hidden="1" x14ac:dyDescent="0.2">
      <c r="A2842" s="97" t="s">
        <v>184</v>
      </c>
      <c r="B2842" s="97" t="s">
        <v>7</v>
      </c>
      <c r="C2842" s="97" t="s">
        <v>154</v>
      </c>
      <c r="D2842" s="98">
        <v>5492.0390491989701</v>
      </c>
      <c r="E2842" s="98">
        <v>2792.18386561237</v>
      </c>
      <c r="F2842" s="98">
        <v>3270.7392514265798</v>
      </c>
    </row>
    <row r="2843" spans="1:6" hidden="1" x14ac:dyDescent="0.2">
      <c r="A2843" s="97" t="s">
        <v>184</v>
      </c>
      <c r="B2843" s="97" t="s">
        <v>7</v>
      </c>
      <c r="C2843" s="97" t="s">
        <v>155</v>
      </c>
      <c r="D2843" s="98">
        <v>250125.32909576601</v>
      </c>
      <c r="E2843" s="98">
        <v>125845.721965387</v>
      </c>
      <c r="F2843" s="98">
        <v>123340.475119262</v>
      </c>
    </row>
    <row r="2844" spans="1:6" hidden="1" x14ac:dyDescent="0.2">
      <c r="A2844" s="97" t="s">
        <v>184</v>
      </c>
      <c r="B2844" s="97" t="s">
        <v>7</v>
      </c>
      <c r="C2844" s="97" t="s">
        <v>156</v>
      </c>
      <c r="D2844" s="98">
        <v>268194.67090423399</v>
      </c>
      <c r="E2844" s="98">
        <v>135032.27803461201</v>
      </c>
      <c r="F2844" s="98">
        <v>134101.524880738</v>
      </c>
    </row>
    <row r="2845" spans="1:6" hidden="1" x14ac:dyDescent="0.2">
      <c r="A2845" s="97" t="s">
        <v>184</v>
      </c>
      <c r="B2845" s="97" t="s">
        <v>7</v>
      </c>
      <c r="C2845" s="97" t="s">
        <v>157</v>
      </c>
      <c r="D2845" s="99">
        <v>2.1191692580641202</v>
      </c>
      <c r="E2845" s="99">
        <v>2.1406050840717601</v>
      </c>
      <c r="F2845" s="99">
        <v>2.5409523321187502</v>
      </c>
    </row>
    <row r="2846" spans="1:6" hidden="1" x14ac:dyDescent="0.2">
      <c r="A2846" s="97" t="s">
        <v>184</v>
      </c>
      <c r="B2846" s="97" t="s">
        <v>7</v>
      </c>
      <c r="C2846" s="97" t="s">
        <v>158</v>
      </c>
      <c r="D2846" s="99">
        <v>2.2248629119387502</v>
      </c>
      <c r="E2846" s="99">
        <v>1.9665681118309899</v>
      </c>
      <c r="F2846" s="99">
        <v>2.7527900101276299</v>
      </c>
    </row>
    <row r="2847" spans="1:6" hidden="1" x14ac:dyDescent="0.2">
      <c r="A2847" s="100" t="s">
        <v>184</v>
      </c>
      <c r="B2847" s="100" t="s">
        <v>8</v>
      </c>
      <c r="C2847" s="100" t="s">
        <v>153</v>
      </c>
      <c r="D2847" s="101">
        <v>246864</v>
      </c>
      <c r="E2847" s="101">
        <v>121065</v>
      </c>
      <c r="F2847" s="101">
        <v>125799</v>
      </c>
    </row>
    <row r="2848" spans="1:6" hidden="1" x14ac:dyDescent="0.2">
      <c r="A2848" s="102" t="s">
        <v>184</v>
      </c>
      <c r="B2848" s="102" t="s">
        <v>8</v>
      </c>
      <c r="C2848" s="102" t="s">
        <v>154</v>
      </c>
      <c r="D2848" s="103">
        <v>5547.14986179068</v>
      </c>
      <c r="E2848" s="103">
        <v>2801.8657601571099</v>
      </c>
      <c r="F2848" s="103">
        <v>3202.3164417028102</v>
      </c>
    </row>
    <row r="2849" spans="1:6" hidden="1" x14ac:dyDescent="0.2">
      <c r="A2849" s="102" t="s">
        <v>184</v>
      </c>
      <c r="B2849" s="102" t="s">
        <v>8</v>
      </c>
      <c r="C2849" s="102" t="s">
        <v>155</v>
      </c>
      <c r="D2849" s="103">
        <v>237738.66913312301</v>
      </c>
      <c r="E2849" s="103">
        <v>116455.794778752</v>
      </c>
      <c r="F2849" s="103">
        <v>120531.03396355599</v>
      </c>
    </row>
    <row r="2850" spans="1:6" hidden="1" x14ac:dyDescent="0.2">
      <c r="A2850" s="102" t="s">
        <v>184</v>
      </c>
      <c r="B2850" s="102" t="s">
        <v>8</v>
      </c>
      <c r="C2850" s="102" t="s">
        <v>156</v>
      </c>
      <c r="D2850" s="103">
        <v>255989.330866876</v>
      </c>
      <c r="E2850" s="103">
        <v>125674.205221247</v>
      </c>
      <c r="F2850" s="103">
        <v>131066.966036443</v>
      </c>
    </row>
    <row r="2851" spans="1:6" hidden="1" x14ac:dyDescent="0.2">
      <c r="A2851" s="102" t="s">
        <v>184</v>
      </c>
      <c r="B2851" s="102" t="s">
        <v>8</v>
      </c>
      <c r="C2851" s="102" t="s">
        <v>157</v>
      </c>
      <c r="D2851" s="104">
        <v>2.2470469010429501</v>
      </c>
      <c r="E2851" s="104">
        <v>2.31434829236948</v>
      </c>
      <c r="F2851" s="104">
        <v>2.5455817945315999</v>
      </c>
    </row>
    <row r="2852" spans="1:6" hidden="1" x14ac:dyDescent="0.2">
      <c r="A2852" s="102" t="s">
        <v>184</v>
      </c>
      <c r="B2852" s="102" t="s">
        <v>8</v>
      </c>
      <c r="C2852" s="102" t="s">
        <v>158</v>
      </c>
      <c r="D2852" s="104">
        <v>2.4654507762138298</v>
      </c>
      <c r="E2852" s="104">
        <v>2.25871854856207</v>
      </c>
      <c r="F2852" s="104">
        <v>2.7450809972814798</v>
      </c>
    </row>
    <row r="2853" spans="1:6" hidden="1" x14ac:dyDescent="0.2">
      <c r="A2853" s="95" t="s">
        <v>184</v>
      </c>
      <c r="B2853" s="95" t="s">
        <v>9</v>
      </c>
      <c r="C2853" s="95" t="s">
        <v>153</v>
      </c>
      <c r="D2853" s="96">
        <v>215837</v>
      </c>
      <c r="E2853" s="96">
        <v>106416</v>
      </c>
      <c r="F2853" s="96">
        <v>109421</v>
      </c>
    </row>
    <row r="2854" spans="1:6" hidden="1" x14ac:dyDescent="0.2">
      <c r="A2854" s="97" t="s">
        <v>184</v>
      </c>
      <c r="B2854" s="97" t="s">
        <v>9</v>
      </c>
      <c r="C2854" s="97" t="s">
        <v>154</v>
      </c>
      <c r="D2854" s="98">
        <v>4391.9750552018104</v>
      </c>
      <c r="E2854" s="98">
        <v>2434.0452171921502</v>
      </c>
      <c r="F2854" s="98">
        <v>2427.0431488479098</v>
      </c>
    </row>
    <row r="2855" spans="1:6" hidden="1" x14ac:dyDescent="0.2">
      <c r="A2855" s="97" t="s">
        <v>184</v>
      </c>
      <c r="B2855" s="97" t="s">
        <v>9</v>
      </c>
      <c r="C2855" s="97" t="s">
        <v>155</v>
      </c>
      <c r="D2855" s="98">
        <v>208611.98777996801</v>
      </c>
      <c r="E2855" s="98">
        <v>102411.877431613</v>
      </c>
      <c r="F2855" s="98">
        <v>105428.39617402801</v>
      </c>
    </row>
    <row r="2856" spans="1:6" hidden="1" x14ac:dyDescent="0.2">
      <c r="A2856" s="97" t="s">
        <v>184</v>
      </c>
      <c r="B2856" s="97" t="s">
        <v>9</v>
      </c>
      <c r="C2856" s="97" t="s">
        <v>156</v>
      </c>
      <c r="D2856" s="98">
        <v>223062.012220031</v>
      </c>
      <c r="E2856" s="98">
        <v>110420.122568386</v>
      </c>
      <c r="F2856" s="98">
        <v>113413.603825971</v>
      </c>
    </row>
    <row r="2857" spans="1:6" hidden="1" x14ac:dyDescent="0.2">
      <c r="A2857" s="97" t="s">
        <v>184</v>
      </c>
      <c r="B2857" s="97" t="s">
        <v>9</v>
      </c>
      <c r="C2857" s="97" t="s">
        <v>157</v>
      </c>
      <c r="D2857" s="99">
        <v>2.0348573484628698</v>
      </c>
      <c r="E2857" s="99">
        <v>2.2872925285597598</v>
      </c>
      <c r="F2857" s="99">
        <v>2.2180780187056501</v>
      </c>
    </row>
    <row r="2858" spans="1:6" hidden="1" x14ac:dyDescent="0.2">
      <c r="A2858" s="97" t="s">
        <v>184</v>
      </c>
      <c r="B2858" s="97" t="s">
        <v>9</v>
      </c>
      <c r="C2858" s="97" t="s">
        <v>158</v>
      </c>
      <c r="D2858" s="99">
        <v>1.93138652259688</v>
      </c>
      <c r="E2858" s="99">
        <v>2.1420149753534399</v>
      </c>
      <c r="F2858" s="99">
        <v>1.9645920810161099</v>
      </c>
    </row>
    <row r="2859" spans="1:6" hidden="1" x14ac:dyDescent="0.2">
      <c r="A2859" s="100" t="s">
        <v>184</v>
      </c>
      <c r="B2859" s="100" t="s">
        <v>10</v>
      </c>
      <c r="C2859" s="100" t="s">
        <v>153</v>
      </c>
      <c r="D2859" s="101">
        <v>210743</v>
      </c>
      <c r="E2859" s="101">
        <v>104011</v>
      </c>
      <c r="F2859" s="101">
        <v>106732</v>
      </c>
    </row>
    <row r="2860" spans="1:6" hidden="1" x14ac:dyDescent="0.2">
      <c r="A2860" s="102" t="s">
        <v>184</v>
      </c>
      <c r="B2860" s="102" t="s">
        <v>10</v>
      </c>
      <c r="C2860" s="102" t="s">
        <v>154</v>
      </c>
      <c r="D2860" s="103">
        <v>4543.4418191447303</v>
      </c>
      <c r="E2860" s="103">
        <v>2458.1099495038902</v>
      </c>
      <c r="F2860" s="103">
        <v>2479.92384994751</v>
      </c>
    </row>
    <row r="2861" spans="1:6" hidden="1" x14ac:dyDescent="0.2">
      <c r="A2861" s="102" t="s">
        <v>184</v>
      </c>
      <c r="B2861" s="102" t="s">
        <v>10</v>
      </c>
      <c r="C2861" s="102" t="s">
        <v>155</v>
      </c>
      <c r="D2861" s="103">
        <v>203268.81759874799</v>
      </c>
      <c r="E2861" s="103">
        <v>99967.289778487597</v>
      </c>
      <c r="F2861" s="103">
        <v>102652.404853074</v>
      </c>
    </row>
    <row r="2862" spans="1:6" hidden="1" x14ac:dyDescent="0.2">
      <c r="A2862" s="102" t="s">
        <v>184</v>
      </c>
      <c r="B2862" s="102" t="s">
        <v>10</v>
      </c>
      <c r="C2862" s="102" t="s">
        <v>156</v>
      </c>
      <c r="D2862" s="103">
        <v>218217.18240125099</v>
      </c>
      <c r="E2862" s="103">
        <v>108054.710221512</v>
      </c>
      <c r="F2862" s="103">
        <v>110811.595146925</v>
      </c>
    </row>
    <row r="2863" spans="1:6" hidden="1" x14ac:dyDescent="0.2">
      <c r="A2863" s="102" t="s">
        <v>184</v>
      </c>
      <c r="B2863" s="102" t="s">
        <v>10</v>
      </c>
      <c r="C2863" s="102" t="s">
        <v>157</v>
      </c>
      <c r="D2863" s="104">
        <v>2.1559158876663602</v>
      </c>
      <c r="E2863" s="104">
        <v>2.3633172928862201</v>
      </c>
      <c r="F2863" s="104">
        <v>2.3235054622301701</v>
      </c>
    </row>
    <row r="2864" spans="1:6" hidden="1" x14ac:dyDescent="0.2">
      <c r="A2864" s="102" t="s">
        <v>184</v>
      </c>
      <c r="B2864" s="102" t="s">
        <v>10</v>
      </c>
      <c r="C2864" s="102" t="s">
        <v>158</v>
      </c>
      <c r="D2864" s="104">
        <v>2.0616092946156201</v>
      </c>
      <c r="E2864" s="104">
        <v>2.1451522803568199</v>
      </c>
      <c r="F2864" s="104">
        <v>2.12381110063443</v>
      </c>
    </row>
    <row r="2865" spans="1:6" hidden="1" x14ac:dyDescent="0.2">
      <c r="A2865" s="95" t="s">
        <v>184</v>
      </c>
      <c r="B2865" s="95" t="s">
        <v>11</v>
      </c>
      <c r="C2865" s="95" t="s">
        <v>153</v>
      </c>
      <c r="D2865" s="96">
        <v>213717</v>
      </c>
      <c r="E2865" s="96">
        <v>105298</v>
      </c>
      <c r="F2865" s="96">
        <v>108419</v>
      </c>
    </row>
    <row r="2866" spans="1:6" hidden="1" x14ac:dyDescent="0.2">
      <c r="A2866" s="97" t="s">
        <v>184</v>
      </c>
      <c r="B2866" s="97" t="s">
        <v>11</v>
      </c>
      <c r="C2866" s="97" t="s">
        <v>154</v>
      </c>
      <c r="D2866" s="98">
        <v>5791.4760602339702</v>
      </c>
      <c r="E2866" s="98">
        <v>2812.09580317461</v>
      </c>
      <c r="F2866" s="98">
        <v>3359.9108159894199</v>
      </c>
    </row>
    <row r="2867" spans="1:6" hidden="1" x14ac:dyDescent="0.2">
      <c r="A2867" s="97" t="s">
        <v>184</v>
      </c>
      <c r="B2867" s="97" t="s">
        <v>11</v>
      </c>
      <c r="C2867" s="97" t="s">
        <v>155</v>
      </c>
      <c r="D2867" s="98">
        <v>204189.74067332101</v>
      </c>
      <c r="E2867" s="98">
        <v>100671.96586126499</v>
      </c>
      <c r="F2867" s="98">
        <v>102891.78356579199</v>
      </c>
    </row>
    <row r="2868" spans="1:6" hidden="1" x14ac:dyDescent="0.2">
      <c r="A2868" s="97" t="s">
        <v>184</v>
      </c>
      <c r="B2868" s="97" t="s">
        <v>11</v>
      </c>
      <c r="C2868" s="97" t="s">
        <v>156</v>
      </c>
      <c r="D2868" s="98">
        <v>223244.259326678</v>
      </c>
      <c r="E2868" s="98">
        <v>109924.03413873501</v>
      </c>
      <c r="F2868" s="98">
        <v>113946.216434207</v>
      </c>
    </row>
    <row r="2869" spans="1:6" hidden="1" x14ac:dyDescent="0.2">
      <c r="A2869" s="97" t="s">
        <v>184</v>
      </c>
      <c r="B2869" s="97" t="s">
        <v>11</v>
      </c>
      <c r="C2869" s="97" t="s">
        <v>157</v>
      </c>
      <c r="D2869" s="99">
        <v>2.7098808518900999</v>
      </c>
      <c r="E2869" s="99">
        <v>2.6706070420849501</v>
      </c>
      <c r="F2869" s="99">
        <v>3.0990055396096801</v>
      </c>
    </row>
    <row r="2870" spans="1:6" hidden="1" x14ac:dyDescent="0.2">
      <c r="A2870" s="97" t="s">
        <v>184</v>
      </c>
      <c r="B2870" s="97" t="s">
        <v>11</v>
      </c>
      <c r="C2870" s="97" t="s">
        <v>158</v>
      </c>
      <c r="D2870" s="99">
        <v>3.3141429301005401</v>
      </c>
      <c r="E2870" s="99">
        <v>2.80112323779887</v>
      </c>
      <c r="F2870" s="99">
        <v>3.8681815177118</v>
      </c>
    </row>
    <row r="2871" spans="1:6" hidden="1" x14ac:dyDescent="0.2">
      <c r="A2871" s="100" t="s">
        <v>184</v>
      </c>
      <c r="B2871" s="100" t="s">
        <v>12</v>
      </c>
      <c r="C2871" s="100" t="s">
        <v>153</v>
      </c>
      <c r="D2871" s="101">
        <v>199638</v>
      </c>
      <c r="E2871" s="101">
        <v>99499</v>
      </c>
      <c r="F2871" s="101">
        <v>100139</v>
      </c>
    </row>
    <row r="2872" spans="1:6" hidden="1" x14ac:dyDescent="0.2">
      <c r="A2872" s="102" t="s">
        <v>184</v>
      </c>
      <c r="B2872" s="102" t="s">
        <v>12</v>
      </c>
      <c r="C2872" s="102" t="s">
        <v>154</v>
      </c>
      <c r="D2872" s="103">
        <v>4599.7320817626796</v>
      </c>
      <c r="E2872" s="103">
        <v>2339.7253589256602</v>
      </c>
      <c r="F2872" s="103">
        <v>2583.42009480549</v>
      </c>
    </row>
    <row r="2873" spans="1:6" hidden="1" x14ac:dyDescent="0.2">
      <c r="A2873" s="102" t="s">
        <v>184</v>
      </c>
      <c r="B2873" s="102" t="s">
        <v>12</v>
      </c>
      <c r="C2873" s="102" t="s">
        <v>155</v>
      </c>
      <c r="D2873" s="103">
        <v>192071.21738354399</v>
      </c>
      <c r="E2873" s="103">
        <v>95650.038178203205</v>
      </c>
      <c r="F2873" s="103">
        <v>95889.148504978803</v>
      </c>
    </row>
    <row r="2874" spans="1:6" hidden="1" x14ac:dyDescent="0.2">
      <c r="A2874" s="102" t="s">
        <v>184</v>
      </c>
      <c r="B2874" s="102" t="s">
        <v>12</v>
      </c>
      <c r="C2874" s="102" t="s">
        <v>156</v>
      </c>
      <c r="D2874" s="103">
        <v>207204.78261645499</v>
      </c>
      <c r="E2874" s="103">
        <v>103347.96182179599</v>
      </c>
      <c r="F2874" s="103">
        <v>104388.85149502099</v>
      </c>
    </row>
    <row r="2875" spans="1:6" hidden="1" x14ac:dyDescent="0.2">
      <c r="A2875" s="102" t="s">
        <v>184</v>
      </c>
      <c r="B2875" s="102" t="s">
        <v>12</v>
      </c>
      <c r="C2875" s="102" t="s">
        <v>157</v>
      </c>
      <c r="D2875" s="104">
        <v>2.3040363466688101</v>
      </c>
      <c r="E2875" s="104">
        <v>2.3515064060198201</v>
      </c>
      <c r="F2875" s="104">
        <v>2.5798341253712298</v>
      </c>
    </row>
    <row r="2876" spans="1:6" hidden="1" x14ac:dyDescent="0.2">
      <c r="A2876" s="102" t="s">
        <v>184</v>
      </c>
      <c r="B2876" s="102" t="s">
        <v>12</v>
      </c>
      <c r="C2876" s="102" t="s">
        <v>158</v>
      </c>
      <c r="D2876" s="104">
        <v>2.4999730664422901</v>
      </c>
      <c r="E2876" s="104">
        <v>2.3091965501203102</v>
      </c>
      <c r="F2876" s="104">
        <v>2.6796326137545798</v>
      </c>
    </row>
    <row r="2877" spans="1:6" hidden="1" x14ac:dyDescent="0.2">
      <c r="A2877" s="95" t="s">
        <v>184</v>
      </c>
      <c r="B2877" s="95" t="s">
        <v>13</v>
      </c>
      <c r="C2877" s="95" t="s">
        <v>153</v>
      </c>
      <c r="D2877" s="96">
        <v>163000</v>
      </c>
      <c r="E2877" s="96">
        <v>79657</v>
      </c>
      <c r="F2877" s="96">
        <v>83343</v>
      </c>
    </row>
    <row r="2878" spans="1:6" hidden="1" x14ac:dyDescent="0.2">
      <c r="A2878" s="97" t="s">
        <v>184</v>
      </c>
      <c r="B2878" s="97" t="s">
        <v>13</v>
      </c>
      <c r="C2878" s="97" t="s">
        <v>154</v>
      </c>
      <c r="D2878" s="98">
        <v>3578.2116490441399</v>
      </c>
      <c r="E2878" s="98">
        <v>1900.0465103746999</v>
      </c>
      <c r="F2878" s="98">
        <v>2041.69923052647</v>
      </c>
    </row>
    <row r="2879" spans="1:6" hidden="1" x14ac:dyDescent="0.2">
      <c r="A2879" s="97" t="s">
        <v>184</v>
      </c>
      <c r="B2879" s="97" t="s">
        <v>13</v>
      </c>
      <c r="C2879" s="97" t="s">
        <v>155</v>
      </c>
      <c r="D2879" s="98">
        <v>157113.66809572699</v>
      </c>
      <c r="E2879" s="98">
        <v>76531.331232863697</v>
      </c>
      <c r="F2879" s="98">
        <v>79984.305630205796</v>
      </c>
    </row>
    <row r="2880" spans="1:6" hidden="1" x14ac:dyDescent="0.2">
      <c r="A2880" s="97" t="s">
        <v>184</v>
      </c>
      <c r="B2880" s="97" t="s">
        <v>13</v>
      </c>
      <c r="C2880" s="97" t="s">
        <v>156</v>
      </c>
      <c r="D2880" s="98">
        <v>168886.331904272</v>
      </c>
      <c r="E2880" s="98">
        <v>82782.668767136201</v>
      </c>
      <c r="F2880" s="98">
        <v>86701.694369794204</v>
      </c>
    </row>
    <row r="2881" spans="1:6" hidden="1" x14ac:dyDescent="0.2">
      <c r="A2881" s="97" t="s">
        <v>184</v>
      </c>
      <c r="B2881" s="97" t="s">
        <v>13</v>
      </c>
      <c r="C2881" s="97" t="s">
        <v>157</v>
      </c>
      <c r="D2881" s="99">
        <v>2.1952218705792199</v>
      </c>
      <c r="E2881" s="99">
        <v>2.38528504761</v>
      </c>
      <c r="F2881" s="99">
        <v>2.4497549050627798</v>
      </c>
    </row>
    <row r="2882" spans="1:6" hidden="1" x14ac:dyDescent="0.2">
      <c r="A2882" s="97" t="s">
        <v>184</v>
      </c>
      <c r="B2882" s="97" t="s">
        <v>13</v>
      </c>
      <c r="C2882" s="97" t="s">
        <v>158</v>
      </c>
      <c r="D2882" s="99">
        <v>2.2376616815505201</v>
      </c>
      <c r="E2882" s="99">
        <v>2.303163349588</v>
      </c>
      <c r="F2882" s="99">
        <v>2.3521977209445</v>
      </c>
    </row>
    <row r="2883" spans="1:6" hidden="1" x14ac:dyDescent="0.2">
      <c r="A2883" s="100" t="s">
        <v>184</v>
      </c>
      <c r="B2883" s="100" t="s">
        <v>14</v>
      </c>
      <c r="C2883" s="100" t="s">
        <v>153</v>
      </c>
      <c r="D2883" s="101">
        <v>149412</v>
      </c>
      <c r="E2883" s="101">
        <v>72098</v>
      </c>
      <c r="F2883" s="101">
        <v>77314</v>
      </c>
    </row>
    <row r="2884" spans="1:6" hidden="1" x14ac:dyDescent="0.2">
      <c r="A2884" s="102" t="s">
        <v>184</v>
      </c>
      <c r="B2884" s="102" t="s">
        <v>14</v>
      </c>
      <c r="C2884" s="102" t="s">
        <v>154</v>
      </c>
      <c r="D2884" s="103">
        <v>3241.4066214284899</v>
      </c>
      <c r="E2884" s="103">
        <v>1667.5590187263199</v>
      </c>
      <c r="F2884" s="103">
        <v>1970.90171724171</v>
      </c>
    </row>
    <row r="2885" spans="1:6" hidden="1" x14ac:dyDescent="0.2">
      <c r="A2885" s="102" t="s">
        <v>184</v>
      </c>
      <c r="B2885" s="102" t="s">
        <v>14</v>
      </c>
      <c r="C2885" s="102" t="s">
        <v>155</v>
      </c>
      <c r="D2885" s="103">
        <v>144079.72871986701</v>
      </c>
      <c r="E2885" s="103">
        <v>69354.784445154801</v>
      </c>
      <c r="F2885" s="103">
        <v>74071.770977162698</v>
      </c>
    </row>
    <row r="2886" spans="1:6" hidden="1" x14ac:dyDescent="0.2">
      <c r="A2886" s="102" t="s">
        <v>184</v>
      </c>
      <c r="B2886" s="102" t="s">
        <v>14</v>
      </c>
      <c r="C2886" s="102" t="s">
        <v>156</v>
      </c>
      <c r="D2886" s="103">
        <v>154744.271280132</v>
      </c>
      <c r="E2886" s="103">
        <v>74841.215554845097</v>
      </c>
      <c r="F2886" s="103">
        <v>80556.2290228372</v>
      </c>
    </row>
    <row r="2887" spans="1:6" hidden="1" x14ac:dyDescent="0.2">
      <c r="A2887" s="102" t="s">
        <v>184</v>
      </c>
      <c r="B2887" s="102" t="s">
        <v>14</v>
      </c>
      <c r="C2887" s="102" t="s">
        <v>157</v>
      </c>
      <c r="D2887" s="104">
        <v>2.1694419601025898</v>
      </c>
      <c r="E2887" s="104">
        <v>2.3129060705239</v>
      </c>
      <c r="F2887" s="104">
        <v>2.5492171110558401</v>
      </c>
    </row>
    <row r="2888" spans="1:6" hidden="1" x14ac:dyDescent="0.2">
      <c r="A2888" s="102" t="s">
        <v>184</v>
      </c>
      <c r="B2888" s="102" t="s">
        <v>14</v>
      </c>
      <c r="C2888" s="102" t="s">
        <v>158</v>
      </c>
      <c r="D2888" s="104">
        <v>2.1829405522406198</v>
      </c>
      <c r="E2888" s="104">
        <v>2.0993346126483998</v>
      </c>
      <c r="F2888" s="104">
        <v>2.5128561373146101</v>
      </c>
    </row>
    <row r="2889" spans="1:6" hidden="1" x14ac:dyDescent="0.2">
      <c r="A2889" s="95" t="s">
        <v>184</v>
      </c>
      <c r="B2889" s="95" t="s">
        <v>15</v>
      </c>
      <c r="C2889" s="95" t="s">
        <v>153</v>
      </c>
      <c r="D2889" s="96">
        <v>125460</v>
      </c>
      <c r="E2889" s="96">
        <v>60680</v>
      </c>
      <c r="F2889" s="96">
        <v>64780</v>
      </c>
    </row>
    <row r="2890" spans="1:6" hidden="1" x14ac:dyDescent="0.2">
      <c r="A2890" s="97" t="s">
        <v>184</v>
      </c>
      <c r="B2890" s="97" t="s">
        <v>15</v>
      </c>
      <c r="C2890" s="97" t="s">
        <v>154</v>
      </c>
      <c r="D2890" s="98">
        <v>2981.9843260142902</v>
      </c>
      <c r="E2890" s="98">
        <v>1605.26550912483</v>
      </c>
      <c r="F2890" s="98">
        <v>1828.5697221804801</v>
      </c>
    </row>
    <row r="2891" spans="1:6" hidden="1" x14ac:dyDescent="0.2">
      <c r="A2891" s="97" t="s">
        <v>184</v>
      </c>
      <c r="B2891" s="97" t="s">
        <v>15</v>
      </c>
      <c r="C2891" s="97" t="s">
        <v>155</v>
      </c>
      <c r="D2891" s="98">
        <v>120554.490992183</v>
      </c>
      <c r="E2891" s="98">
        <v>58039.260293137202</v>
      </c>
      <c r="F2891" s="98">
        <v>61771.914020029202</v>
      </c>
    </row>
    <row r="2892" spans="1:6" hidden="1" x14ac:dyDescent="0.2">
      <c r="A2892" s="97" t="s">
        <v>184</v>
      </c>
      <c r="B2892" s="97" t="s">
        <v>15</v>
      </c>
      <c r="C2892" s="97" t="s">
        <v>156</v>
      </c>
      <c r="D2892" s="98">
        <v>130365.509007816</v>
      </c>
      <c r="E2892" s="98">
        <v>63320.739706862703</v>
      </c>
      <c r="F2892" s="98">
        <v>67788.085979970696</v>
      </c>
    </row>
    <row r="2893" spans="1:6" hidden="1" x14ac:dyDescent="0.2">
      <c r="A2893" s="97" t="s">
        <v>184</v>
      </c>
      <c r="B2893" s="97" t="s">
        <v>15</v>
      </c>
      <c r="C2893" s="97" t="s">
        <v>157</v>
      </c>
      <c r="D2893" s="99">
        <v>2.3768406870829599</v>
      </c>
      <c r="E2893" s="99">
        <v>2.6454606280897099</v>
      </c>
      <c r="F2893" s="99">
        <v>2.8227380706707002</v>
      </c>
    </row>
    <row r="2894" spans="1:6" hidden="1" x14ac:dyDescent="0.2">
      <c r="A2894" s="97" t="s">
        <v>184</v>
      </c>
      <c r="B2894" s="97" t="s">
        <v>15</v>
      </c>
      <c r="C2894" s="97" t="s">
        <v>158</v>
      </c>
      <c r="D2894" s="99">
        <v>2.4175799730454299</v>
      </c>
      <c r="E2894" s="99">
        <v>2.5418970964957102</v>
      </c>
      <c r="F2894" s="99">
        <v>2.7266811113722502</v>
      </c>
    </row>
    <row r="2895" spans="1:6" hidden="1" x14ac:dyDescent="0.2">
      <c r="A2895" s="100" t="s">
        <v>184</v>
      </c>
      <c r="B2895" s="100" t="s">
        <v>16</v>
      </c>
      <c r="C2895" s="100" t="s">
        <v>153</v>
      </c>
      <c r="D2895" s="101">
        <v>96176</v>
      </c>
      <c r="E2895" s="101">
        <v>46957</v>
      </c>
      <c r="F2895" s="101">
        <v>49219</v>
      </c>
    </row>
    <row r="2896" spans="1:6" hidden="1" x14ac:dyDescent="0.2">
      <c r="A2896" s="102" t="s">
        <v>184</v>
      </c>
      <c r="B2896" s="102" t="s">
        <v>16</v>
      </c>
      <c r="C2896" s="102" t="s">
        <v>154</v>
      </c>
      <c r="D2896" s="103">
        <v>2722.3694446950499</v>
      </c>
      <c r="E2896" s="103">
        <v>1405.21043659108</v>
      </c>
      <c r="F2896" s="103">
        <v>1638.36850346868</v>
      </c>
    </row>
    <row r="2897" spans="1:6" hidden="1" x14ac:dyDescent="0.2">
      <c r="A2897" s="102" t="s">
        <v>184</v>
      </c>
      <c r="B2897" s="102" t="s">
        <v>16</v>
      </c>
      <c r="C2897" s="102" t="s">
        <v>155</v>
      </c>
      <c r="D2897" s="103">
        <v>91697.570077665499</v>
      </c>
      <c r="E2897" s="103">
        <v>44645.360601214699</v>
      </c>
      <c r="F2897" s="103">
        <v>46523.804260111501</v>
      </c>
    </row>
    <row r="2898" spans="1:6" hidden="1" x14ac:dyDescent="0.2">
      <c r="A2898" s="102" t="s">
        <v>184</v>
      </c>
      <c r="B2898" s="102" t="s">
        <v>16</v>
      </c>
      <c r="C2898" s="102" t="s">
        <v>156</v>
      </c>
      <c r="D2898" s="103">
        <v>100654.42992233401</v>
      </c>
      <c r="E2898" s="103">
        <v>49268.639398785199</v>
      </c>
      <c r="F2898" s="103">
        <v>51914.195739888397</v>
      </c>
    </row>
    <row r="2899" spans="1:6" hidden="1" x14ac:dyDescent="0.2">
      <c r="A2899" s="102" t="s">
        <v>184</v>
      </c>
      <c r="B2899" s="102" t="s">
        <v>16</v>
      </c>
      <c r="C2899" s="102" t="s">
        <v>157</v>
      </c>
      <c r="D2899" s="104">
        <v>2.8306120494666498</v>
      </c>
      <c r="E2899" s="104">
        <v>2.9925473019807201</v>
      </c>
      <c r="F2899" s="104">
        <v>3.3287317976161201</v>
      </c>
    </row>
    <row r="2900" spans="1:6" hidden="1" x14ac:dyDescent="0.2">
      <c r="A2900" s="102" t="s">
        <v>184</v>
      </c>
      <c r="B2900" s="102" t="s">
        <v>16</v>
      </c>
      <c r="C2900" s="102" t="s">
        <v>158</v>
      </c>
      <c r="D2900" s="104">
        <v>2.97626178716426</v>
      </c>
      <c r="E2900" s="104">
        <v>2.7759579822699298</v>
      </c>
      <c r="F2900" s="104">
        <v>3.2423567980301198</v>
      </c>
    </row>
    <row r="2901" spans="1:6" hidden="1" x14ac:dyDescent="0.2">
      <c r="A2901" s="95" t="s">
        <v>184</v>
      </c>
      <c r="B2901" s="95" t="s">
        <v>17</v>
      </c>
      <c r="C2901" s="95" t="s">
        <v>153</v>
      </c>
      <c r="D2901" s="96">
        <v>69633</v>
      </c>
      <c r="E2901" s="96">
        <v>33596</v>
      </c>
      <c r="F2901" s="96">
        <v>36037</v>
      </c>
    </row>
    <row r="2902" spans="1:6" hidden="1" x14ac:dyDescent="0.2">
      <c r="A2902" s="97" t="s">
        <v>184</v>
      </c>
      <c r="B2902" s="97" t="s">
        <v>17</v>
      </c>
      <c r="C2902" s="97" t="s">
        <v>154</v>
      </c>
      <c r="D2902" s="98">
        <v>1888.64964131128</v>
      </c>
      <c r="E2902" s="98">
        <v>1127.1955585194801</v>
      </c>
      <c r="F2902" s="98">
        <v>1124.3521284200101</v>
      </c>
    </row>
    <row r="2903" spans="1:6" hidden="1" x14ac:dyDescent="0.2">
      <c r="A2903" s="97" t="s">
        <v>184</v>
      </c>
      <c r="B2903" s="97" t="s">
        <v>17</v>
      </c>
      <c r="C2903" s="97" t="s">
        <v>155</v>
      </c>
      <c r="D2903" s="98">
        <v>66526.079635852904</v>
      </c>
      <c r="E2903" s="98">
        <v>31741.708574773598</v>
      </c>
      <c r="F2903" s="98">
        <v>34187.386155351203</v>
      </c>
    </row>
    <row r="2904" spans="1:6" hidden="1" x14ac:dyDescent="0.2">
      <c r="A2904" s="97" t="s">
        <v>184</v>
      </c>
      <c r="B2904" s="97" t="s">
        <v>17</v>
      </c>
      <c r="C2904" s="97" t="s">
        <v>156</v>
      </c>
      <c r="D2904" s="98">
        <v>72739.920364146994</v>
      </c>
      <c r="E2904" s="98">
        <v>35450.2914252263</v>
      </c>
      <c r="F2904" s="98">
        <v>37886.613844648702</v>
      </c>
    </row>
    <row r="2905" spans="1:6" hidden="1" x14ac:dyDescent="0.2">
      <c r="A2905" s="97" t="s">
        <v>184</v>
      </c>
      <c r="B2905" s="97" t="s">
        <v>17</v>
      </c>
      <c r="C2905" s="97" t="s">
        <v>157</v>
      </c>
      <c r="D2905" s="99">
        <v>2.71229107077288</v>
      </c>
      <c r="E2905" s="99">
        <v>3.3551481084637498</v>
      </c>
      <c r="F2905" s="99">
        <v>3.1199936965341601</v>
      </c>
    </row>
    <row r="2906" spans="1:6" hidden="1" x14ac:dyDescent="0.2">
      <c r="A2906" s="97" t="s">
        <v>184</v>
      </c>
      <c r="B2906" s="97" t="s">
        <v>17</v>
      </c>
      <c r="C2906" s="97" t="s">
        <v>158</v>
      </c>
      <c r="D2906" s="99">
        <v>2.4689738408800301</v>
      </c>
      <c r="E2906" s="99">
        <v>2.8918211641591398</v>
      </c>
      <c r="F2906" s="99">
        <v>2.50844932990069</v>
      </c>
    </row>
    <row r="2907" spans="1:6" hidden="1" x14ac:dyDescent="0.2">
      <c r="A2907" s="100" t="s">
        <v>184</v>
      </c>
      <c r="B2907" s="100" t="s">
        <v>18</v>
      </c>
      <c r="C2907" s="100" t="s">
        <v>153</v>
      </c>
      <c r="D2907" s="101">
        <v>49441</v>
      </c>
      <c r="E2907" s="101">
        <v>23579</v>
      </c>
      <c r="F2907" s="101">
        <v>25862</v>
      </c>
    </row>
    <row r="2908" spans="1:6" hidden="1" x14ac:dyDescent="0.2">
      <c r="A2908" s="102" t="s">
        <v>184</v>
      </c>
      <c r="B2908" s="102" t="s">
        <v>18</v>
      </c>
      <c r="C2908" s="102" t="s">
        <v>154</v>
      </c>
      <c r="D2908" s="103">
        <v>1391.22448545269</v>
      </c>
      <c r="E2908" s="103">
        <v>772.03514914527705</v>
      </c>
      <c r="F2908" s="103">
        <v>905.80614682472799</v>
      </c>
    </row>
    <row r="2909" spans="1:6" hidden="1" x14ac:dyDescent="0.2">
      <c r="A2909" s="102" t="s">
        <v>184</v>
      </c>
      <c r="B2909" s="102" t="s">
        <v>18</v>
      </c>
      <c r="C2909" s="102" t="s">
        <v>155</v>
      </c>
      <c r="D2909" s="103">
        <v>47152.3681699312</v>
      </c>
      <c r="E2909" s="103">
        <v>22308.9646931596</v>
      </c>
      <c r="F2909" s="103">
        <v>24371.9049066689</v>
      </c>
    </row>
    <row r="2910" spans="1:6" hidden="1" x14ac:dyDescent="0.2">
      <c r="A2910" s="102" t="s">
        <v>184</v>
      </c>
      <c r="B2910" s="102" t="s">
        <v>18</v>
      </c>
      <c r="C2910" s="102" t="s">
        <v>156</v>
      </c>
      <c r="D2910" s="103">
        <v>51729.631830068698</v>
      </c>
      <c r="E2910" s="103">
        <v>24849.035306840298</v>
      </c>
      <c r="F2910" s="103">
        <v>27352.095093331001</v>
      </c>
    </row>
    <row r="2911" spans="1:6" hidden="1" x14ac:dyDescent="0.2">
      <c r="A2911" s="102" t="s">
        <v>184</v>
      </c>
      <c r="B2911" s="102" t="s">
        <v>18</v>
      </c>
      <c r="C2911" s="102" t="s">
        <v>157</v>
      </c>
      <c r="D2911" s="104">
        <v>2.8139084675728498</v>
      </c>
      <c r="E2911" s="104">
        <v>3.2742489043016101</v>
      </c>
      <c r="F2911" s="104">
        <v>3.5024597742816801</v>
      </c>
    </row>
    <row r="2912" spans="1:6" hidden="1" x14ac:dyDescent="0.2">
      <c r="A2912" s="102" t="s">
        <v>184</v>
      </c>
      <c r="B2912" s="102" t="s">
        <v>18</v>
      </c>
      <c r="C2912" s="102" t="s">
        <v>158</v>
      </c>
      <c r="D2912" s="104">
        <v>2.2964740549234799</v>
      </c>
      <c r="E2912" s="104">
        <v>2.3537599336475199</v>
      </c>
      <c r="F2912" s="104">
        <v>2.5664333482564099</v>
      </c>
    </row>
    <row r="2913" spans="1:6" hidden="1" x14ac:dyDescent="0.2">
      <c r="A2913" s="95" t="s">
        <v>184</v>
      </c>
      <c r="B2913" s="95" t="s">
        <v>19</v>
      </c>
      <c r="C2913" s="95" t="s">
        <v>153</v>
      </c>
      <c r="D2913" s="96">
        <v>71186</v>
      </c>
      <c r="E2913" s="96">
        <v>32923</v>
      </c>
      <c r="F2913" s="96">
        <v>38263</v>
      </c>
    </row>
    <row r="2914" spans="1:6" hidden="1" x14ac:dyDescent="0.2">
      <c r="A2914" s="97" t="s">
        <v>184</v>
      </c>
      <c r="B2914" s="97" t="s">
        <v>19</v>
      </c>
      <c r="C2914" s="97" t="s">
        <v>154</v>
      </c>
      <c r="D2914" s="98">
        <v>2056.8789926644499</v>
      </c>
      <c r="E2914" s="98">
        <v>1083.47911003574</v>
      </c>
      <c r="F2914" s="98">
        <v>1239.5196056961699</v>
      </c>
    </row>
    <row r="2915" spans="1:6" hidden="1" x14ac:dyDescent="0.2">
      <c r="A2915" s="97" t="s">
        <v>184</v>
      </c>
      <c r="B2915" s="97" t="s">
        <v>19</v>
      </c>
      <c r="C2915" s="97" t="s">
        <v>155</v>
      </c>
      <c r="D2915" s="98">
        <v>67802.334184428997</v>
      </c>
      <c r="E2915" s="98">
        <v>31140.6242552002</v>
      </c>
      <c r="F2915" s="98">
        <v>36223.930063225896</v>
      </c>
    </row>
    <row r="2916" spans="1:6" hidden="1" x14ac:dyDescent="0.2">
      <c r="A2916" s="97" t="s">
        <v>184</v>
      </c>
      <c r="B2916" s="97" t="s">
        <v>19</v>
      </c>
      <c r="C2916" s="97" t="s">
        <v>156</v>
      </c>
      <c r="D2916" s="98">
        <v>74569.665815571003</v>
      </c>
      <c r="E2916" s="98">
        <v>34705.375744799698</v>
      </c>
      <c r="F2916" s="98">
        <v>40302.069936774002</v>
      </c>
    </row>
    <row r="2917" spans="1:6" hidden="1" x14ac:dyDescent="0.2">
      <c r="A2917" s="97" t="s">
        <v>184</v>
      </c>
      <c r="B2917" s="97" t="s">
        <v>19</v>
      </c>
      <c r="C2917" s="97" t="s">
        <v>157</v>
      </c>
      <c r="D2917" s="99">
        <v>2.88944313862901</v>
      </c>
      <c r="E2917" s="99">
        <v>3.2909489112041599</v>
      </c>
      <c r="F2917" s="99">
        <v>3.2394731351336001</v>
      </c>
    </row>
    <row r="2918" spans="1:6" hidden="1" x14ac:dyDescent="0.2">
      <c r="A2918" s="97" t="s">
        <v>184</v>
      </c>
      <c r="B2918" s="97" t="s">
        <v>19</v>
      </c>
      <c r="C2918" s="97" t="s">
        <v>158</v>
      </c>
      <c r="D2918" s="99">
        <v>2.43688515602723</v>
      </c>
      <c r="E2918" s="99">
        <v>2.5415990061675</v>
      </c>
      <c r="F2918" s="99">
        <v>2.4696120859033299</v>
      </c>
    </row>
    <row r="2919" spans="1:6" hidden="1" x14ac:dyDescent="0.2">
      <c r="A2919" s="100" t="s">
        <v>184</v>
      </c>
      <c r="B2919" s="100" t="s">
        <v>20</v>
      </c>
      <c r="C2919" s="100" t="s">
        <v>153</v>
      </c>
      <c r="D2919" s="101">
        <v>1501</v>
      </c>
      <c r="E2919" s="101">
        <v>773</v>
      </c>
      <c r="F2919" s="101">
        <v>728</v>
      </c>
    </row>
    <row r="2920" spans="1:6" hidden="1" x14ac:dyDescent="0.2">
      <c r="A2920" s="102" t="s">
        <v>184</v>
      </c>
      <c r="B2920" s="102" t="s">
        <v>20</v>
      </c>
      <c r="C2920" s="102" t="s">
        <v>154</v>
      </c>
      <c r="D2920" s="103">
        <v>345.976170149268</v>
      </c>
      <c r="E2920" s="103">
        <v>169.02898575949101</v>
      </c>
      <c r="F2920" s="103">
        <v>224.01095887042399</v>
      </c>
    </row>
    <row r="2921" spans="1:6" hidden="1" x14ac:dyDescent="0.2">
      <c r="A2921" s="102" t="s">
        <v>184</v>
      </c>
      <c r="B2921" s="102" t="s">
        <v>20</v>
      </c>
      <c r="C2921" s="102" t="s">
        <v>155</v>
      </c>
      <c r="D2921" s="103">
        <v>931.85240108374603</v>
      </c>
      <c r="E2921" s="103">
        <v>494.939111151041</v>
      </c>
      <c r="F2921" s="103">
        <v>359.49109571036797</v>
      </c>
    </row>
    <row r="2922" spans="1:6" hidden="1" x14ac:dyDescent="0.2">
      <c r="A2922" s="102" t="s">
        <v>184</v>
      </c>
      <c r="B2922" s="102" t="s">
        <v>20</v>
      </c>
      <c r="C2922" s="102" t="s">
        <v>156</v>
      </c>
      <c r="D2922" s="103">
        <v>2070.14759891625</v>
      </c>
      <c r="E2922" s="103">
        <v>1051.0608888489501</v>
      </c>
      <c r="F2922" s="103">
        <v>1096.50890428963</v>
      </c>
    </row>
    <row r="2923" spans="1:6" hidden="1" x14ac:dyDescent="0.2">
      <c r="A2923" s="102" t="s">
        <v>184</v>
      </c>
      <c r="B2923" s="102" t="s">
        <v>20</v>
      </c>
      <c r="C2923" s="102" t="s">
        <v>157</v>
      </c>
      <c r="D2923" s="104">
        <v>23.049711535594099</v>
      </c>
      <c r="E2923" s="104">
        <v>21.866621702392099</v>
      </c>
      <c r="F2923" s="104">
        <v>30.770736108574798</v>
      </c>
    </row>
    <row r="2924" spans="1:6" hidden="1" x14ac:dyDescent="0.2">
      <c r="A2924" s="102" t="s">
        <v>184</v>
      </c>
      <c r="B2924" s="102" t="s">
        <v>20</v>
      </c>
      <c r="C2924" s="102" t="s">
        <v>158</v>
      </c>
      <c r="D2924" s="104">
        <v>7.1689943740053597</v>
      </c>
      <c r="E2924" s="104">
        <v>4.9089844397155096</v>
      </c>
      <c r="F2924" s="104">
        <v>7.4466046657455598</v>
      </c>
    </row>
    <row r="2925" spans="1:6" hidden="1" x14ac:dyDescent="0.2">
      <c r="A2925" s="95" t="s">
        <v>185</v>
      </c>
      <c r="B2925" s="95" t="s">
        <v>152</v>
      </c>
      <c r="C2925" s="95" t="s">
        <v>153</v>
      </c>
      <c r="D2925" s="96">
        <v>2395272</v>
      </c>
      <c r="E2925" s="96">
        <v>1171592</v>
      </c>
      <c r="F2925" s="96">
        <v>1223680</v>
      </c>
    </row>
    <row r="2926" spans="1:6" hidden="1" x14ac:dyDescent="0.2">
      <c r="A2926" s="97" t="s">
        <v>185</v>
      </c>
      <c r="B2926" s="97" t="s">
        <v>152</v>
      </c>
      <c r="C2926" s="97" t="s">
        <v>154</v>
      </c>
      <c r="D2926" s="98">
        <v>97733.822508952304</v>
      </c>
      <c r="E2926" s="98">
        <v>47895.107949100297</v>
      </c>
      <c r="F2926" s="98">
        <v>50013.810455796003</v>
      </c>
    </row>
    <row r="2927" spans="1:6" hidden="1" x14ac:dyDescent="0.2">
      <c r="A2927" s="97" t="s">
        <v>185</v>
      </c>
      <c r="B2927" s="97" t="s">
        <v>152</v>
      </c>
      <c r="C2927" s="97" t="s">
        <v>155</v>
      </c>
      <c r="D2927" s="98">
        <v>2234431.4352647201</v>
      </c>
      <c r="E2927" s="98">
        <v>1092771.0144616</v>
      </c>
      <c r="F2927" s="98">
        <v>1141372.2654638099</v>
      </c>
    </row>
    <row r="2928" spans="1:6" hidden="1" x14ac:dyDescent="0.2">
      <c r="A2928" s="97" t="s">
        <v>185</v>
      </c>
      <c r="B2928" s="97" t="s">
        <v>152</v>
      </c>
      <c r="C2928" s="97" t="s">
        <v>156</v>
      </c>
      <c r="D2928" s="98">
        <v>2556112.5647352701</v>
      </c>
      <c r="E2928" s="98">
        <v>1250412.98553839</v>
      </c>
      <c r="F2928" s="98">
        <v>1305987.73453618</v>
      </c>
    </row>
    <row r="2929" spans="1:6" hidden="1" x14ac:dyDescent="0.2">
      <c r="A2929" s="97" t="s">
        <v>185</v>
      </c>
      <c r="B2929" s="97" t="s">
        <v>152</v>
      </c>
      <c r="C2929" s="97" t="s">
        <v>157</v>
      </c>
      <c r="D2929" s="99">
        <v>4.0802807576322104</v>
      </c>
      <c r="E2929" s="99">
        <v>4.0880364452044997</v>
      </c>
      <c r="F2929" s="99">
        <v>4.0871641651245403</v>
      </c>
    </row>
    <row r="2930" spans="1:6" hidden="1" x14ac:dyDescent="0.2">
      <c r="A2930" s="97" t="s">
        <v>185</v>
      </c>
      <c r="B2930" s="97" t="s">
        <v>152</v>
      </c>
      <c r="C2930" s="97" t="s">
        <v>158</v>
      </c>
      <c r="D2930" s="99">
        <v>1.50032486205033</v>
      </c>
      <c r="E2930" s="99">
        <v>1.2271857946914999</v>
      </c>
      <c r="F2930" s="99">
        <v>1.24025728585206</v>
      </c>
    </row>
    <row r="2931" spans="1:6" hidden="1" x14ac:dyDescent="0.2">
      <c r="A2931" s="100" t="s">
        <v>185</v>
      </c>
      <c r="B2931" s="100" t="s">
        <v>4</v>
      </c>
      <c r="C2931" s="100" t="s">
        <v>153</v>
      </c>
      <c r="D2931" s="101">
        <v>226983</v>
      </c>
      <c r="E2931" s="101">
        <v>116592</v>
      </c>
      <c r="F2931" s="101">
        <v>110391</v>
      </c>
    </row>
    <row r="2932" spans="1:6" hidden="1" x14ac:dyDescent="0.2">
      <c r="A2932" s="102" t="s">
        <v>185</v>
      </c>
      <c r="B2932" s="102" t="s">
        <v>4</v>
      </c>
      <c r="C2932" s="102" t="s">
        <v>154</v>
      </c>
      <c r="D2932" s="103">
        <v>10115.656363488701</v>
      </c>
      <c r="E2932" s="103">
        <v>5381.67274734486</v>
      </c>
      <c r="F2932" s="103">
        <v>5029.6731085372003</v>
      </c>
    </row>
    <row r="2933" spans="1:6" hidden="1" x14ac:dyDescent="0.2">
      <c r="A2933" s="102" t="s">
        <v>185</v>
      </c>
      <c r="B2933" s="102" t="s">
        <v>4</v>
      </c>
      <c r="C2933" s="102" t="s">
        <v>155</v>
      </c>
      <c r="D2933" s="103">
        <v>210335.66297373699</v>
      </c>
      <c r="E2933" s="103">
        <v>107735.380442076</v>
      </c>
      <c r="F2933" s="103">
        <v>102113.666294599</v>
      </c>
    </row>
    <row r="2934" spans="1:6" hidden="1" x14ac:dyDescent="0.2">
      <c r="A2934" s="102" t="s">
        <v>185</v>
      </c>
      <c r="B2934" s="102" t="s">
        <v>4</v>
      </c>
      <c r="C2934" s="102" t="s">
        <v>156</v>
      </c>
      <c r="D2934" s="103">
        <v>243630.33702626199</v>
      </c>
      <c r="E2934" s="103">
        <v>125448.619557923</v>
      </c>
      <c r="F2934" s="103">
        <v>118668.3337054</v>
      </c>
    </row>
    <row r="2935" spans="1:6" hidden="1" x14ac:dyDescent="0.2">
      <c r="A2935" s="102" t="s">
        <v>185</v>
      </c>
      <c r="B2935" s="102" t="s">
        <v>4</v>
      </c>
      <c r="C2935" s="102" t="s">
        <v>157</v>
      </c>
      <c r="D2935" s="104">
        <v>4.4565700354161901</v>
      </c>
      <c r="E2935" s="104">
        <v>4.6158164774125696</v>
      </c>
      <c r="F2935" s="104">
        <v>4.5562347551314897</v>
      </c>
    </row>
    <row r="2936" spans="1:6" hidden="1" x14ac:dyDescent="0.2">
      <c r="A2936" s="102" t="s">
        <v>185</v>
      </c>
      <c r="B2936" s="102" t="s">
        <v>4</v>
      </c>
      <c r="C2936" s="102" t="s">
        <v>158</v>
      </c>
      <c r="D2936" s="104">
        <v>1.1159036364344701</v>
      </c>
      <c r="E2936" s="104">
        <v>1.2120415984600701</v>
      </c>
      <c r="F2936" s="104">
        <v>1.0884587358908799</v>
      </c>
    </row>
    <row r="2937" spans="1:6" hidden="1" x14ac:dyDescent="0.2">
      <c r="A2937" s="95" t="s">
        <v>185</v>
      </c>
      <c r="B2937" s="95" t="s">
        <v>5</v>
      </c>
      <c r="C2937" s="95" t="s">
        <v>153</v>
      </c>
      <c r="D2937" s="96">
        <v>228739</v>
      </c>
      <c r="E2937" s="96">
        <v>117063</v>
      </c>
      <c r="F2937" s="96">
        <v>111676</v>
      </c>
    </row>
    <row r="2938" spans="1:6" hidden="1" x14ac:dyDescent="0.2">
      <c r="A2938" s="97" t="s">
        <v>185</v>
      </c>
      <c r="B2938" s="97" t="s">
        <v>5</v>
      </c>
      <c r="C2938" s="97" t="s">
        <v>154</v>
      </c>
      <c r="D2938" s="98">
        <v>10122.640019579499</v>
      </c>
      <c r="E2938" s="98">
        <v>5300.5596721552702</v>
      </c>
      <c r="F2938" s="98">
        <v>5064.0640981709203</v>
      </c>
    </row>
    <row r="2939" spans="1:6" hidden="1" x14ac:dyDescent="0.2">
      <c r="A2939" s="97" t="s">
        <v>185</v>
      </c>
      <c r="B2939" s="97" t="s">
        <v>5</v>
      </c>
      <c r="C2939" s="97" t="s">
        <v>155</v>
      </c>
      <c r="D2939" s="98">
        <v>212080.169969977</v>
      </c>
      <c r="E2939" s="98">
        <v>108339.868240732</v>
      </c>
      <c r="F2939" s="98">
        <v>103342.069038373</v>
      </c>
    </row>
    <row r="2940" spans="1:6" hidden="1" x14ac:dyDescent="0.2">
      <c r="A2940" s="97" t="s">
        <v>185</v>
      </c>
      <c r="B2940" s="97" t="s">
        <v>5</v>
      </c>
      <c r="C2940" s="97" t="s">
        <v>156</v>
      </c>
      <c r="D2940" s="98">
        <v>245397.83003002201</v>
      </c>
      <c r="E2940" s="98">
        <v>125786.13175926699</v>
      </c>
      <c r="F2940" s="98">
        <v>120009.930961626</v>
      </c>
    </row>
    <row r="2941" spans="1:6" hidden="1" x14ac:dyDescent="0.2">
      <c r="A2941" s="97" t="s">
        <v>185</v>
      </c>
      <c r="B2941" s="97" t="s">
        <v>5</v>
      </c>
      <c r="C2941" s="97" t="s">
        <v>157</v>
      </c>
      <c r="D2941" s="99">
        <v>4.4254106293983497</v>
      </c>
      <c r="E2941" s="99">
        <v>4.5279547527017696</v>
      </c>
      <c r="F2941" s="99">
        <v>4.5346037628236298</v>
      </c>
    </row>
    <row r="2942" spans="1:6" hidden="1" x14ac:dyDescent="0.2">
      <c r="A2942" s="97" t="s">
        <v>185</v>
      </c>
      <c r="B2942" s="97" t="s">
        <v>5</v>
      </c>
      <c r="C2942" s="97" t="s">
        <v>158</v>
      </c>
      <c r="D2942" s="99">
        <v>1.10858709741036</v>
      </c>
      <c r="E2942" s="99">
        <v>1.1222722359861801</v>
      </c>
      <c r="F2942" s="99">
        <v>1.1380508074079101</v>
      </c>
    </row>
    <row r="2943" spans="1:6" hidden="1" x14ac:dyDescent="0.2">
      <c r="A2943" s="100" t="s">
        <v>185</v>
      </c>
      <c r="B2943" s="100" t="s">
        <v>6</v>
      </c>
      <c r="C2943" s="100" t="s">
        <v>153</v>
      </c>
      <c r="D2943" s="101">
        <v>224489</v>
      </c>
      <c r="E2943" s="101">
        <v>112911</v>
      </c>
      <c r="F2943" s="101">
        <v>111578</v>
      </c>
    </row>
    <row r="2944" spans="1:6" hidden="1" x14ac:dyDescent="0.2">
      <c r="A2944" s="102" t="s">
        <v>185</v>
      </c>
      <c r="B2944" s="102" t="s">
        <v>6</v>
      </c>
      <c r="C2944" s="102" t="s">
        <v>154</v>
      </c>
      <c r="D2944" s="103">
        <v>9205.8903638478405</v>
      </c>
      <c r="E2944" s="103">
        <v>4708.0074524194797</v>
      </c>
      <c r="F2944" s="103">
        <v>4883.08223194733</v>
      </c>
    </row>
    <row r="2945" spans="1:6" hidden="1" x14ac:dyDescent="0.2">
      <c r="A2945" s="102" t="s">
        <v>185</v>
      </c>
      <c r="B2945" s="102" t="s">
        <v>6</v>
      </c>
      <c r="C2945" s="102" t="s">
        <v>155</v>
      </c>
      <c r="D2945" s="103">
        <v>209338.865000658</v>
      </c>
      <c r="E2945" s="103">
        <v>105163.031507765</v>
      </c>
      <c r="F2945" s="103">
        <v>103541.910919751</v>
      </c>
    </row>
    <row r="2946" spans="1:6" hidden="1" x14ac:dyDescent="0.2">
      <c r="A2946" s="102" t="s">
        <v>185</v>
      </c>
      <c r="B2946" s="102" t="s">
        <v>6</v>
      </c>
      <c r="C2946" s="102" t="s">
        <v>156</v>
      </c>
      <c r="D2946" s="103">
        <v>239639.13499934101</v>
      </c>
      <c r="E2946" s="103">
        <v>120658.96849223399</v>
      </c>
      <c r="F2946" s="103">
        <v>119614.089080249</v>
      </c>
    </row>
    <row r="2947" spans="1:6" hidden="1" x14ac:dyDescent="0.2">
      <c r="A2947" s="102" t="s">
        <v>185</v>
      </c>
      <c r="B2947" s="102" t="s">
        <v>6</v>
      </c>
      <c r="C2947" s="102" t="s">
        <v>157</v>
      </c>
      <c r="D2947" s="104">
        <v>4.100820246804</v>
      </c>
      <c r="E2947" s="104">
        <v>4.1696623468213696</v>
      </c>
      <c r="F2947" s="104">
        <v>4.3763844413301296</v>
      </c>
    </row>
    <row r="2948" spans="1:6" hidden="1" x14ac:dyDescent="0.2">
      <c r="A2948" s="102" t="s">
        <v>185</v>
      </c>
      <c r="B2948" s="102" t="s">
        <v>6</v>
      </c>
      <c r="C2948" s="102" t="s">
        <v>158</v>
      </c>
      <c r="D2948" s="104">
        <v>1.00615077025452</v>
      </c>
      <c r="E2948" s="104">
        <v>1.00093541877658</v>
      </c>
      <c r="F2948" s="104">
        <v>1.1206839543963201</v>
      </c>
    </row>
    <row r="2949" spans="1:6" hidden="1" x14ac:dyDescent="0.2">
      <c r="A2949" s="95" t="s">
        <v>185</v>
      </c>
      <c r="B2949" s="95" t="s">
        <v>7</v>
      </c>
      <c r="C2949" s="95" t="s">
        <v>153</v>
      </c>
      <c r="D2949" s="96">
        <v>213494</v>
      </c>
      <c r="E2949" s="96">
        <v>105239</v>
      </c>
      <c r="F2949" s="96">
        <v>108255</v>
      </c>
    </row>
    <row r="2950" spans="1:6" hidden="1" x14ac:dyDescent="0.2">
      <c r="A2950" s="97" t="s">
        <v>185</v>
      </c>
      <c r="B2950" s="97" t="s">
        <v>7</v>
      </c>
      <c r="C2950" s="97" t="s">
        <v>154</v>
      </c>
      <c r="D2950" s="98">
        <v>9039.2461338682497</v>
      </c>
      <c r="E2950" s="98">
        <v>4441.5844774065899</v>
      </c>
      <c r="F2950" s="98">
        <v>4813.2284307535601</v>
      </c>
    </row>
    <row r="2951" spans="1:6" hidden="1" x14ac:dyDescent="0.2">
      <c r="A2951" s="97" t="s">
        <v>185</v>
      </c>
      <c r="B2951" s="97" t="s">
        <v>7</v>
      </c>
      <c r="C2951" s="97" t="s">
        <v>155</v>
      </c>
      <c r="D2951" s="98">
        <v>198618.11143215699</v>
      </c>
      <c r="E2951" s="98">
        <v>97929.483833270104</v>
      </c>
      <c r="F2951" s="98">
        <v>100333.86932969</v>
      </c>
    </row>
    <row r="2952" spans="1:6" hidden="1" x14ac:dyDescent="0.2">
      <c r="A2952" s="97" t="s">
        <v>185</v>
      </c>
      <c r="B2952" s="97" t="s">
        <v>7</v>
      </c>
      <c r="C2952" s="97" t="s">
        <v>156</v>
      </c>
      <c r="D2952" s="98">
        <v>228369.88856784199</v>
      </c>
      <c r="E2952" s="98">
        <v>112548.51616672899</v>
      </c>
      <c r="F2952" s="98">
        <v>116176.13067030899</v>
      </c>
    </row>
    <row r="2953" spans="1:6" hidden="1" x14ac:dyDescent="0.2">
      <c r="A2953" s="97" t="s">
        <v>185</v>
      </c>
      <c r="B2953" s="97" t="s">
        <v>7</v>
      </c>
      <c r="C2953" s="97" t="s">
        <v>157</v>
      </c>
      <c r="D2953" s="99">
        <v>4.2339579256879496</v>
      </c>
      <c r="E2953" s="99">
        <v>4.2204738522853598</v>
      </c>
      <c r="F2953" s="99">
        <v>4.4461950309487399</v>
      </c>
    </row>
    <row r="2954" spans="1:6" hidden="1" x14ac:dyDescent="0.2">
      <c r="A2954" s="97" t="s">
        <v>185</v>
      </c>
      <c r="B2954" s="97" t="s">
        <v>7</v>
      </c>
      <c r="C2954" s="97" t="s">
        <v>158</v>
      </c>
      <c r="D2954" s="99">
        <v>1.06479298414625</v>
      </c>
      <c r="E2954" s="99">
        <v>1.04752508406179</v>
      </c>
      <c r="F2954" s="99">
        <v>1.1203710844727599</v>
      </c>
    </row>
    <row r="2955" spans="1:6" hidden="1" x14ac:dyDescent="0.2">
      <c r="A2955" s="100" t="s">
        <v>185</v>
      </c>
      <c r="B2955" s="100" t="s">
        <v>8</v>
      </c>
      <c r="C2955" s="100" t="s">
        <v>153</v>
      </c>
      <c r="D2955" s="101">
        <v>216465</v>
      </c>
      <c r="E2955" s="101">
        <v>105428</v>
      </c>
      <c r="F2955" s="101">
        <v>111037</v>
      </c>
    </row>
    <row r="2956" spans="1:6" hidden="1" x14ac:dyDescent="0.2">
      <c r="A2956" s="102" t="s">
        <v>185</v>
      </c>
      <c r="B2956" s="102" t="s">
        <v>8</v>
      </c>
      <c r="C2956" s="102" t="s">
        <v>154</v>
      </c>
      <c r="D2956" s="103">
        <v>9984.4315650779899</v>
      </c>
      <c r="E2956" s="103">
        <v>5089.1620950685301</v>
      </c>
      <c r="F2956" s="103">
        <v>5116.9218948383896</v>
      </c>
    </row>
    <row r="2957" spans="1:6" hidden="1" x14ac:dyDescent="0.2">
      <c r="A2957" s="102" t="s">
        <v>185</v>
      </c>
      <c r="B2957" s="102" t="s">
        <v>8</v>
      </c>
      <c r="C2957" s="102" t="s">
        <v>155</v>
      </c>
      <c r="D2957" s="103">
        <v>200033.61964197899</v>
      </c>
      <c r="E2957" s="103">
        <v>97052.765261532797</v>
      </c>
      <c r="F2957" s="103">
        <v>102616.080955349</v>
      </c>
    </row>
    <row r="2958" spans="1:6" hidden="1" x14ac:dyDescent="0.2">
      <c r="A2958" s="102" t="s">
        <v>185</v>
      </c>
      <c r="B2958" s="102" t="s">
        <v>8</v>
      </c>
      <c r="C2958" s="102" t="s">
        <v>156</v>
      </c>
      <c r="D2958" s="103">
        <v>232896.38035801999</v>
      </c>
      <c r="E2958" s="103">
        <v>113803.234738467</v>
      </c>
      <c r="F2958" s="103">
        <v>119457.91904465</v>
      </c>
    </row>
    <row r="2959" spans="1:6" hidden="1" x14ac:dyDescent="0.2">
      <c r="A2959" s="102" t="s">
        <v>185</v>
      </c>
      <c r="B2959" s="102" t="s">
        <v>8</v>
      </c>
      <c r="C2959" s="102" t="s">
        <v>157</v>
      </c>
      <c r="D2959" s="104">
        <v>4.6124923498385302</v>
      </c>
      <c r="E2959" s="104">
        <v>4.8271446817434898</v>
      </c>
      <c r="F2959" s="104">
        <v>4.60830344375153</v>
      </c>
    </row>
    <row r="2960" spans="1:6" hidden="1" x14ac:dyDescent="0.2">
      <c r="A2960" s="102" t="s">
        <v>185</v>
      </c>
      <c r="B2960" s="102" t="s">
        <v>8</v>
      </c>
      <c r="C2960" s="102" t="s">
        <v>158</v>
      </c>
      <c r="D2960" s="104">
        <v>1.22626061340947</v>
      </c>
      <c r="E2960" s="104">
        <v>1.2643595289680001</v>
      </c>
      <c r="F2960" s="104">
        <v>1.23129993342405</v>
      </c>
    </row>
    <row r="2961" spans="1:6" hidden="1" x14ac:dyDescent="0.2">
      <c r="A2961" s="95" t="s">
        <v>185</v>
      </c>
      <c r="B2961" s="95" t="s">
        <v>9</v>
      </c>
      <c r="C2961" s="95" t="s">
        <v>153</v>
      </c>
      <c r="D2961" s="96">
        <v>193640</v>
      </c>
      <c r="E2961" s="96">
        <v>92779</v>
      </c>
      <c r="F2961" s="96">
        <v>100861</v>
      </c>
    </row>
    <row r="2962" spans="1:6" hidden="1" x14ac:dyDescent="0.2">
      <c r="A2962" s="97" t="s">
        <v>185</v>
      </c>
      <c r="B2962" s="97" t="s">
        <v>9</v>
      </c>
      <c r="C2962" s="97" t="s">
        <v>154</v>
      </c>
      <c r="D2962" s="98">
        <v>8929.9118269778701</v>
      </c>
      <c r="E2962" s="98">
        <v>4508.6131611980099</v>
      </c>
      <c r="F2962" s="98">
        <v>4581.6383735847303</v>
      </c>
    </row>
    <row r="2963" spans="1:6" hidden="1" x14ac:dyDescent="0.2">
      <c r="A2963" s="97" t="s">
        <v>185</v>
      </c>
      <c r="B2963" s="97" t="s">
        <v>9</v>
      </c>
      <c r="C2963" s="97" t="s">
        <v>155</v>
      </c>
      <c r="D2963" s="98">
        <v>178944.04291558501</v>
      </c>
      <c r="E2963" s="98">
        <v>85359.174719416595</v>
      </c>
      <c r="F2963" s="98">
        <v>93320.997117654304</v>
      </c>
    </row>
    <row r="2964" spans="1:6" hidden="1" x14ac:dyDescent="0.2">
      <c r="A2964" s="97" t="s">
        <v>185</v>
      </c>
      <c r="B2964" s="97" t="s">
        <v>9</v>
      </c>
      <c r="C2964" s="97" t="s">
        <v>156</v>
      </c>
      <c r="D2964" s="98">
        <v>208335.957084414</v>
      </c>
      <c r="E2964" s="98">
        <v>100198.825280583</v>
      </c>
      <c r="F2964" s="98">
        <v>108401.002882345</v>
      </c>
    </row>
    <row r="2965" spans="1:6" hidden="1" x14ac:dyDescent="0.2">
      <c r="A2965" s="97" t="s">
        <v>185</v>
      </c>
      <c r="B2965" s="97" t="s">
        <v>9</v>
      </c>
      <c r="C2965" s="97" t="s">
        <v>157</v>
      </c>
      <c r="D2965" s="99">
        <v>4.6116049509284602</v>
      </c>
      <c r="E2965" s="99">
        <v>4.8595190303818798</v>
      </c>
      <c r="F2965" s="99">
        <v>4.5425272142698701</v>
      </c>
    </row>
    <row r="2966" spans="1:6" hidden="1" x14ac:dyDescent="0.2">
      <c r="A2966" s="97" t="s">
        <v>185</v>
      </c>
      <c r="B2966" s="97" t="s">
        <v>9</v>
      </c>
      <c r="C2966" s="97" t="s">
        <v>158</v>
      </c>
      <c r="D2966" s="99">
        <v>1.2940412629446401</v>
      </c>
      <c r="E2966" s="99">
        <v>1.3486941497296201</v>
      </c>
      <c r="F2966" s="99">
        <v>1.2637473135619099</v>
      </c>
    </row>
    <row r="2967" spans="1:6" hidden="1" x14ac:dyDescent="0.2">
      <c r="A2967" s="100" t="s">
        <v>185</v>
      </c>
      <c r="B2967" s="100" t="s">
        <v>10</v>
      </c>
      <c r="C2967" s="100" t="s">
        <v>153</v>
      </c>
      <c r="D2967" s="101">
        <v>189584</v>
      </c>
      <c r="E2967" s="101">
        <v>87860</v>
      </c>
      <c r="F2967" s="101">
        <v>101724</v>
      </c>
    </row>
    <row r="2968" spans="1:6" hidden="1" x14ac:dyDescent="0.2">
      <c r="A2968" s="102" t="s">
        <v>185</v>
      </c>
      <c r="B2968" s="102" t="s">
        <v>10</v>
      </c>
      <c r="C2968" s="102" t="s">
        <v>154</v>
      </c>
      <c r="D2968" s="103">
        <v>8686.4461785334097</v>
      </c>
      <c r="E2968" s="103">
        <v>4060.7508461874099</v>
      </c>
      <c r="F2968" s="103">
        <v>4838.0533333899402</v>
      </c>
    </row>
    <row r="2969" spans="1:6" hidden="1" x14ac:dyDescent="0.2">
      <c r="A2969" s="102" t="s">
        <v>185</v>
      </c>
      <c r="B2969" s="102" t="s">
        <v>10</v>
      </c>
      <c r="C2969" s="102" t="s">
        <v>155</v>
      </c>
      <c r="D2969" s="103">
        <v>175288.71436569499</v>
      </c>
      <c r="E2969" s="103">
        <v>81177.221790949596</v>
      </c>
      <c r="F2969" s="103">
        <v>93762.014984111302</v>
      </c>
    </row>
    <row r="2970" spans="1:6" hidden="1" x14ac:dyDescent="0.2">
      <c r="A2970" s="102" t="s">
        <v>185</v>
      </c>
      <c r="B2970" s="102" t="s">
        <v>10</v>
      </c>
      <c r="C2970" s="102" t="s">
        <v>156</v>
      </c>
      <c r="D2970" s="103">
        <v>203879.28563430399</v>
      </c>
      <c r="E2970" s="103">
        <v>94542.778209050302</v>
      </c>
      <c r="F2970" s="103">
        <v>109685.985015888</v>
      </c>
    </row>
    <row r="2971" spans="1:6" hidden="1" x14ac:dyDescent="0.2">
      <c r="A2971" s="102" t="s">
        <v>185</v>
      </c>
      <c r="B2971" s="102" t="s">
        <v>10</v>
      </c>
      <c r="C2971" s="102" t="s">
        <v>157</v>
      </c>
      <c r="D2971" s="104">
        <v>4.5818456085605304</v>
      </c>
      <c r="E2971" s="104">
        <v>4.6218425292367602</v>
      </c>
      <c r="F2971" s="104">
        <v>4.7560588783275701</v>
      </c>
    </row>
    <row r="2972" spans="1:6" hidden="1" x14ac:dyDescent="0.2">
      <c r="A2972" s="102" t="s">
        <v>185</v>
      </c>
      <c r="B2972" s="102" t="s">
        <v>10</v>
      </c>
      <c r="C2972" s="102" t="s">
        <v>158</v>
      </c>
      <c r="D2972" s="104">
        <v>1.2701367751219399</v>
      </c>
      <c r="E2972" s="104">
        <v>1.2948237121319099</v>
      </c>
      <c r="F2972" s="104">
        <v>1.29911041319831</v>
      </c>
    </row>
    <row r="2973" spans="1:6" hidden="1" x14ac:dyDescent="0.2">
      <c r="A2973" s="95" t="s">
        <v>185</v>
      </c>
      <c r="B2973" s="95" t="s">
        <v>11</v>
      </c>
      <c r="C2973" s="95" t="s">
        <v>153</v>
      </c>
      <c r="D2973" s="96">
        <v>181467</v>
      </c>
      <c r="E2973" s="96">
        <v>84422</v>
      </c>
      <c r="F2973" s="96">
        <v>97045</v>
      </c>
    </row>
    <row r="2974" spans="1:6" hidden="1" x14ac:dyDescent="0.2">
      <c r="A2974" s="97" t="s">
        <v>185</v>
      </c>
      <c r="B2974" s="97" t="s">
        <v>11</v>
      </c>
      <c r="C2974" s="97" t="s">
        <v>154</v>
      </c>
      <c r="D2974" s="98">
        <v>7489.2581701843001</v>
      </c>
      <c r="E2974" s="98">
        <v>3493.4154597759202</v>
      </c>
      <c r="F2974" s="98">
        <v>4220.0744127021899</v>
      </c>
    </row>
    <row r="2975" spans="1:6" hidden="1" x14ac:dyDescent="0.2">
      <c r="A2975" s="97" t="s">
        <v>185</v>
      </c>
      <c r="B2975" s="97" t="s">
        <v>11</v>
      </c>
      <c r="C2975" s="97" t="s">
        <v>155</v>
      </c>
      <c r="D2975" s="98">
        <v>169141.926830674</v>
      </c>
      <c r="E2975" s="98">
        <v>78672.885712018193</v>
      </c>
      <c r="F2975" s="98">
        <v>90100.022976291293</v>
      </c>
    </row>
    <row r="2976" spans="1:6" hidden="1" x14ac:dyDescent="0.2">
      <c r="A2976" s="97" t="s">
        <v>185</v>
      </c>
      <c r="B2976" s="97" t="s">
        <v>11</v>
      </c>
      <c r="C2976" s="97" t="s">
        <v>156</v>
      </c>
      <c r="D2976" s="98">
        <v>193792.07316932501</v>
      </c>
      <c r="E2976" s="98">
        <v>90171.114287981705</v>
      </c>
      <c r="F2976" s="98">
        <v>103989.97702370799</v>
      </c>
    </row>
    <row r="2977" spans="1:6" hidden="1" x14ac:dyDescent="0.2">
      <c r="A2977" s="97" t="s">
        <v>185</v>
      </c>
      <c r="B2977" s="97" t="s">
        <v>11</v>
      </c>
      <c r="C2977" s="97" t="s">
        <v>157</v>
      </c>
      <c r="D2977" s="99">
        <v>4.1270634165905102</v>
      </c>
      <c r="E2977" s="99">
        <v>4.1380392075240202</v>
      </c>
      <c r="F2977" s="99">
        <v>4.34857479798257</v>
      </c>
    </row>
    <row r="2978" spans="1:6" hidden="1" x14ac:dyDescent="0.2">
      <c r="A2978" s="97" t="s">
        <v>185</v>
      </c>
      <c r="B2978" s="97" t="s">
        <v>11</v>
      </c>
      <c r="C2978" s="97" t="s">
        <v>158</v>
      </c>
      <c r="D2978" s="99">
        <v>1.0893966514400899</v>
      </c>
      <c r="E2978" s="99">
        <v>1.0863121740288999</v>
      </c>
      <c r="F2978" s="99">
        <v>1.14365671331138</v>
      </c>
    </row>
    <row r="2979" spans="1:6" hidden="1" x14ac:dyDescent="0.2">
      <c r="A2979" s="100" t="s">
        <v>185</v>
      </c>
      <c r="B2979" s="100" t="s">
        <v>12</v>
      </c>
      <c r="C2979" s="100" t="s">
        <v>153</v>
      </c>
      <c r="D2979" s="101">
        <v>161064</v>
      </c>
      <c r="E2979" s="101">
        <v>77368</v>
      </c>
      <c r="F2979" s="101">
        <v>83696</v>
      </c>
    </row>
    <row r="2980" spans="1:6" hidden="1" x14ac:dyDescent="0.2">
      <c r="A2980" s="102" t="s">
        <v>185</v>
      </c>
      <c r="B2980" s="102" t="s">
        <v>12</v>
      </c>
      <c r="C2980" s="102" t="s">
        <v>154</v>
      </c>
      <c r="D2980" s="103">
        <v>6490.7419142103599</v>
      </c>
      <c r="E2980" s="103">
        <v>3238.0420415608301</v>
      </c>
      <c r="F2980" s="103">
        <v>3548.0260991874002</v>
      </c>
    </row>
    <row r="2981" spans="1:6" hidden="1" x14ac:dyDescent="0.2">
      <c r="A2981" s="102" t="s">
        <v>185</v>
      </c>
      <c r="B2981" s="102" t="s">
        <v>12</v>
      </c>
      <c r="C2981" s="102" t="s">
        <v>155</v>
      </c>
      <c r="D2981" s="103">
        <v>150382.18516627699</v>
      </c>
      <c r="E2981" s="103">
        <v>72039.153780427499</v>
      </c>
      <c r="F2981" s="103">
        <v>77857.012975456702</v>
      </c>
    </row>
    <row r="2982" spans="1:6" hidden="1" x14ac:dyDescent="0.2">
      <c r="A2982" s="102" t="s">
        <v>185</v>
      </c>
      <c r="B2982" s="102" t="s">
        <v>12</v>
      </c>
      <c r="C2982" s="102" t="s">
        <v>156</v>
      </c>
      <c r="D2982" s="103">
        <v>171745.81483372199</v>
      </c>
      <c r="E2982" s="103">
        <v>82696.846219572399</v>
      </c>
      <c r="F2982" s="103">
        <v>89534.987024543196</v>
      </c>
    </row>
    <row r="2983" spans="1:6" hidden="1" x14ac:dyDescent="0.2">
      <c r="A2983" s="102" t="s">
        <v>185</v>
      </c>
      <c r="B2983" s="102" t="s">
        <v>12</v>
      </c>
      <c r="C2983" s="102" t="s">
        <v>157</v>
      </c>
      <c r="D2983" s="104">
        <v>4.0299147632061496</v>
      </c>
      <c r="E2983" s="104">
        <v>4.1852471843150001</v>
      </c>
      <c r="F2983" s="104">
        <v>4.2391823972321303</v>
      </c>
    </row>
    <row r="2984" spans="1:6" hidden="1" x14ac:dyDescent="0.2">
      <c r="A2984" s="102" t="s">
        <v>185</v>
      </c>
      <c r="B2984" s="102" t="s">
        <v>12</v>
      </c>
      <c r="C2984" s="102" t="s">
        <v>158</v>
      </c>
      <c r="D2984" s="104">
        <v>1.08279703494469</v>
      </c>
      <c r="E2984" s="104">
        <v>1.1416278803737701</v>
      </c>
      <c r="F2984" s="104">
        <v>1.1408095156064</v>
      </c>
    </row>
    <row r="2985" spans="1:6" hidden="1" x14ac:dyDescent="0.2">
      <c r="A2985" s="95" t="s">
        <v>185</v>
      </c>
      <c r="B2985" s="95" t="s">
        <v>13</v>
      </c>
      <c r="C2985" s="95" t="s">
        <v>153</v>
      </c>
      <c r="D2985" s="96">
        <v>133699</v>
      </c>
      <c r="E2985" s="96">
        <v>63769</v>
      </c>
      <c r="F2985" s="96">
        <v>69930</v>
      </c>
    </row>
    <row r="2986" spans="1:6" hidden="1" x14ac:dyDescent="0.2">
      <c r="A2986" s="97" t="s">
        <v>185</v>
      </c>
      <c r="B2986" s="97" t="s">
        <v>13</v>
      </c>
      <c r="C2986" s="97" t="s">
        <v>154</v>
      </c>
      <c r="D2986" s="98">
        <v>5942.4656409213503</v>
      </c>
      <c r="E2986" s="98">
        <v>2840.3407967030298</v>
      </c>
      <c r="F2986" s="98">
        <v>3299.2899214510999</v>
      </c>
    </row>
    <row r="2987" spans="1:6" hidden="1" x14ac:dyDescent="0.2">
      <c r="A2987" s="97" t="s">
        <v>185</v>
      </c>
      <c r="B2987" s="97" t="s">
        <v>13</v>
      </c>
      <c r="C2987" s="97" t="s">
        <v>155</v>
      </c>
      <c r="D2987" s="98">
        <v>123919.483502339</v>
      </c>
      <c r="E2987" s="98">
        <v>59094.650772121298</v>
      </c>
      <c r="F2987" s="98">
        <v>64500.358136324998</v>
      </c>
    </row>
    <row r="2988" spans="1:6" hidden="1" x14ac:dyDescent="0.2">
      <c r="A2988" s="97" t="s">
        <v>185</v>
      </c>
      <c r="B2988" s="97" t="s">
        <v>13</v>
      </c>
      <c r="C2988" s="97" t="s">
        <v>156</v>
      </c>
      <c r="D2988" s="98">
        <v>143478.51649765999</v>
      </c>
      <c r="E2988" s="98">
        <v>68443.3492278786</v>
      </c>
      <c r="F2988" s="98">
        <v>75359.641863675002</v>
      </c>
    </row>
    <row r="2989" spans="1:6" hidden="1" x14ac:dyDescent="0.2">
      <c r="A2989" s="97" t="s">
        <v>185</v>
      </c>
      <c r="B2989" s="97" t="s">
        <v>13</v>
      </c>
      <c r="C2989" s="97" t="s">
        <v>157</v>
      </c>
      <c r="D2989" s="99">
        <v>4.4446597513230097</v>
      </c>
      <c r="E2989" s="99">
        <v>4.4541090446816298</v>
      </c>
      <c r="F2989" s="99">
        <v>4.7179893056643802</v>
      </c>
    </row>
    <row r="2990" spans="1:6" hidden="1" x14ac:dyDescent="0.2">
      <c r="A2990" s="97" t="s">
        <v>185</v>
      </c>
      <c r="B2990" s="97" t="s">
        <v>13</v>
      </c>
      <c r="C2990" s="97" t="s">
        <v>158</v>
      </c>
      <c r="D2990" s="99">
        <v>1.24877991718309</v>
      </c>
      <c r="E2990" s="99">
        <v>1.1840129060642399</v>
      </c>
      <c r="F2990" s="99">
        <v>1.3722893261729501</v>
      </c>
    </row>
    <row r="2991" spans="1:6" hidden="1" x14ac:dyDescent="0.2">
      <c r="A2991" s="100" t="s">
        <v>185</v>
      </c>
      <c r="B2991" s="100" t="s">
        <v>14</v>
      </c>
      <c r="C2991" s="100" t="s">
        <v>153</v>
      </c>
      <c r="D2991" s="101">
        <v>118050</v>
      </c>
      <c r="E2991" s="101">
        <v>59359</v>
      </c>
      <c r="F2991" s="101">
        <v>58691</v>
      </c>
    </row>
    <row r="2992" spans="1:6" hidden="1" x14ac:dyDescent="0.2">
      <c r="A2992" s="102" t="s">
        <v>185</v>
      </c>
      <c r="B2992" s="102" t="s">
        <v>14</v>
      </c>
      <c r="C2992" s="102" t="s">
        <v>154</v>
      </c>
      <c r="D2992" s="103">
        <v>5594.84959998866</v>
      </c>
      <c r="E2992" s="103">
        <v>3108.8461350461998</v>
      </c>
      <c r="F2992" s="103">
        <v>2728.8899426524899</v>
      </c>
    </row>
    <row r="2993" spans="1:6" hidden="1" x14ac:dyDescent="0.2">
      <c r="A2993" s="102" t="s">
        <v>185</v>
      </c>
      <c r="B2993" s="102" t="s">
        <v>14</v>
      </c>
      <c r="C2993" s="102" t="s">
        <v>155</v>
      </c>
      <c r="D2993" s="103">
        <v>108842.555267255</v>
      </c>
      <c r="E2993" s="103">
        <v>54242.771501006202</v>
      </c>
      <c r="F2993" s="103">
        <v>54200.0654574937</v>
      </c>
    </row>
    <row r="2994" spans="1:6" hidden="1" x14ac:dyDescent="0.2">
      <c r="A2994" s="102" t="s">
        <v>185</v>
      </c>
      <c r="B2994" s="102" t="s">
        <v>14</v>
      </c>
      <c r="C2994" s="102" t="s">
        <v>156</v>
      </c>
      <c r="D2994" s="103">
        <v>127257.444732745</v>
      </c>
      <c r="E2994" s="103">
        <v>64475.228498993703</v>
      </c>
      <c r="F2994" s="103">
        <v>63181.9345425063</v>
      </c>
    </row>
    <row r="2995" spans="1:6" hidden="1" x14ac:dyDescent="0.2">
      <c r="A2995" s="102" t="s">
        <v>185</v>
      </c>
      <c r="B2995" s="102" t="s">
        <v>14</v>
      </c>
      <c r="C2995" s="102" t="s">
        <v>157</v>
      </c>
      <c r="D2995" s="104">
        <v>4.7393897500962803</v>
      </c>
      <c r="E2995" s="104">
        <v>5.2373627167678096</v>
      </c>
      <c r="F2995" s="104">
        <v>4.64958842523128</v>
      </c>
    </row>
    <row r="2996" spans="1:6" hidden="1" x14ac:dyDescent="0.2">
      <c r="A2996" s="102" t="s">
        <v>185</v>
      </c>
      <c r="B2996" s="102" t="s">
        <v>14</v>
      </c>
      <c r="C2996" s="102" t="s">
        <v>158</v>
      </c>
      <c r="D2996" s="104">
        <v>1.39907678873803</v>
      </c>
      <c r="E2996" s="104">
        <v>1.64175322662214</v>
      </c>
      <c r="F2996" s="104">
        <v>1.2800848791241599</v>
      </c>
    </row>
    <row r="2997" spans="1:6" hidden="1" x14ac:dyDescent="0.2">
      <c r="A2997" s="95" t="s">
        <v>185</v>
      </c>
      <c r="B2997" s="95" t="s">
        <v>15</v>
      </c>
      <c r="C2997" s="95" t="s">
        <v>153</v>
      </c>
      <c r="D2997" s="96">
        <v>89591</v>
      </c>
      <c r="E2997" s="96">
        <v>42774</v>
      </c>
      <c r="F2997" s="96">
        <v>46817</v>
      </c>
    </row>
    <row r="2998" spans="1:6" hidden="1" x14ac:dyDescent="0.2">
      <c r="A2998" s="97" t="s">
        <v>185</v>
      </c>
      <c r="B2998" s="97" t="s">
        <v>15</v>
      </c>
      <c r="C2998" s="97" t="s">
        <v>154</v>
      </c>
      <c r="D2998" s="98">
        <v>3697.55074493248</v>
      </c>
      <c r="E2998" s="98">
        <v>1924.2087727374401</v>
      </c>
      <c r="F2998" s="98">
        <v>1965.6321176321501</v>
      </c>
    </row>
    <row r="2999" spans="1:6" hidden="1" x14ac:dyDescent="0.2">
      <c r="A2999" s="97" t="s">
        <v>185</v>
      </c>
      <c r="B2999" s="97" t="s">
        <v>15</v>
      </c>
      <c r="C2999" s="97" t="s">
        <v>155</v>
      </c>
      <c r="D2999" s="98">
        <v>83505.9402460157</v>
      </c>
      <c r="E2999" s="98">
        <v>39607.329366122904</v>
      </c>
      <c r="F2999" s="98">
        <v>43582.158961906003</v>
      </c>
    </row>
    <row r="3000" spans="1:6" hidden="1" x14ac:dyDescent="0.2">
      <c r="A3000" s="97" t="s">
        <v>185</v>
      </c>
      <c r="B3000" s="97" t="s">
        <v>15</v>
      </c>
      <c r="C3000" s="97" t="s">
        <v>156</v>
      </c>
      <c r="D3000" s="98">
        <v>95676.059753984198</v>
      </c>
      <c r="E3000" s="98">
        <v>45940.670633877002</v>
      </c>
      <c r="F3000" s="98">
        <v>50051.841038093902</v>
      </c>
    </row>
    <row r="3001" spans="1:6" hidden="1" x14ac:dyDescent="0.2">
      <c r="A3001" s="97" t="s">
        <v>185</v>
      </c>
      <c r="B3001" s="97" t="s">
        <v>15</v>
      </c>
      <c r="C3001" s="97" t="s">
        <v>157</v>
      </c>
      <c r="D3001" s="99">
        <v>4.1271452991176396</v>
      </c>
      <c r="E3001" s="99">
        <v>4.4985476521659002</v>
      </c>
      <c r="F3001" s="99">
        <v>4.1985435154583897</v>
      </c>
    </row>
    <row r="3002" spans="1:6" hidden="1" x14ac:dyDescent="0.2">
      <c r="A3002" s="97" t="s">
        <v>185</v>
      </c>
      <c r="B3002" s="97" t="s">
        <v>15</v>
      </c>
      <c r="C3002" s="97" t="s">
        <v>158</v>
      </c>
      <c r="D3002" s="99">
        <v>1.0857212361061901</v>
      </c>
      <c r="E3002" s="99">
        <v>1.1268546602701299</v>
      </c>
      <c r="F3002" s="99">
        <v>1.1461156165305</v>
      </c>
    </row>
    <row r="3003" spans="1:6" hidden="1" x14ac:dyDescent="0.2">
      <c r="A3003" s="100" t="s">
        <v>185</v>
      </c>
      <c r="B3003" s="100" t="s">
        <v>16</v>
      </c>
      <c r="C3003" s="100" t="s">
        <v>153</v>
      </c>
      <c r="D3003" s="101">
        <v>70806</v>
      </c>
      <c r="E3003" s="101">
        <v>34282</v>
      </c>
      <c r="F3003" s="101">
        <v>36524</v>
      </c>
    </row>
    <row r="3004" spans="1:6" hidden="1" x14ac:dyDescent="0.2">
      <c r="A3004" s="102" t="s">
        <v>185</v>
      </c>
      <c r="B3004" s="102" t="s">
        <v>16</v>
      </c>
      <c r="C3004" s="102" t="s">
        <v>154</v>
      </c>
      <c r="D3004" s="103">
        <v>3260.2087589928201</v>
      </c>
      <c r="E3004" s="103">
        <v>1491.6932788688</v>
      </c>
      <c r="F3004" s="103">
        <v>2069.24660517041</v>
      </c>
    </row>
    <row r="3005" spans="1:6" hidden="1" x14ac:dyDescent="0.2">
      <c r="A3005" s="102" t="s">
        <v>185</v>
      </c>
      <c r="B3005" s="102" t="s">
        <v>16</v>
      </c>
      <c r="C3005" s="102" t="s">
        <v>155</v>
      </c>
      <c r="D3005" s="103">
        <v>65440.674010593902</v>
      </c>
      <c r="E3005" s="103">
        <v>31827.1201720561</v>
      </c>
      <c r="F3005" s="103">
        <v>33118.640585947898</v>
      </c>
    </row>
    <row r="3006" spans="1:6" hidden="1" x14ac:dyDescent="0.2">
      <c r="A3006" s="102" t="s">
        <v>185</v>
      </c>
      <c r="B3006" s="102" t="s">
        <v>16</v>
      </c>
      <c r="C3006" s="102" t="s">
        <v>156</v>
      </c>
      <c r="D3006" s="103">
        <v>76171.325989406105</v>
      </c>
      <c r="E3006" s="103">
        <v>36736.879827943798</v>
      </c>
      <c r="F3006" s="103">
        <v>39929.359414052</v>
      </c>
    </row>
    <row r="3007" spans="1:6" hidden="1" x14ac:dyDescent="0.2">
      <c r="A3007" s="102" t="s">
        <v>185</v>
      </c>
      <c r="B3007" s="102" t="s">
        <v>16</v>
      </c>
      <c r="C3007" s="102" t="s">
        <v>157</v>
      </c>
      <c r="D3007" s="104">
        <v>4.6044244258859699</v>
      </c>
      <c r="E3007" s="104">
        <v>4.3512434480742197</v>
      </c>
      <c r="F3007" s="104">
        <v>5.6654435581272997</v>
      </c>
    </row>
    <row r="3008" spans="1:6" hidden="1" x14ac:dyDescent="0.2">
      <c r="A3008" s="102" t="s">
        <v>185</v>
      </c>
      <c r="B3008" s="102" t="s">
        <v>16</v>
      </c>
      <c r="C3008" s="102" t="s">
        <v>158</v>
      </c>
      <c r="D3008" s="104">
        <v>1.4021146578054799</v>
      </c>
      <c r="E3008" s="104">
        <v>1.15340787492375</v>
      </c>
      <c r="F3008" s="104">
        <v>1.9211654082079701</v>
      </c>
    </row>
    <row r="3009" spans="1:6" hidden="1" x14ac:dyDescent="0.2">
      <c r="A3009" s="95" t="s">
        <v>185</v>
      </c>
      <c r="B3009" s="95" t="s">
        <v>17</v>
      </c>
      <c r="C3009" s="95" t="s">
        <v>153</v>
      </c>
      <c r="D3009" s="96">
        <v>52479</v>
      </c>
      <c r="E3009" s="96">
        <v>25420</v>
      </c>
      <c r="F3009" s="96">
        <v>27059</v>
      </c>
    </row>
    <row r="3010" spans="1:6" hidden="1" x14ac:dyDescent="0.2">
      <c r="A3010" s="97" t="s">
        <v>185</v>
      </c>
      <c r="B3010" s="97" t="s">
        <v>17</v>
      </c>
      <c r="C3010" s="97" t="s">
        <v>154</v>
      </c>
      <c r="D3010" s="98">
        <v>2426.5625586904898</v>
      </c>
      <c r="E3010" s="98">
        <v>1294.6678528130401</v>
      </c>
      <c r="F3010" s="98">
        <v>1346.8460632424801</v>
      </c>
    </row>
    <row r="3011" spans="1:6" hidden="1" x14ac:dyDescent="0.2">
      <c r="A3011" s="97" t="s">
        <v>185</v>
      </c>
      <c r="B3011" s="97" t="s">
        <v>17</v>
      </c>
      <c r="C3011" s="97" t="s">
        <v>155</v>
      </c>
      <c r="D3011" s="98">
        <v>48485.605673593702</v>
      </c>
      <c r="E3011" s="98">
        <v>23289.364941988399</v>
      </c>
      <c r="F3011" s="98">
        <v>24842.495254126999</v>
      </c>
    </row>
    <row r="3012" spans="1:6" hidden="1" x14ac:dyDescent="0.2">
      <c r="A3012" s="97" t="s">
        <v>185</v>
      </c>
      <c r="B3012" s="97" t="s">
        <v>17</v>
      </c>
      <c r="C3012" s="97" t="s">
        <v>156</v>
      </c>
      <c r="D3012" s="98">
        <v>56472.394326406204</v>
      </c>
      <c r="E3012" s="98">
        <v>27550.635058011499</v>
      </c>
      <c r="F3012" s="98">
        <v>29275.504745872899</v>
      </c>
    </row>
    <row r="3013" spans="1:6" hidden="1" x14ac:dyDescent="0.2">
      <c r="A3013" s="97" t="s">
        <v>185</v>
      </c>
      <c r="B3013" s="97" t="s">
        <v>17</v>
      </c>
      <c r="C3013" s="97" t="s">
        <v>157</v>
      </c>
      <c r="D3013" s="99">
        <v>4.6238734707035096</v>
      </c>
      <c r="E3013" s="99">
        <v>5.0931072101221098</v>
      </c>
      <c r="F3013" s="99">
        <v>4.9774421199692602</v>
      </c>
    </row>
    <row r="3014" spans="1:6" hidden="1" x14ac:dyDescent="0.2">
      <c r="A3014" s="97" t="s">
        <v>185</v>
      </c>
      <c r="B3014" s="97" t="s">
        <v>17</v>
      </c>
      <c r="C3014" s="97" t="s">
        <v>158</v>
      </c>
      <c r="D3014" s="99">
        <v>1.3031036749082201</v>
      </c>
      <c r="E3014" s="99">
        <v>1.4644203049617599</v>
      </c>
      <c r="F3014" s="99">
        <v>1.3634924427191999</v>
      </c>
    </row>
    <row r="3015" spans="1:6" hidden="1" x14ac:dyDescent="0.2">
      <c r="A3015" s="100" t="s">
        <v>185</v>
      </c>
      <c r="B3015" s="100" t="s">
        <v>18</v>
      </c>
      <c r="C3015" s="100" t="s">
        <v>153</v>
      </c>
      <c r="D3015" s="101">
        <v>36216</v>
      </c>
      <c r="E3015" s="101">
        <v>17467</v>
      </c>
      <c r="F3015" s="101">
        <v>18749</v>
      </c>
    </row>
    <row r="3016" spans="1:6" hidden="1" x14ac:dyDescent="0.2">
      <c r="A3016" s="102" t="s">
        <v>185</v>
      </c>
      <c r="B3016" s="102" t="s">
        <v>18</v>
      </c>
      <c r="C3016" s="102" t="s">
        <v>154</v>
      </c>
      <c r="D3016" s="103">
        <v>1671.7352173244301</v>
      </c>
      <c r="E3016" s="103">
        <v>953.75910360997</v>
      </c>
      <c r="F3016" s="103">
        <v>874.69266647289101</v>
      </c>
    </row>
    <row r="3017" spans="1:6" hidden="1" x14ac:dyDescent="0.2">
      <c r="A3017" s="102" t="s">
        <v>185</v>
      </c>
      <c r="B3017" s="102" t="s">
        <v>18</v>
      </c>
      <c r="C3017" s="102" t="s">
        <v>155</v>
      </c>
      <c r="D3017" s="103">
        <v>33464.825129932098</v>
      </c>
      <c r="E3017" s="103">
        <v>15897.3985160103</v>
      </c>
      <c r="F3017" s="103">
        <v>17309.5181621499</v>
      </c>
    </row>
    <row r="3018" spans="1:6" hidden="1" x14ac:dyDescent="0.2">
      <c r="A3018" s="102" t="s">
        <v>185</v>
      </c>
      <c r="B3018" s="102" t="s">
        <v>18</v>
      </c>
      <c r="C3018" s="102" t="s">
        <v>156</v>
      </c>
      <c r="D3018" s="103">
        <v>38967.1748700678</v>
      </c>
      <c r="E3018" s="103">
        <v>19036.601483989602</v>
      </c>
      <c r="F3018" s="103">
        <v>20188.481837849999</v>
      </c>
    </row>
    <row r="3019" spans="1:6" hidden="1" x14ac:dyDescent="0.2">
      <c r="A3019" s="102" t="s">
        <v>185</v>
      </c>
      <c r="B3019" s="102" t="s">
        <v>18</v>
      </c>
      <c r="C3019" s="102" t="s">
        <v>157</v>
      </c>
      <c r="D3019" s="104">
        <v>4.6160128598531802</v>
      </c>
      <c r="E3019" s="104">
        <v>5.4603486781357402</v>
      </c>
      <c r="F3019" s="104">
        <v>4.6652763692617798</v>
      </c>
    </row>
    <row r="3020" spans="1:6" hidden="1" x14ac:dyDescent="0.2">
      <c r="A3020" s="102" t="s">
        <v>185</v>
      </c>
      <c r="B3020" s="102" t="s">
        <v>18</v>
      </c>
      <c r="C3020" s="102" t="s">
        <v>158</v>
      </c>
      <c r="D3020" s="104">
        <v>1.1868643886271499</v>
      </c>
      <c r="E3020" s="104">
        <v>1.39434662055095</v>
      </c>
      <c r="F3020" s="104">
        <v>1.1429185700501201</v>
      </c>
    </row>
    <row r="3021" spans="1:6" hidden="1" x14ac:dyDescent="0.2">
      <c r="A3021" s="95" t="s">
        <v>185</v>
      </c>
      <c r="B3021" s="95" t="s">
        <v>19</v>
      </c>
      <c r="C3021" s="95" t="s">
        <v>153</v>
      </c>
      <c r="D3021" s="96">
        <v>56795</v>
      </c>
      <c r="E3021" s="96">
        <v>27871</v>
      </c>
      <c r="F3021" s="96">
        <v>28924</v>
      </c>
    </row>
    <row r="3022" spans="1:6" hidden="1" x14ac:dyDescent="0.2">
      <c r="A3022" s="97" t="s">
        <v>185</v>
      </c>
      <c r="B3022" s="97" t="s">
        <v>19</v>
      </c>
      <c r="C3022" s="97" t="s">
        <v>154</v>
      </c>
      <c r="D3022" s="98">
        <v>2662.4308553751698</v>
      </c>
      <c r="E3022" s="98">
        <v>1470.15215177753</v>
      </c>
      <c r="F3022" s="98">
        <v>1361.5529469881201</v>
      </c>
    </row>
    <row r="3023" spans="1:6" hidden="1" x14ac:dyDescent="0.2">
      <c r="A3023" s="97" t="s">
        <v>185</v>
      </c>
      <c r="B3023" s="97" t="s">
        <v>19</v>
      </c>
      <c r="C3023" s="97" t="s">
        <v>155</v>
      </c>
      <c r="D3023" s="98">
        <v>52413.437186287898</v>
      </c>
      <c r="E3023" s="98">
        <v>25451.570407782601</v>
      </c>
      <c r="F3023" s="98">
        <v>26683.292133585699</v>
      </c>
    </row>
    <row r="3024" spans="1:6" hidden="1" x14ac:dyDescent="0.2">
      <c r="A3024" s="97" t="s">
        <v>185</v>
      </c>
      <c r="B3024" s="97" t="s">
        <v>19</v>
      </c>
      <c r="C3024" s="97" t="s">
        <v>156</v>
      </c>
      <c r="D3024" s="98">
        <v>61176.562813712</v>
      </c>
      <c r="E3024" s="98">
        <v>30290.429592217301</v>
      </c>
      <c r="F3024" s="98">
        <v>31164.707866414199</v>
      </c>
    </row>
    <row r="3025" spans="1:6" hidden="1" x14ac:dyDescent="0.2">
      <c r="A3025" s="97" t="s">
        <v>185</v>
      </c>
      <c r="B3025" s="97" t="s">
        <v>19</v>
      </c>
      <c r="C3025" s="97" t="s">
        <v>157</v>
      </c>
      <c r="D3025" s="99">
        <v>4.6877909241573601</v>
      </c>
      <c r="E3025" s="99">
        <v>5.2748453653529896</v>
      </c>
      <c r="F3025" s="99">
        <v>4.7073466567145701</v>
      </c>
    </row>
    <row r="3026" spans="1:6" hidden="1" x14ac:dyDescent="0.2">
      <c r="A3026" s="97" t="s">
        <v>185</v>
      </c>
      <c r="B3026" s="97" t="s">
        <v>19</v>
      </c>
      <c r="C3026" s="97" t="s">
        <v>158</v>
      </c>
      <c r="D3026" s="99">
        <v>1.1825697216450799</v>
      </c>
      <c r="E3026" s="99">
        <v>1.30927577944592</v>
      </c>
      <c r="F3026" s="99">
        <v>1.16149711029842</v>
      </c>
    </row>
    <row r="3027" spans="1:6" hidden="1" x14ac:dyDescent="0.2">
      <c r="A3027" s="100" t="s">
        <v>185</v>
      </c>
      <c r="B3027" s="100" t="s">
        <v>20</v>
      </c>
      <c r="C3027" s="100" t="s">
        <v>153</v>
      </c>
      <c r="D3027" s="101">
        <v>1711</v>
      </c>
      <c r="E3027" s="101">
        <v>988</v>
      </c>
      <c r="F3027" s="101">
        <v>723</v>
      </c>
    </row>
    <row r="3028" spans="1:6" hidden="1" x14ac:dyDescent="0.2">
      <c r="A3028" s="102" t="s">
        <v>185</v>
      </c>
      <c r="B3028" s="102" t="s">
        <v>20</v>
      </c>
      <c r="C3028" s="102" t="s">
        <v>154</v>
      </c>
      <c r="D3028" s="103">
        <v>306.14254114056502</v>
      </c>
      <c r="E3028" s="103">
        <v>227.68454522732</v>
      </c>
      <c r="F3028" s="103">
        <v>159.936256657158</v>
      </c>
    </row>
    <row r="3029" spans="1:6" hidden="1" x14ac:dyDescent="0.2">
      <c r="A3029" s="102" t="s">
        <v>185</v>
      </c>
      <c r="B3029" s="102" t="s">
        <v>20</v>
      </c>
      <c r="C3029" s="102" t="s">
        <v>155</v>
      </c>
      <c r="D3029" s="103">
        <v>1207.1811792224701</v>
      </c>
      <c r="E3029" s="103">
        <v>613.29951355886601</v>
      </c>
      <c r="F3029" s="103">
        <v>459.792881092659</v>
      </c>
    </row>
    <row r="3030" spans="1:6" hidden="1" x14ac:dyDescent="0.2">
      <c r="A3030" s="102" t="s">
        <v>185</v>
      </c>
      <c r="B3030" s="102" t="s">
        <v>20</v>
      </c>
      <c r="C3030" s="102" t="s">
        <v>156</v>
      </c>
      <c r="D3030" s="103">
        <v>2214.8188207775202</v>
      </c>
      <c r="E3030" s="103">
        <v>1362.7004864411299</v>
      </c>
      <c r="F3030" s="103">
        <v>986.20711890734106</v>
      </c>
    </row>
    <row r="3031" spans="1:6" hidden="1" x14ac:dyDescent="0.2">
      <c r="A3031" s="102" t="s">
        <v>185</v>
      </c>
      <c r="B3031" s="102" t="s">
        <v>20</v>
      </c>
      <c r="C3031" s="102" t="s">
        <v>157</v>
      </c>
      <c r="D3031" s="104">
        <v>17.8926090672452</v>
      </c>
      <c r="E3031" s="104">
        <v>23.044994456206499</v>
      </c>
      <c r="F3031" s="104">
        <v>22.1211973246415</v>
      </c>
    </row>
    <row r="3032" spans="1:6" hidden="1" x14ac:dyDescent="0.2">
      <c r="A3032" s="102" t="s">
        <v>185</v>
      </c>
      <c r="B3032" s="102" t="s">
        <v>20</v>
      </c>
      <c r="C3032" s="102" t="s">
        <v>158</v>
      </c>
      <c r="D3032" s="104">
        <v>2.8062051841488</v>
      </c>
      <c r="E3032" s="104">
        <v>3.7343450007765302</v>
      </c>
      <c r="F3032" s="104">
        <v>2.3795757090087601</v>
      </c>
    </row>
    <row r="3033" spans="1:6" hidden="1" x14ac:dyDescent="0.2">
      <c r="A3033" s="95" t="s">
        <v>186</v>
      </c>
      <c r="B3033" s="95" t="s">
        <v>152</v>
      </c>
      <c r="C3033" s="95" t="s">
        <v>153</v>
      </c>
      <c r="D3033" s="96">
        <v>3441698</v>
      </c>
      <c r="E3033" s="96">
        <v>1692186</v>
      </c>
      <c r="F3033" s="96">
        <v>1749512</v>
      </c>
    </row>
    <row r="3034" spans="1:6" hidden="1" x14ac:dyDescent="0.2">
      <c r="A3034" s="97" t="s">
        <v>186</v>
      </c>
      <c r="B3034" s="97" t="s">
        <v>152</v>
      </c>
      <c r="C3034" s="97" t="s">
        <v>154</v>
      </c>
      <c r="D3034" s="98">
        <v>62992.167702705097</v>
      </c>
      <c r="E3034" s="98">
        <v>30952.726740074799</v>
      </c>
      <c r="F3034" s="98">
        <v>32438.458211261001</v>
      </c>
    </row>
    <row r="3035" spans="1:6" hidden="1" x14ac:dyDescent="0.2">
      <c r="A3035" s="97" t="s">
        <v>186</v>
      </c>
      <c r="B3035" s="97" t="s">
        <v>152</v>
      </c>
      <c r="C3035" s="97" t="s">
        <v>155</v>
      </c>
      <c r="D3035" s="98">
        <v>3338071.0490496201</v>
      </c>
      <c r="E3035" s="98">
        <v>1641266.3886792299</v>
      </c>
      <c r="F3035" s="98">
        <v>1696148.2463690799</v>
      </c>
    </row>
    <row r="3036" spans="1:6" hidden="1" x14ac:dyDescent="0.2">
      <c r="A3036" s="97" t="s">
        <v>186</v>
      </c>
      <c r="B3036" s="97" t="s">
        <v>152</v>
      </c>
      <c r="C3036" s="97" t="s">
        <v>156</v>
      </c>
      <c r="D3036" s="98">
        <v>3545324.9509503702</v>
      </c>
      <c r="E3036" s="98">
        <v>1743105.6113207601</v>
      </c>
      <c r="F3036" s="98">
        <v>1802875.7536309101</v>
      </c>
    </row>
    <row r="3037" spans="1:6" hidden="1" x14ac:dyDescent="0.2">
      <c r="A3037" s="97" t="s">
        <v>186</v>
      </c>
      <c r="B3037" s="97" t="s">
        <v>152</v>
      </c>
      <c r="C3037" s="97" t="s">
        <v>157</v>
      </c>
      <c r="D3037" s="99">
        <v>1.83026423883516</v>
      </c>
      <c r="E3037" s="99">
        <v>1.8291562948798099</v>
      </c>
      <c r="F3037" s="99">
        <v>1.8541432245826801</v>
      </c>
    </row>
    <row r="3038" spans="1:6" hidden="1" x14ac:dyDescent="0.2">
      <c r="A3038" s="97" t="s">
        <v>186</v>
      </c>
      <c r="B3038" s="97" t="s">
        <v>152</v>
      </c>
      <c r="C3038" s="97" t="s">
        <v>158</v>
      </c>
      <c r="D3038" s="99">
        <v>3.33215178632258</v>
      </c>
      <c r="E3038" s="99">
        <v>1.9783038756114499</v>
      </c>
      <c r="F3038" s="99">
        <v>1.9717764549836001</v>
      </c>
    </row>
    <row r="3039" spans="1:6" hidden="1" x14ac:dyDescent="0.2">
      <c r="A3039" s="100" t="s">
        <v>186</v>
      </c>
      <c r="B3039" s="100" t="s">
        <v>4</v>
      </c>
      <c r="C3039" s="100" t="s">
        <v>153</v>
      </c>
      <c r="D3039" s="101">
        <v>301579</v>
      </c>
      <c r="E3039" s="101">
        <v>153304</v>
      </c>
      <c r="F3039" s="101">
        <v>148275</v>
      </c>
    </row>
    <row r="3040" spans="1:6" hidden="1" x14ac:dyDescent="0.2">
      <c r="A3040" s="102" t="s">
        <v>186</v>
      </c>
      <c r="B3040" s="102" t="s">
        <v>4</v>
      </c>
      <c r="C3040" s="102" t="s">
        <v>154</v>
      </c>
      <c r="D3040" s="103">
        <v>7479.0361706897302</v>
      </c>
      <c r="E3040" s="103">
        <v>4015.04777060368</v>
      </c>
      <c r="F3040" s="103">
        <v>3904.7914976022398</v>
      </c>
    </row>
    <row r="3041" spans="1:6" hidden="1" x14ac:dyDescent="0.2">
      <c r="A3041" s="102" t="s">
        <v>186</v>
      </c>
      <c r="B3041" s="102" t="s">
        <v>4</v>
      </c>
      <c r="C3041" s="102" t="s">
        <v>155</v>
      </c>
      <c r="D3041" s="103">
        <v>289275.41143206903</v>
      </c>
      <c r="E3041" s="103">
        <v>146698.93823499701</v>
      </c>
      <c r="F3041" s="103">
        <v>141851.31826700701</v>
      </c>
    </row>
    <row r="3042" spans="1:6" hidden="1" x14ac:dyDescent="0.2">
      <c r="A3042" s="102" t="s">
        <v>186</v>
      </c>
      <c r="B3042" s="102" t="s">
        <v>4</v>
      </c>
      <c r="C3042" s="102" t="s">
        <v>156</v>
      </c>
      <c r="D3042" s="103">
        <v>313882.58856792998</v>
      </c>
      <c r="E3042" s="103">
        <v>159909.061765002</v>
      </c>
      <c r="F3042" s="103">
        <v>154698.681732992</v>
      </c>
    </row>
    <row r="3043" spans="1:6" hidden="1" x14ac:dyDescent="0.2">
      <c r="A3043" s="102" t="s">
        <v>186</v>
      </c>
      <c r="B3043" s="102" t="s">
        <v>4</v>
      </c>
      <c r="C3043" s="102" t="s">
        <v>157</v>
      </c>
      <c r="D3043" s="104">
        <v>2.47995920494786</v>
      </c>
      <c r="E3043" s="104">
        <v>2.61901044369597</v>
      </c>
      <c r="F3043" s="104">
        <v>2.6334793441930402</v>
      </c>
    </row>
    <row r="3044" spans="1:6" hidden="1" x14ac:dyDescent="0.2">
      <c r="A3044" s="102" t="s">
        <v>186</v>
      </c>
      <c r="B3044" s="102" t="s">
        <v>4</v>
      </c>
      <c r="C3044" s="102" t="s">
        <v>158</v>
      </c>
      <c r="D3044" s="104">
        <v>1.7653871029258199</v>
      </c>
      <c r="E3044" s="104">
        <v>1.8282757533040399</v>
      </c>
      <c r="F3044" s="104">
        <v>1.7446629855043201</v>
      </c>
    </row>
    <row r="3045" spans="1:6" hidden="1" x14ac:dyDescent="0.2">
      <c r="A3045" s="95" t="s">
        <v>186</v>
      </c>
      <c r="B3045" s="95" t="s">
        <v>5</v>
      </c>
      <c r="C3045" s="95" t="s">
        <v>153</v>
      </c>
      <c r="D3045" s="96">
        <v>321016</v>
      </c>
      <c r="E3045" s="96">
        <v>163260</v>
      </c>
      <c r="F3045" s="96">
        <v>157756</v>
      </c>
    </row>
    <row r="3046" spans="1:6" hidden="1" x14ac:dyDescent="0.2">
      <c r="A3046" s="97" t="s">
        <v>186</v>
      </c>
      <c r="B3046" s="97" t="s">
        <v>5</v>
      </c>
      <c r="C3046" s="97" t="s">
        <v>154</v>
      </c>
      <c r="D3046" s="98">
        <v>7775.7252664627704</v>
      </c>
      <c r="E3046" s="98">
        <v>4070.8703468876001</v>
      </c>
      <c r="F3046" s="98">
        <v>4105.9558344392999</v>
      </c>
    </row>
    <row r="3047" spans="1:6" hidden="1" x14ac:dyDescent="0.2">
      <c r="A3047" s="97" t="s">
        <v>186</v>
      </c>
      <c r="B3047" s="97" t="s">
        <v>5</v>
      </c>
      <c r="C3047" s="97" t="s">
        <v>155</v>
      </c>
      <c r="D3047" s="98">
        <v>308224.33509660698</v>
      </c>
      <c r="E3047" s="98">
        <v>156563.10581224601</v>
      </c>
      <c r="F3047" s="98">
        <v>151001.38749217201</v>
      </c>
    </row>
    <row r="3048" spans="1:6" hidden="1" x14ac:dyDescent="0.2">
      <c r="A3048" s="97" t="s">
        <v>186</v>
      </c>
      <c r="B3048" s="97" t="s">
        <v>5</v>
      </c>
      <c r="C3048" s="97" t="s">
        <v>156</v>
      </c>
      <c r="D3048" s="98">
        <v>333807.66490339302</v>
      </c>
      <c r="E3048" s="98">
        <v>169956.894187753</v>
      </c>
      <c r="F3048" s="98">
        <v>164510.612507827</v>
      </c>
    </row>
    <row r="3049" spans="1:6" hidden="1" x14ac:dyDescent="0.2">
      <c r="A3049" s="97" t="s">
        <v>186</v>
      </c>
      <c r="B3049" s="97" t="s">
        <v>5</v>
      </c>
      <c r="C3049" s="97" t="s">
        <v>157</v>
      </c>
      <c r="D3049" s="99">
        <v>2.4222235858844301</v>
      </c>
      <c r="E3049" s="99">
        <v>2.4934891258652399</v>
      </c>
      <c r="F3049" s="99">
        <v>2.6027256233926401</v>
      </c>
    </row>
    <row r="3050" spans="1:6" hidden="1" x14ac:dyDescent="0.2">
      <c r="A3050" s="97" t="s">
        <v>186</v>
      </c>
      <c r="B3050" s="97" t="s">
        <v>5</v>
      </c>
      <c r="C3050" s="97" t="s">
        <v>158</v>
      </c>
      <c r="D3050" s="99">
        <v>1.7334008872536499</v>
      </c>
      <c r="E3050" s="99">
        <v>1.69282462549545</v>
      </c>
      <c r="F3050" s="99">
        <v>1.7817035307432501</v>
      </c>
    </row>
    <row r="3051" spans="1:6" hidden="1" x14ac:dyDescent="0.2">
      <c r="A3051" s="100" t="s">
        <v>186</v>
      </c>
      <c r="B3051" s="100" t="s">
        <v>6</v>
      </c>
      <c r="C3051" s="100" t="s">
        <v>153</v>
      </c>
      <c r="D3051" s="101">
        <v>314742</v>
      </c>
      <c r="E3051" s="101">
        <v>160292</v>
      </c>
      <c r="F3051" s="101">
        <v>154450</v>
      </c>
    </row>
    <row r="3052" spans="1:6" hidden="1" x14ac:dyDescent="0.2">
      <c r="A3052" s="102" t="s">
        <v>186</v>
      </c>
      <c r="B3052" s="102" t="s">
        <v>6</v>
      </c>
      <c r="C3052" s="102" t="s">
        <v>154</v>
      </c>
      <c r="D3052" s="103">
        <v>6912.7201107736801</v>
      </c>
      <c r="E3052" s="103">
        <v>3756.55370239377</v>
      </c>
      <c r="F3052" s="103">
        <v>3625.4215689013199</v>
      </c>
    </row>
    <row r="3053" spans="1:6" hidden="1" x14ac:dyDescent="0.2">
      <c r="A3053" s="102" t="s">
        <v>186</v>
      </c>
      <c r="B3053" s="102" t="s">
        <v>6</v>
      </c>
      <c r="C3053" s="102" t="s">
        <v>155</v>
      </c>
      <c r="D3053" s="103">
        <v>303370.04481926002</v>
      </c>
      <c r="E3053" s="103">
        <v>154112.180818389</v>
      </c>
      <c r="F3053" s="103">
        <v>148485.90324327099</v>
      </c>
    </row>
    <row r="3054" spans="1:6" hidden="1" x14ac:dyDescent="0.2">
      <c r="A3054" s="102" t="s">
        <v>186</v>
      </c>
      <c r="B3054" s="102" t="s">
        <v>6</v>
      </c>
      <c r="C3054" s="102" t="s">
        <v>156</v>
      </c>
      <c r="D3054" s="103">
        <v>326113.95518073998</v>
      </c>
      <c r="E3054" s="103">
        <v>166471.81918160999</v>
      </c>
      <c r="F3054" s="103">
        <v>160414.09675672799</v>
      </c>
    </row>
    <row r="3055" spans="1:6" hidden="1" x14ac:dyDescent="0.2">
      <c r="A3055" s="102" t="s">
        <v>186</v>
      </c>
      <c r="B3055" s="102" t="s">
        <v>6</v>
      </c>
      <c r="C3055" s="102" t="s">
        <v>157</v>
      </c>
      <c r="D3055" s="104">
        <v>2.1963132059825701</v>
      </c>
      <c r="E3055" s="104">
        <v>2.3435690504789801</v>
      </c>
      <c r="F3055" s="104">
        <v>2.3473108247985199</v>
      </c>
    </row>
    <row r="3056" spans="1:6" hidden="1" x14ac:dyDescent="0.2">
      <c r="A3056" s="102" t="s">
        <v>186</v>
      </c>
      <c r="B3056" s="102" t="s">
        <v>6</v>
      </c>
      <c r="C3056" s="102" t="s">
        <v>158</v>
      </c>
      <c r="D3056" s="104">
        <v>1.6864258984826901</v>
      </c>
      <c r="E3056" s="104">
        <v>1.7035733688929</v>
      </c>
      <c r="F3056" s="104">
        <v>1.72881134759057</v>
      </c>
    </row>
    <row r="3057" spans="1:6" hidden="1" x14ac:dyDescent="0.2">
      <c r="A3057" s="95" t="s">
        <v>186</v>
      </c>
      <c r="B3057" s="95" t="s">
        <v>7</v>
      </c>
      <c r="C3057" s="95" t="s">
        <v>153</v>
      </c>
      <c r="D3057" s="96">
        <v>298121</v>
      </c>
      <c r="E3057" s="96">
        <v>152327</v>
      </c>
      <c r="F3057" s="96">
        <v>145794</v>
      </c>
    </row>
    <row r="3058" spans="1:6" hidden="1" x14ac:dyDescent="0.2">
      <c r="A3058" s="97" t="s">
        <v>186</v>
      </c>
      <c r="B3058" s="97" t="s">
        <v>7</v>
      </c>
      <c r="C3058" s="97" t="s">
        <v>154</v>
      </c>
      <c r="D3058" s="98">
        <v>6141.7262367716803</v>
      </c>
      <c r="E3058" s="98">
        <v>3323.1189483162598</v>
      </c>
      <c r="F3058" s="98">
        <v>3316.7631779634198</v>
      </c>
    </row>
    <row r="3059" spans="1:6" hidden="1" x14ac:dyDescent="0.2">
      <c r="A3059" s="97" t="s">
        <v>186</v>
      </c>
      <c r="B3059" s="97" t="s">
        <v>7</v>
      </c>
      <c r="C3059" s="97" t="s">
        <v>155</v>
      </c>
      <c r="D3059" s="98">
        <v>288017.38892104197</v>
      </c>
      <c r="E3059" s="98">
        <v>146860.21425792601</v>
      </c>
      <c r="F3059" s="98">
        <v>140337.669988006</v>
      </c>
    </row>
    <row r="3060" spans="1:6" hidden="1" x14ac:dyDescent="0.2">
      <c r="A3060" s="97" t="s">
        <v>186</v>
      </c>
      <c r="B3060" s="97" t="s">
        <v>7</v>
      </c>
      <c r="C3060" s="97" t="s">
        <v>156</v>
      </c>
      <c r="D3060" s="98">
        <v>308224.61107895698</v>
      </c>
      <c r="E3060" s="98">
        <v>157793.785742073</v>
      </c>
      <c r="F3060" s="98">
        <v>151250.330011994</v>
      </c>
    </row>
    <row r="3061" spans="1:6" hidden="1" x14ac:dyDescent="0.2">
      <c r="A3061" s="97" t="s">
        <v>186</v>
      </c>
      <c r="B3061" s="97" t="s">
        <v>7</v>
      </c>
      <c r="C3061" s="97" t="s">
        <v>157</v>
      </c>
      <c r="D3061" s="99">
        <v>2.0601454566339399</v>
      </c>
      <c r="E3061" s="99">
        <v>2.1815692216851001</v>
      </c>
      <c r="F3061" s="99">
        <v>2.2749654841512101</v>
      </c>
    </row>
    <row r="3062" spans="1:6" hidden="1" x14ac:dyDescent="0.2">
      <c r="A3062" s="97" t="s">
        <v>186</v>
      </c>
      <c r="B3062" s="97" t="s">
        <v>7</v>
      </c>
      <c r="C3062" s="97" t="s">
        <v>158</v>
      </c>
      <c r="D3062" s="99">
        <v>1.60452556159121</v>
      </c>
      <c r="E3062" s="99">
        <v>1.6287883258696001</v>
      </c>
      <c r="F3062" s="99">
        <v>1.6698635127838899</v>
      </c>
    </row>
    <row r="3063" spans="1:6" hidden="1" x14ac:dyDescent="0.2">
      <c r="A3063" s="100" t="s">
        <v>186</v>
      </c>
      <c r="B3063" s="100" t="s">
        <v>8</v>
      </c>
      <c r="C3063" s="100" t="s">
        <v>153</v>
      </c>
      <c r="D3063" s="101">
        <v>285067</v>
      </c>
      <c r="E3063" s="101">
        <v>141736</v>
      </c>
      <c r="F3063" s="101">
        <v>143331</v>
      </c>
    </row>
    <row r="3064" spans="1:6" hidden="1" x14ac:dyDescent="0.2">
      <c r="A3064" s="102" t="s">
        <v>186</v>
      </c>
      <c r="B3064" s="102" t="s">
        <v>8</v>
      </c>
      <c r="C3064" s="102" t="s">
        <v>154</v>
      </c>
      <c r="D3064" s="103">
        <v>6438.9864820582598</v>
      </c>
      <c r="E3064" s="103">
        <v>3283.36416275581</v>
      </c>
      <c r="F3064" s="103">
        <v>3607.1168834303498</v>
      </c>
    </row>
    <row r="3065" spans="1:6" hidden="1" x14ac:dyDescent="0.2">
      <c r="A3065" s="102" t="s">
        <v>186</v>
      </c>
      <c r="B3065" s="102" t="s">
        <v>8</v>
      </c>
      <c r="C3065" s="102" t="s">
        <v>155</v>
      </c>
      <c r="D3065" s="103">
        <v>274474.37300079002</v>
      </c>
      <c r="E3065" s="103">
        <v>136334.613931625</v>
      </c>
      <c r="F3065" s="103">
        <v>137397.01585588101</v>
      </c>
    </row>
    <row r="3066" spans="1:6" hidden="1" x14ac:dyDescent="0.2">
      <c r="A3066" s="102" t="s">
        <v>186</v>
      </c>
      <c r="B3066" s="102" t="s">
        <v>8</v>
      </c>
      <c r="C3066" s="102" t="s">
        <v>156</v>
      </c>
      <c r="D3066" s="103">
        <v>295659.62699920899</v>
      </c>
      <c r="E3066" s="103">
        <v>147137.38606837401</v>
      </c>
      <c r="F3066" s="103">
        <v>149264.984144118</v>
      </c>
    </row>
    <row r="3067" spans="1:6" hidden="1" x14ac:dyDescent="0.2">
      <c r="A3067" s="102" t="s">
        <v>186</v>
      </c>
      <c r="B3067" s="102" t="s">
        <v>8</v>
      </c>
      <c r="C3067" s="102" t="s">
        <v>157</v>
      </c>
      <c r="D3067" s="104">
        <v>2.2587624951531602</v>
      </c>
      <c r="E3067" s="104">
        <v>2.3165350812466898</v>
      </c>
      <c r="F3067" s="104">
        <v>2.5166341429490799</v>
      </c>
    </row>
    <row r="3068" spans="1:6" hidden="1" x14ac:dyDescent="0.2">
      <c r="A3068" s="102" t="s">
        <v>186</v>
      </c>
      <c r="B3068" s="102" t="s">
        <v>8</v>
      </c>
      <c r="C3068" s="102" t="s">
        <v>158</v>
      </c>
      <c r="D3068" s="104">
        <v>1.72117537531898</v>
      </c>
      <c r="E3068" s="104">
        <v>1.7426290624180101</v>
      </c>
      <c r="F3068" s="104">
        <v>1.7644026709339899</v>
      </c>
    </row>
    <row r="3069" spans="1:6" hidden="1" x14ac:dyDescent="0.2">
      <c r="A3069" s="95" t="s">
        <v>186</v>
      </c>
      <c r="B3069" s="95" t="s">
        <v>9</v>
      </c>
      <c r="C3069" s="95" t="s">
        <v>153</v>
      </c>
      <c r="D3069" s="96">
        <v>257221</v>
      </c>
      <c r="E3069" s="96">
        <v>125148</v>
      </c>
      <c r="F3069" s="96">
        <v>132073</v>
      </c>
    </row>
    <row r="3070" spans="1:6" hidden="1" x14ac:dyDescent="0.2">
      <c r="A3070" s="97" t="s">
        <v>186</v>
      </c>
      <c r="B3070" s="97" t="s">
        <v>9</v>
      </c>
      <c r="C3070" s="97" t="s">
        <v>154</v>
      </c>
      <c r="D3070" s="98">
        <v>6999.0571433313298</v>
      </c>
      <c r="E3070" s="98">
        <v>3594.5606176165302</v>
      </c>
      <c r="F3070" s="98">
        <v>3691.1713073502701</v>
      </c>
    </row>
    <row r="3071" spans="1:6" hidden="1" x14ac:dyDescent="0.2">
      <c r="A3071" s="97" t="s">
        <v>186</v>
      </c>
      <c r="B3071" s="97" t="s">
        <v>9</v>
      </c>
      <c r="C3071" s="97" t="s">
        <v>155</v>
      </c>
      <c r="D3071" s="98">
        <v>245707.01377374501</v>
      </c>
      <c r="E3071" s="98">
        <v>119234.671876924</v>
      </c>
      <c r="F3071" s="98">
        <v>126000.73987678099</v>
      </c>
    </row>
    <row r="3072" spans="1:6" hidden="1" x14ac:dyDescent="0.2">
      <c r="A3072" s="97" t="s">
        <v>186</v>
      </c>
      <c r="B3072" s="97" t="s">
        <v>9</v>
      </c>
      <c r="C3072" s="97" t="s">
        <v>156</v>
      </c>
      <c r="D3072" s="98">
        <v>268734.98622625403</v>
      </c>
      <c r="E3072" s="98">
        <v>131061.328123075</v>
      </c>
      <c r="F3072" s="98">
        <v>138145.260123218</v>
      </c>
    </row>
    <row r="3073" spans="1:6" hidden="1" x14ac:dyDescent="0.2">
      <c r="A3073" s="97" t="s">
        <v>186</v>
      </c>
      <c r="B3073" s="97" t="s">
        <v>9</v>
      </c>
      <c r="C3073" s="97" t="s">
        <v>157</v>
      </c>
      <c r="D3073" s="99">
        <v>2.7210286653622102</v>
      </c>
      <c r="E3073" s="99">
        <v>2.8722477527539598</v>
      </c>
      <c r="F3073" s="99">
        <v>2.7947962924672498</v>
      </c>
    </row>
    <row r="3074" spans="1:6" hidden="1" x14ac:dyDescent="0.2">
      <c r="A3074" s="97" t="s">
        <v>186</v>
      </c>
      <c r="B3074" s="97" t="s">
        <v>9</v>
      </c>
      <c r="C3074" s="97" t="s">
        <v>158</v>
      </c>
      <c r="D3074" s="99">
        <v>1.86839107122444</v>
      </c>
      <c r="E3074" s="99">
        <v>1.88383509139689</v>
      </c>
      <c r="F3074" s="99">
        <v>1.8322434236388201</v>
      </c>
    </row>
    <row r="3075" spans="1:6" hidden="1" x14ac:dyDescent="0.2">
      <c r="A3075" s="100" t="s">
        <v>186</v>
      </c>
      <c r="B3075" s="100" t="s">
        <v>10</v>
      </c>
      <c r="C3075" s="100" t="s">
        <v>153</v>
      </c>
      <c r="D3075" s="101">
        <v>257165</v>
      </c>
      <c r="E3075" s="101">
        <v>123612</v>
      </c>
      <c r="F3075" s="101">
        <v>133553</v>
      </c>
    </row>
    <row r="3076" spans="1:6" hidden="1" x14ac:dyDescent="0.2">
      <c r="A3076" s="102" t="s">
        <v>186</v>
      </c>
      <c r="B3076" s="102" t="s">
        <v>10</v>
      </c>
      <c r="C3076" s="102" t="s">
        <v>154</v>
      </c>
      <c r="D3076" s="103">
        <v>6617.6258628271398</v>
      </c>
      <c r="E3076" s="103">
        <v>3501.29795393837</v>
      </c>
      <c r="F3076" s="103">
        <v>3457.7105380631701</v>
      </c>
    </row>
    <row r="3077" spans="1:6" hidden="1" x14ac:dyDescent="0.2">
      <c r="A3077" s="102" t="s">
        <v>186</v>
      </c>
      <c r="B3077" s="102" t="s">
        <v>10</v>
      </c>
      <c r="C3077" s="102" t="s">
        <v>155</v>
      </c>
      <c r="D3077" s="103">
        <v>246278.49750763201</v>
      </c>
      <c r="E3077" s="103">
        <v>117852.09611722099</v>
      </c>
      <c r="F3077" s="103">
        <v>127864.800761968</v>
      </c>
    </row>
    <row r="3078" spans="1:6" hidden="1" x14ac:dyDescent="0.2">
      <c r="A3078" s="102" t="s">
        <v>186</v>
      </c>
      <c r="B3078" s="102" t="s">
        <v>10</v>
      </c>
      <c r="C3078" s="102" t="s">
        <v>156</v>
      </c>
      <c r="D3078" s="103">
        <v>268051.502492367</v>
      </c>
      <c r="E3078" s="103">
        <v>129371.903882778</v>
      </c>
      <c r="F3078" s="103">
        <v>139241.199238031</v>
      </c>
    </row>
    <row r="3079" spans="1:6" hidden="1" x14ac:dyDescent="0.2">
      <c r="A3079" s="102" t="s">
        <v>186</v>
      </c>
      <c r="B3079" s="102" t="s">
        <v>10</v>
      </c>
      <c r="C3079" s="102" t="s">
        <v>157</v>
      </c>
      <c r="D3079" s="104">
        <v>2.5732995791912301</v>
      </c>
      <c r="E3079" s="104">
        <v>2.8324903358398599</v>
      </c>
      <c r="F3079" s="104">
        <v>2.5890174972207101</v>
      </c>
    </row>
    <row r="3080" spans="1:6" hidden="1" x14ac:dyDescent="0.2">
      <c r="A3080" s="102" t="s">
        <v>186</v>
      </c>
      <c r="B3080" s="102" t="s">
        <v>10</v>
      </c>
      <c r="C3080" s="102" t="s">
        <v>158</v>
      </c>
      <c r="D3080" s="104">
        <v>1.81663742782325</v>
      </c>
      <c r="E3080" s="104">
        <v>1.90751501370149</v>
      </c>
      <c r="F3080" s="104">
        <v>1.75458227427625</v>
      </c>
    </row>
    <row r="3081" spans="1:6" hidden="1" x14ac:dyDescent="0.2">
      <c r="A3081" s="95" t="s">
        <v>186</v>
      </c>
      <c r="B3081" s="95" t="s">
        <v>11</v>
      </c>
      <c r="C3081" s="95" t="s">
        <v>153</v>
      </c>
      <c r="D3081" s="96">
        <v>257657</v>
      </c>
      <c r="E3081" s="96">
        <v>124448</v>
      </c>
      <c r="F3081" s="96">
        <v>133209</v>
      </c>
    </row>
    <row r="3082" spans="1:6" hidden="1" x14ac:dyDescent="0.2">
      <c r="A3082" s="97" t="s">
        <v>186</v>
      </c>
      <c r="B3082" s="97" t="s">
        <v>11</v>
      </c>
      <c r="C3082" s="97" t="s">
        <v>154</v>
      </c>
      <c r="D3082" s="98">
        <v>5951.1008969131799</v>
      </c>
      <c r="E3082" s="98">
        <v>3119.65820181252</v>
      </c>
      <c r="F3082" s="98">
        <v>3159.41793657777</v>
      </c>
    </row>
    <row r="3083" spans="1:6" hidden="1" x14ac:dyDescent="0.2">
      <c r="A3083" s="97" t="s">
        <v>186</v>
      </c>
      <c r="B3083" s="97" t="s">
        <v>11</v>
      </c>
      <c r="C3083" s="97" t="s">
        <v>155</v>
      </c>
      <c r="D3083" s="98">
        <v>247866.982236907</v>
      </c>
      <c r="E3083" s="98">
        <v>119315.92280292801</v>
      </c>
      <c r="F3083" s="98">
        <v>128011.51498740799</v>
      </c>
    </row>
    <row r="3084" spans="1:6" hidden="1" x14ac:dyDescent="0.2">
      <c r="A3084" s="97" t="s">
        <v>186</v>
      </c>
      <c r="B3084" s="97" t="s">
        <v>11</v>
      </c>
      <c r="C3084" s="97" t="s">
        <v>156</v>
      </c>
      <c r="D3084" s="98">
        <v>267447.01776309201</v>
      </c>
      <c r="E3084" s="98">
        <v>129580.077197071</v>
      </c>
      <c r="F3084" s="98">
        <v>138406.485012591</v>
      </c>
    </row>
    <row r="3085" spans="1:6" hidden="1" x14ac:dyDescent="0.2">
      <c r="A3085" s="97" t="s">
        <v>186</v>
      </c>
      <c r="B3085" s="97" t="s">
        <v>11</v>
      </c>
      <c r="C3085" s="97" t="s">
        <v>157</v>
      </c>
      <c r="D3085" s="99">
        <v>2.3096989008306301</v>
      </c>
      <c r="E3085" s="99">
        <v>2.5067965751257701</v>
      </c>
      <c r="F3085" s="99">
        <v>2.3717751327446099</v>
      </c>
    </row>
    <row r="3086" spans="1:6" hidden="1" x14ac:dyDescent="0.2">
      <c r="A3086" s="97" t="s">
        <v>186</v>
      </c>
      <c r="B3086" s="97" t="s">
        <v>11</v>
      </c>
      <c r="C3086" s="97" t="s">
        <v>158</v>
      </c>
      <c r="D3086" s="99">
        <v>1.76872555630545</v>
      </c>
      <c r="E3086" s="99">
        <v>1.84415045468424</v>
      </c>
      <c r="F3086" s="99">
        <v>1.7126310285719799</v>
      </c>
    </row>
    <row r="3087" spans="1:6" hidden="1" x14ac:dyDescent="0.2">
      <c r="A3087" s="100" t="s">
        <v>186</v>
      </c>
      <c r="B3087" s="100" t="s">
        <v>12</v>
      </c>
      <c r="C3087" s="100" t="s">
        <v>153</v>
      </c>
      <c r="D3087" s="101">
        <v>249460</v>
      </c>
      <c r="E3087" s="101">
        <v>120261</v>
      </c>
      <c r="F3087" s="101">
        <v>129199</v>
      </c>
    </row>
    <row r="3088" spans="1:6" hidden="1" x14ac:dyDescent="0.2">
      <c r="A3088" s="102" t="s">
        <v>186</v>
      </c>
      <c r="B3088" s="102" t="s">
        <v>12</v>
      </c>
      <c r="C3088" s="102" t="s">
        <v>154</v>
      </c>
      <c r="D3088" s="103">
        <v>5230.3090918023399</v>
      </c>
      <c r="E3088" s="103">
        <v>2617.5777069236101</v>
      </c>
      <c r="F3088" s="103">
        <v>2981.3786783783498</v>
      </c>
    </row>
    <row r="3089" spans="1:6" hidden="1" x14ac:dyDescent="0.2">
      <c r="A3089" s="102" t="s">
        <v>186</v>
      </c>
      <c r="B3089" s="102" t="s">
        <v>12</v>
      </c>
      <c r="C3089" s="102" t="s">
        <v>155</v>
      </c>
      <c r="D3089" s="103">
        <v>240855.74008201199</v>
      </c>
      <c r="E3089" s="103">
        <v>115954.88375512999</v>
      </c>
      <c r="F3089" s="103">
        <v>124294.40323287599</v>
      </c>
    </row>
    <row r="3090" spans="1:6" hidden="1" x14ac:dyDescent="0.2">
      <c r="A3090" s="102" t="s">
        <v>186</v>
      </c>
      <c r="B3090" s="102" t="s">
        <v>12</v>
      </c>
      <c r="C3090" s="102" t="s">
        <v>156</v>
      </c>
      <c r="D3090" s="103">
        <v>258064.25991798699</v>
      </c>
      <c r="E3090" s="103">
        <v>124567.116244869</v>
      </c>
      <c r="F3090" s="103">
        <v>134103.596767123</v>
      </c>
    </row>
    <row r="3091" spans="1:6" hidden="1" x14ac:dyDescent="0.2">
      <c r="A3091" s="102" t="s">
        <v>186</v>
      </c>
      <c r="B3091" s="102" t="s">
        <v>12</v>
      </c>
      <c r="C3091" s="102" t="s">
        <v>157</v>
      </c>
      <c r="D3091" s="104">
        <v>2.0966524059177098</v>
      </c>
      <c r="E3091" s="104">
        <v>2.1765806927629101</v>
      </c>
      <c r="F3091" s="104">
        <v>2.3075864970923501</v>
      </c>
    </row>
    <row r="3092" spans="1:6" hidden="1" x14ac:dyDescent="0.2">
      <c r="A3092" s="102" t="s">
        <v>186</v>
      </c>
      <c r="B3092" s="102" t="s">
        <v>12</v>
      </c>
      <c r="C3092" s="102" t="s">
        <v>158</v>
      </c>
      <c r="D3092" s="104">
        <v>1.6066034451725999</v>
      </c>
      <c r="E3092" s="104">
        <v>1.56417146190949</v>
      </c>
      <c r="F3092" s="104">
        <v>1.7107971455670401</v>
      </c>
    </row>
    <row r="3093" spans="1:6" hidden="1" x14ac:dyDescent="0.2">
      <c r="A3093" s="95" t="s">
        <v>186</v>
      </c>
      <c r="B3093" s="95" t="s">
        <v>13</v>
      </c>
      <c r="C3093" s="95" t="s">
        <v>153</v>
      </c>
      <c r="D3093" s="96">
        <v>212279</v>
      </c>
      <c r="E3093" s="96">
        <v>102936</v>
      </c>
      <c r="F3093" s="96">
        <v>109343</v>
      </c>
    </row>
    <row r="3094" spans="1:6" hidden="1" x14ac:dyDescent="0.2">
      <c r="A3094" s="97" t="s">
        <v>186</v>
      </c>
      <c r="B3094" s="97" t="s">
        <v>13</v>
      </c>
      <c r="C3094" s="97" t="s">
        <v>154</v>
      </c>
      <c r="D3094" s="98">
        <v>4490.6358694338396</v>
      </c>
      <c r="E3094" s="98">
        <v>2388.3441775442102</v>
      </c>
      <c r="F3094" s="98">
        <v>2511.1324491990699</v>
      </c>
    </row>
    <row r="3095" spans="1:6" hidden="1" x14ac:dyDescent="0.2">
      <c r="A3095" s="97" t="s">
        <v>186</v>
      </c>
      <c r="B3095" s="97" t="s">
        <v>13</v>
      </c>
      <c r="C3095" s="97" t="s">
        <v>155</v>
      </c>
      <c r="D3095" s="98">
        <v>204891.55930778399</v>
      </c>
      <c r="E3095" s="98">
        <v>99006.990506199596</v>
      </c>
      <c r="F3095" s="98">
        <v>105211.994374488</v>
      </c>
    </row>
    <row r="3096" spans="1:6" hidden="1" x14ac:dyDescent="0.2">
      <c r="A3096" s="97" t="s">
        <v>186</v>
      </c>
      <c r="B3096" s="97" t="s">
        <v>13</v>
      </c>
      <c r="C3096" s="97" t="s">
        <v>156</v>
      </c>
      <c r="D3096" s="98">
        <v>219666.44069221499</v>
      </c>
      <c r="E3096" s="98">
        <v>106865.0094938</v>
      </c>
      <c r="F3096" s="98">
        <v>113474.005625511</v>
      </c>
    </row>
    <row r="3097" spans="1:6" hidden="1" x14ac:dyDescent="0.2">
      <c r="A3097" s="97" t="s">
        <v>186</v>
      </c>
      <c r="B3097" s="97" t="s">
        <v>13</v>
      </c>
      <c r="C3097" s="97" t="s">
        <v>157</v>
      </c>
      <c r="D3097" s="99">
        <v>2.1154404672312501</v>
      </c>
      <c r="E3097" s="99">
        <v>2.3202224465145398</v>
      </c>
      <c r="F3097" s="99">
        <v>2.2965644341193001</v>
      </c>
    </row>
    <row r="3098" spans="1:6" hidden="1" x14ac:dyDescent="0.2">
      <c r="A3098" s="97" t="s">
        <v>186</v>
      </c>
      <c r="B3098" s="97" t="s">
        <v>13</v>
      </c>
      <c r="C3098" s="97" t="s">
        <v>158</v>
      </c>
      <c r="D3098" s="99">
        <v>1.72463391258318</v>
      </c>
      <c r="E3098" s="99">
        <v>1.8393195309118899</v>
      </c>
      <c r="F3098" s="99">
        <v>1.74283128543729</v>
      </c>
    </row>
    <row r="3099" spans="1:6" hidden="1" x14ac:dyDescent="0.2">
      <c r="A3099" s="100" t="s">
        <v>186</v>
      </c>
      <c r="B3099" s="100" t="s">
        <v>14</v>
      </c>
      <c r="C3099" s="100" t="s">
        <v>153</v>
      </c>
      <c r="D3099" s="101">
        <v>183397</v>
      </c>
      <c r="E3099" s="101">
        <v>89005</v>
      </c>
      <c r="F3099" s="101">
        <v>94392</v>
      </c>
    </row>
    <row r="3100" spans="1:6" hidden="1" x14ac:dyDescent="0.2">
      <c r="A3100" s="102" t="s">
        <v>186</v>
      </c>
      <c r="B3100" s="102" t="s">
        <v>14</v>
      </c>
      <c r="C3100" s="102" t="s">
        <v>154</v>
      </c>
      <c r="D3100" s="103">
        <v>3754.73430826917</v>
      </c>
      <c r="E3100" s="103">
        <v>1987.31429921628</v>
      </c>
      <c r="F3100" s="103">
        <v>2121.81047483457</v>
      </c>
    </row>
    <row r="3101" spans="1:6" hidden="1" x14ac:dyDescent="0.2">
      <c r="A3101" s="102" t="s">
        <v>186</v>
      </c>
      <c r="B3101" s="102" t="s">
        <v>14</v>
      </c>
      <c r="C3101" s="102" t="s">
        <v>155</v>
      </c>
      <c r="D3101" s="103">
        <v>177220.17386137499</v>
      </c>
      <c r="E3101" s="103">
        <v>85735.715437833307</v>
      </c>
      <c r="F3101" s="103">
        <v>90901.458905440406</v>
      </c>
    </row>
    <row r="3102" spans="1:6" hidden="1" x14ac:dyDescent="0.2">
      <c r="A3102" s="102" t="s">
        <v>186</v>
      </c>
      <c r="B3102" s="102" t="s">
        <v>14</v>
      </c>
      <c r="C3102" s="102" t="s">
        <v>156</v>
      </c>
      <c r="D3102" s="103">
        <v>189573.82613862399</v>
      </c>
      <c r="E3102" s="103">
        <v>92274.284562166606</v>
      </c>
      <c r="F3102" s="103">
        <v>97882.541094559507</v>
      </c>
    </row>
    <row r="3103" spans="1:6" hidden="1" x14ac:dyDescent="0.2">
      <c r="A3103" s="102" t="s">
        <v>186</v>
      </c>
      <c r="B3103" s="102" t="s">
        <v>14</v>
      </c>
      <c r="C3103" s="102" t="s">
        <v>157</v>
      </c>
      <c r="D3103" s="104">
        <v>2.0473259149654401</v>
      </c>
      <c r="E3103" s="104">
        <v>2.2328119759747</v>
      </c>
      <c r="F3103" s="104">
        <v>2.2478710852980899</v>
      </c>
    </row>
    <row r="3104" spans="1:6" hidden="1" x14ac:dyDescent="0.2">
      <c r="A3104" s="102" t="s">
        <v>186</v>
      </c>
      <c r="B3104" s="102" t="s">
        <v>14</v>
      </c>
      <c r="C3104" s="102" t="s">
        <v>158</v>
      </c>
      <c r="D3104" s="104">
        <v>1.5931530268251</v>
      </c>
      <c r="E3104" s="104">
        <v>1.64459015667788</v>
      </c>
      <c r="F3104" s="104">
        <v>1.65141786254997</v>
      </c>
    </row>
    <row r="3105" spans="1:6" hidden="1" x14ac:dyDescent="0.2">
      <c r="A3105" s="95" t="s">
        <v>186</v>
      </c>
      <c r="B3105" s="95" t="s">
        <v>15</v>
      </c>
      <c r="C3105" s="95" t="s">
        <v>153</v>
      </c>
      <c r="D3105" s="96">
        <v>144081</v>
      </c>
      <c r="E3105" s="96">
        <v>69046</v>
      </c>
      <c r="F3105" s="96">
        <v>75035</v>
      </c>
    </row>
    <row r="3106" spans="1:6" hidden="1" x14ac:dyDescent="0.2">
      <c r="A3106" s="97" t="s">
        <v>186</v>
      </c>
      <c r="B3106" s="97" t="s">
        <v>15</v>
      </c>
      <c r="C3106" s="97" t="s">
        <v>154</v>
      </c>
      <c r="D3106" s="98">
        <v>2877.6023068125801</v>
      </c>
      <c r="E3106" s="98">
        <v>1593.4820139487099</v>
      </c>
      <c r="F3106" s="98">
        <v>1640.2869439527899</v>
      </c>
    </row>
    <row r="3107" spans="1:6" hidden="1" x14ac:dyDescent="0.2">
      <c r="A3107" s="97" t="s">
        <v>186</v>
      </c>
      <c r="B3107" s="97" t="s">
        <v>15</v>
      </c>
      <c r="C3107" s="97" t="s">
        <v>155</v>
      </c>
      <c r="D3107" s="98">
        <v>139347.123329647</v>
      </c>
      <c r="E3107" s="98">
        <v>66424.599776418196</v>
      </c>
      <c r="F3107" s="98">
        <v>72336.602073963193</v>
      </c>
    </row>
    <row r="3108" spans="1:6" hidden="1" x14ac:dyDescent="0.2">
      <c r="A3108" s="97" t="s">
        <v>186</v>
      </c>
      <c r="B3108" s="97" t="s">
        <v>15</v>
      </c>
      <c r="C3108" s="97" t="s">
        <v>156</v>
      </c>
      <c r="D3108" s="98">
        <v>148814.87667035201</v>
      </c>
      <c r="E3108" s="98">
        <v>71667.400223581702</v>
      </c>
      <c r="F3108" s="98">
        <v>77733.397926036705</v>
      </c>
    </row>
    <row r="3109" spans="1:6" hidden="1" x14ac:dyDescent="0.2">
      <c r="A3109" s="97" t="s">
        <v>186</v>
      </c>
      <c r="B3109" s="97" t="s">
        <v>15</v>
      </c>
      <c r="C3109" s="97" t="s">
        <v>157</v>
      </c>
      <c r="D3109" s="99">
        <v>1.99721150381562</v>
      </c>
      <c r="E3109" s="99">
        <v>2.30785565267895</v>
      </c>
      <c r="F3109" s="99">
        <v>2.18602911168494</v>
      </c>
    </row>
    <row r="3110" spans="1:6" hidden="1" x14ac:dyDescent="0.2">
      <c r="A3110" s="97" t="s">
        <v>186</v>
      </c>
      <c r="B3110" s="97" t="s">
        <v>15</v>
      </c>
      <c r="C3110" s="97" t="s">
        <v>158</v>
      </c>
      <c r="D3110" s="99">
        <v>1.4429032039407801</v>
      </c>
      <c r="E3110" s="99">
        <v>1.6019754667291</v>
      </c>
      <c r="F3110" s="99">
        <v>1.4680553408947501</v>
      </c>
    </row>
    <row r="3111" spans="1:6" hidden="1" x14ac:dyDescent="0.2">
      <c r="A3111" s="100" t="s">
        <v>186</v>
      </c>
      <c r="B3111" s="100" t="s">
        <v>16</v>
      </c>
      <c r="C3111" s="100" t="s">
        <v>153</v>
      </c>
      <c r="D3111" s="101">
        <v>109956</v>
      </c>
      <c r="E3111" s="101">
        <v>52146</v>
      </c>
      <c r="F3111" s="101">
        <v>57810</v>
      </c>
    </row>
    <row r="3112" spans="1:6" hidden="1" x14ac:dyDescent="0.2">
      <c r="A3112" s="102" t="s">
        <v>186</v>
      </c>
      <c r="B3112" s="102" t="s">
        <v>16</v>
      </c>
      <c r="C3112" s="102" t="s">
        <v>154</v>
      </c>
      <c r="D3112" s="103">
        <v>2289.4565631680098</v>
      </c>
      <c r="E3112" s="103">
        <v>1228.2046082500499</v>
      </c>
      <c r="F3112" s="103">
        <v>1403.14498829373</v>
      </c>
    </row>
    <row r="3113" spans="1:6" hidden="1" x14ac:dyDescent="0.2">
      <c r="A3113" s="102" t="s">
        <v>186</v>
      </c>
      <c r="B3113" s="102" t="s">
        <v>16</v>
      </c>
      <c r="C3113" s="102" t="s">
        <v>155</v>
      </c>
      <c r="D3113" s="103">
        <v>106189.668222148</v>
      </c>
      <c r="E3113" s="103">
        <v>50125.5091463301</v>
      </c>
      <c r="F3113" s="103">
        <v>55501.718793288303</v>
      </c>
    </row>
    <row r="3114" spans="1:6" hidden="1" x14ac:dyDescent="0.2">
      <c r="A3114" s="102" t="s">
        <v>186</v>
      </c>
      <c r="B3114" s="102" t="s">
        <v>16</v>
      </c>
      <c r="C3114" s="102" t="s">
        <v>156</v>
      </c>
      <c r="D3114" s="103">
        <v>113722.331777851</v>
      </c>
      <c r="E3114" s="103">
        <v>54166.490853669799</v>
      </c>
      <c r="F3114" s="103">
        <v>60118.281206711603</v>
      </c>
    </row>
    <row r="3115" spans="1:6" hidden="1" x14ac:dyDescent="0.2">
      <c r="A3115" s="102" t="s">
        <v>186</v>
      </c>
      <c r="B3115" s="102" t="s">
        <v>16</v>
      </c>
      <c r="C3115" s="102" t="s">
        <v>157</v>
      </c>
      <c r="D3115" s="104">
        <v>2.0821570111390102</v>
      </c>
      <c r="E3115" s="104">
        <v>2.3553189281057998</v>
      </c>
      <c r="F3115" s="104">
        <v>2.4271665599268899</v>
      </c>
    </row>
    <row r="3116" spans="1:6" hidden="1" x14ac:dyDescent="0.2">
      <c r="A3116" s="102" t="s">
        <v>186</v>
      </c>
      <c r="B3116" s="102" t="s">
        <v>16</v>
      </c>
      <c r="C3116" s="102" t="s">
        <v>158</v>
      </c>
      <c r="D3116" s="104">
        <v>1.44516078208681</v>
      </c>
      <c r="E3116" s="104">
        <v>1.49466337241173</v>
      </c>
      <c r="F3116" s="104">
        <v>1.6376213843109699</v>
      </c>
    </row>
    <row r="3117" spans="1:6" hidden="1" x14ac:dyDescent="0.2">
      <c r="A3117" s="95" t="s">
        <v>186</v>
      </c>
      <c r="B3117" s="95" t="s">
        <v>17</v>
      </c>
      <c r="C3117" s="95" t="s">
        <v>153</v>
      </c>
      <c r="D3117" s="96">
        <v>85929</v>
      </c>
      <c r="E3117" s="96">
        <v>38869</v>
      </c>
      <c r="F3117" s="96">
        <v>47060</v>
      </c>
    </row>
    <row r="3118" spans="1:6" hidden="1" x14ac:dyDescent="0.2">
      <c r="A3118" s="97" t="s">
        <v>186</v>
      </c>
      <c r="B3118" s="97" t="s">
        <v>17</v>
      </c>
      <c r="C3118" s="97" t="s">
        <v>154</v>
      </c>
      <c r="D3118" s="98">
        <v>1855.34662273515</v>
      </c>
      <c r="E3118" s="98">
        <v>1036.883884376</v>
      </c>
      <c r="F3118" s="98">
        <v>1156.4480553051999</v>
      </c>
    </row>
    <row r="3119" spans="1:6" hidden="1" x14ac:dyDescent="0.2">
      <c r="A3119" s="97" t="s">
        <v>186</v>
      </c>
      <c r="B3119" s="97" t="s">
        <v>17</v>
      </c>
      <c r="C3119" s="97" t="s">
        <v>155</v>
      </c>
      <c r="D3119" s="98">
        <v>82876.812395065906</v>
      </c>
      <c r="E3119" s="98">
        <v>37163.246422276097</v>
      </c>
      <c r="F3119" s="98">
        <v>45157.554183730303</v>
      </c>
    </row>
    <row r="3120" spans="1:6" hidden="1" x14ac:dyDescent="0.2">
      <c r="A3120" s="97" t="s">
        <v>186</v>
      </c>
      <c r="B3120" s="97" t="s">
        <v>17</v>
      </c>
      <c r="C3120" s="97" t="s">
        <v>156</v>
      </c>
      <c r="D3120" s="98">
        <v>88981.187604934006</v>
      </c>
      <c r="E3120" s="98">
        <v>40574.753577723801</v>
      </c>
      <c r="F3120" s="98">
        <v>48962.445816269697</v>
      </c>
    </row>
    <row r="3121" spans="1:6" hidden="1" x14ac:dyDescent="0.2">
      <c r="A3121" s="97" t="s">
        <v>186</v>
      </c>
      <c r="B3121" s="97" t="s">
        <v>17</v>
      </c>
      <c r="C3121" s="97" t="s">
        <v>157</v>
      </c>
      <c r="D3121" s="99">
        <v>2.1591623581505099</v>
      </c>
      <c r="E3121" s="99">
        <v>2.6676371513957098</v>
      </c>
      <c r="F3121" s="99">
        <v>2.4573906827564902</v>
      </c>
    </row>
    <row r="3122" spans="1:6" hidden="1" x14ac:dyDescent="0.2">
      <c r="A3122" s="97" t="s">
        <v>186</v>
      </c>
      <c r="B3122" s="97" t="s">
        <v>17</v>
      </c>
      <c r="C3122" s="97" t="s">
        <v>158</v>
      </c>
      <c r="D3122" s="99">
        <v>1.46522467219274</v>
      </c>
      <c r="E3122" s="99">
        <v>1.67608399019385</v>
      </c>
      <c r="F3122" s="99">
        <v>1.5555373707756199</v>
      </c>
    </row>
    <row r="3123" spans="1:6" hidden="1" x14ac:dyDescent="0.2">
      <c r="A3123" s="100" t="s">
        <v>186</v>
      </c>
      <c r="B3123" s="100" t="s">
        <v>18</v>
      </c>
      <c r="C3123" s="100" t="s">
        <v>153</v>
      </c>
      <c r="D3123" s="101">
        <v>62766</v>
      </c>
      <c r="E3123" s="101">
        <v>29999</v>
      </c>
      <c r="F3123" s="101">
        <v>32767</v>
      </c>
    </row>
    <row r="3124" spans="1:6" hidden="1" x14ac:dyDescent="0.2">
      <c r="A3124" s="102" t="s">
        <v>186</v>
      </c>
      <c r="B3124" s="102" t="s">
        <v>18</v>
      </c>
      <c r="C3124" s="102" t="s">
        <v>154</v>
      </c>
      <c r="D3124" s="103">
        <v>1492.9215928429201</v>
      </c>
      <c r="E3124" s="103">
        <v>846.88881276264601</v>
      </c>
      <c r="F3124" s="103">
        <v>944.95631452125701</v>
      </c>
    </row>
    <row r="3125" spans="1:6" hidden="1" x14ac:dyDescent="0.2">
      <c r="A3125" s="102" t="s">
        <v>186</v>
      </c>
      <c r="B3125" s="102" t="s">
        <v>18</v>
      </c>
      <c r="C3125" s="102" t="s">
        <v>155</v>
      </c>
      <c r="D3125" s="103">
        <v>60310.029387836898</v>
      </c>
      <c r="E3125" s="103">
        <v>28605.8028985005</v>
      </c>
      <c r="F3125" s="103">
        <v>31212.4743307565</v>
      </c>
    </row>
    <row r="3126" spans="1:6" hidden="1" x14ac:dyDescent="0.2">
      <c r="A3126" s="102" t="s">
        <v>186</v>
      </c>
      <c r="B3126" s="102" t="s">
        <v>18</v>
      </c>
      <c r="C3126" s="102" t="s">
        <v>156</v>
      </c>
      <c r="D3126" s="103">
        <v>65221.970612163001</v>
      </c>
      <c r="E3126" s="103">
        <v>31392.197101499401</v>
      </c>
      <c r="F3126" s="103">
        <v>34321.525669243398</v>
      </c>
    </row>
    <row r="3127" spans="1:6" hidden="1" x14ac:dyDescent="0.2">
      <c r="A3127" s="102" t="s">
        <v>186</v>
      </c>
      <c r="B3127" s="102" t="s">
        <v>18</v>
      </c>
      <c r="C3127" s="102" t="s">
        <v>157</v>
      </c>
      <c r="D3127" s="104">
        <v>2.3785514336470701</v>
      </c>
      <c r="E3127" s="104">
        <v>2.82305681110252</v>
      </c>
      <c r="F3127" s="104">
        <v>2.8838658239120298</v>
      </c>
    </row>
    <row r="3128" spans="1:6" hidden="1" x14ac:dyDescent="0.2">
      <c r="A3128" s="102" t="s">
        <v>186</v>
      </c>
      <c r="B3128" s="102" t="s">
        <v>18</v>
      </c>
      <c r="C3128" s="102" t="s">
        <v>158</v>
      </c>
      <c r="D3128" s="104">
        <v>1.6093069447693999</v>
      </c>
      <c r="E3128" s="104">
        <v>1.6836142358458099</v>
      </c>
      <c r="F3128" s="104">
        <v>1.80535914353779</v>
      </c>
    </row>
    <row r="3129" spans="1:6" hidden="1" x14ac:dyDescent="0.2">
      <c r="A3129" s="95" t="s">
        <v>186</v>
      </c>
      <c r="B3129" s="95" t="s">
        <v>19</v>
      </c>
      <c r="C3129" s="95" t="s">
        <v>153</v>
      </c>
      <c r="D3129" s="96">
        <v>97270</v>
      </c>
      <c r="E3129" s="96">
        <v>43789</v>
      </c>
      <c r="F3129" s="96">
        <v>53481</v>
      </c>
    </row>
    <row r="3130" spans="1:6" hidden="1" x14ac:dyDescent="0.2">
      <c r="A3130" s="97" t="s">
        <v>186</v>
      </c>
      <c r="B3130" s="97" t="s">
        <v>19</v>
      </c>
      <c r="C3130" s="97" t="s">
        <v>154</v>
      </c>
      <c r="D3130" s="98">
        <v>2099.9940474626901</v>
      </c>
      <c r="E3130" s="98">
        <v>1031.5582743974901</v>
      </c>
      <c r="F3130" s="98">
        <v>1391.2799895589201</v>
      </c>
    </row>
    <row r="3131" spans="1:6" hidden="1" x14ac:dyDescent="0.2">
      <c r="A3131" s="97" t="s">
        <v>186</v>
      </c>
      <c r="B3131" s="97" t="s">
        <v>19</v>
      </c>
      <c r="C3131" s="97" t="s">
        <v>155</v>
      </c>
      <c r="D3131" s="98">
        <v>93815.348603027101</v>
      </c>
      <c r="E3131" s="98">
        <v>42092.007459467801</v>
      </c>
      <c r="F3131" s="98">
        <v>51192.237626926901</v>
      </c>
    </row>
    <row r="3132" spans="1:6" hidden="1" x14ac:dyDescent="0.2">
      <c r="A3132" s="97" t="s">
        <v>186</v>
      </c>
      <c r="B3132" s="97" t="s">
        <v>19</v>
      </c>
      <c r="C3132" s="97" t="s">
        <v>156</v>
      </c>
      <c r="D3132" s="98">
        <v>100724.651396972</v>
      </c>
      <c r="E3132" s="98">
        <v>45485.992540532199</v>
      </c>
      <c r="F3132" s="98">
        <v>55769.762373073099</v>
      </c>
    </row>
    <row r="3133" spans="1:6" hidden="1" x14ac:dyDescent="0.2">
      <c r="A3133" s="97" t="s">
        <v>186</v>
      </c>
      <c r="B3133" s="97" t="s">
        <v>19</v>
      </c>
      <c r="C3133" s="97" t="s">
        <v>157</v>
      </c>
      <c r="D3133" s="99">
        <v>2.1589329160714401</v>
      </c>
      <c r="E3133" s="99">
        <v>2.35574750370525</v>
      </c>
      <c r="F3133" s="99">
        <v>2.6014472234231301</v>
      </c>
    </row>
    <row r="3134" spans="1:6" hidden="1" x14ac:dyDescent="0.2">
      <c r="A3134" s="97" t="s">
        <v>186</v>
      </c>
      <c r="B3134" s="97" t="s">
        <v>19</v>
      </c>
      <c r="C3134" s="97" t="s">
        <v>158</v>
      </c>
      <c r="D3134" s="99">
        <v>1.3974649561994901</v>
      </c>
      <c r="E3134" s="99">
        <v>1.37645368611347</v>
      </c>
      <c r="F3134" s="99">
        <v>1.62038634425302</v>
      </c>
    </row>
    <row r="3135" spans="1:6" hidden="1" x14ac:dyDescent="0.2">
      <c r="A3135" s="100" t="s">
        <v>186</v>
      </c>
      <c r="B3135" s="100" t="s">
        <v>20</v>
      </c>
      <c r="C3135" s="100" t="s">
        <v>153</v>
      </c>
      <c r="D3135" s="101">
        <v>3992</v>
      </c>
      <c r="E3135" s="101">
        <v>2008</v>
      </c>
      <c r="F3135" s="101">
        <v>1984</v>
      </c>
    </row>
    <row r="3136" spans="1:6" hidden="1" x14ac:dyDescent="0.2">
      <c r="A3136" s="102" t="s">
        <v>186</v>
      </c>
      <c r="B3136" s="102" t="s">
        <v>20</v>
      </c>
      <c r="C3136" s="102" t="s">
        <v>154</v>
      </c>
      <c r="D3136" s="103">
        <v>391.59593238536303</v>
      </c>
      <c r="E3136" s="103">
        <v>235.98354295349901</v>
      </c>
      <c r="F3136" s="103">
        <v>242.61634678935499</v>
      </c>
    </row>
    <row r="3137" spans="1:6" hidden="1" x14ac:dyDescent="0.2">
      <c r="A3137" s="102" t="s">
        <v>186</v>
      </c>
      <c r="B3137" s="102" t="s">
        <v>20</v>
      </c>
      <c r="C3137" s="102" t="s">
        <v>155</v>
      </c>
      <c r="D3137" s="103">
        <v>3347.7946335616798</v>
      </c>
      <c r="E3137" s="103">
        <v>1619.7889584916099</v>
      </c>
      <c r="F3137" s="103">
        <v>1584.87748706859</v>
      </c>
    </row>
    <row r="3138" spans="1:6" hidden="1" x14ac:dyDescent="0.2">
      <c r="A3138" s="102" t="s">
        <v>186</v>
      </c>
      <c r="B3138" s="102" t="s">
        <v>20</v>
      </c>
      <c r="C3138" s="102" t="s">
        <v>156</v>
      </c>
      <c r="D3138" s="103">
        <v>4636.2053664383102</v>
      </c>
      <c r="E3138" s="103">
        <v>2396.2110415083898</v>
      </c>
      <c r="F3138" s="103">
        <v>2383.1225129313998</v>
      </c>
    </row>
    <row r="3139" spans="1:6" hidden="1" x14ac:dyDescent="0.2">
      <c r="A3139" s="102" t="s">
        <v>186</v>
      </c>
      <c r="B3139" s="102" t="s">
        <v>20</v>
      </c>
      <c r="C3139" s="102" t="s">
        <v>157</v>
      </c>
      <c r="D3139" s="104">
        <v>9.8095173443227299</v>
      </c>
      <c r="E3139" s="104">
        <v>11.7521684737798</v>
      </c>
      <c r="F3139" s="104">
        <v>12.2286465115602</v>
      </c>
    </row>
    <row r="3140" spans="1:6" hidden="1" x14ac:dyDescent="0.2">
      <c r="A3140" s="102" t="s">
        <v>186</v>
      </c>
      <c r="B3140" s="102" t="s">
        <v>20</v>
      </c>
      <c r="C3140" s="102" t="s">
        <v>158</v>
      </c>
      <c r="D3140" s="104">
        <v>2.76908164116823</v>
      </c>
      <c r="E3140" s="104">
        <v>2.6931026606198398</v>
      </c>
      <c r="F3140" s="104">
        <v>2.8361649902908601</v>
      </c>
    </row>
    <row r="3141" spans="1:6" hidden="1" x14ac:dyDescent="0.2">
      <c r="A3141" s="95" t="s">
        <v>187</v>
      </c>
      <c r="B3141" s="95" t="s">
        <v>152</v>
      </c>
      <c r="C3141" s="95" t="s">
        <v>153</v>
      </c>
      <c r="D3141" s="96">
        <v>1272847</v>
      </c>
      <c r="E3141" s="96">
        <v>614565</v>
      </c>
      <c r="F3141" s="96">
        <v>658282</v>
      </c>
    </row>
    <row r="3142" spans="1:6" hidden="1" x14ac:dyDescent="0.2">
      <c r="A3142" s="97" t="s">
        <v>187</v>
      </c>
      <c r="B3142" s="97" t="s">
        <v>152</v>
      </c>
      <c r="C3142" s="97" t="s">
        <v>154</v>
      </c>
      <c r="D3142" s="98">
        <v>20555.327371241001</v>
      </c>
      <c r="E3142" s="98">
        <v>10214.842805002199</v>
      </c>
      <c r="F3142" s="98">
        <v>10418.973142082001</v>
      </c>
    </row>
    <row r="3143" spans="1:6" hidden="1" x14ac:dyDescent="0.2">
      <c r="A3143" s="97" t="s">
        <v>187</v>
      </c>
      <c r="B3143" s="97" t="s">
        <v>152</v>
      </c>
      <c r="C3143" s="97" t="s">
        <v>155</v>
      </c>
      <c r="D3143" s="98">
        <v>1239029.8706172099</v>
      </c>
      <c r="E3143" s="98">
        <v>597759.78670795204</v>
      </c>
      <c r="F3143" s="98">
        <v>641140.95639519196</v>
      </c>
    </row>
    <row r="3144" spans="1:6" hidden="1" x14ac:dyDescent="0.2">
      <c r="A3144" s="97" t="s">
        <v>187</v>
      </c>
      <c r="B3144" s="97" t="s">
        <v>152</v>
      </c>
      <c r="C3144" s="97" t="s">
        <v>156</v>
      </c>
      <c r="D3144" s="98">
        <v>1306664.1293827801</v>
      </c>
      <c r="E3144" s="98">
        <v>631370.21329204703</v>
      </c>
      <c r="F3144" s="98">
        <v>675423.043604807</v>
      </c>
    </row>
    <row r="3145" spans="1:6" hidden="1" x14ac:dyDescent="0.2">
      <c r="A3145" s="97" t="s">
        <v>187</v>
      </c>
      <c r="B3145" s="97" t="s">
        <v>152</v>
      </c>
      <c r="C3145" s="97" t="s">
        <v>157</v>
      </c>
      <c r="D3145" s="99">
        <v>1.6149095194662799</v>
      </c>
      <c r="E3145" s="99">
        <v>1.66212569947886</v>
      </c>
      <c r="F3145" s="99">
        <v>1.5827522463142001</v>
      </c>
    </row>
    <row r="3146" spans="1:6" hidden="1" x14ac:dyDescent="0.2">
      <c r="A3146" s="97" t="s">
        <v>187</v>
      </c>
      <c r="B3146" s="97" t="s">
        <v>152</v>
      </c>
      <c r="C3146" s="97" t="s">
        <v>158</v>
      </c>
      <c r="D3146" s="99">
        <v>2.67801544344763</v>
      </c>
      <c r="E3146" s="99">
        <v>1.3931550772283501</v>
      </c>
      <c r="F3146" s="99">
        <v>1.26342212651509</v>
      </c>
    </row>
    <row r="3147" spans="1:6" hidden="1" x14ac:dyDescent="0.2">
      <c r="A3147" s="100" t="s">
        <v>187</v>
      </c>
      <c r="B3147" s="100" t="s">
        <v>4</v>
      </c>
      <c r="C3147" s="100" t="s">
        <v>153</v>
      </c>
      <c r="D3147" s="101">
        <v>114632</v>
      </c>
      <c r="E3147" s="101">
        <v>58491</v>
      </c>
      <c r="F3147" s="101">
        <v>56141</v>
      </c>
    </row>
    <row r="3148" spans="1:6" hidden="1" x14ac:dyDescent="0.2">
      <c r="A3148" s="102" t="s">
        <v>187</v>
      </c>
      <c r="B3148" s="102" t="s">
        <v>4</v>
      </c>
      <c r="C3148" s="102" t="s">
        <v>154</v>
      </c>
      <c r="D3148" s="103">
        <v>2105.3972815863199</v>
      </c>
      <c r="E3148" s="103">
        <v>1132.6531149831901</v>
      </c>
      <c r="F3148" s="103">
        <v>1070.1350819331899</v>
      </c>
    </row>
    <row r="3149" spans="1:6" hidden="1" x14ac:dyDescent="0.2">
      <c r="A3149" s="102" t="s">
        <v>187</v>
      </c>
      <c r="B3149" s="102" t="s">
        <v>4</v>
      </c>
      <c r="C3149" s="102" t="s">
        <v>155</v>
      </c>
      <c r="D3149" s="103">
        <v>111168.25111448301</v>
      </c>
      <c r="E3149" s="103">
        <v>56627.5863825263</v>
      </c>
      <c r="F3149" s="103">
        <v>54380.439544347799</v>
      </c>
    </row>
    <row r="3150" spans="1:6" hidden="1" x14ac:dyDescent="0.2">
      <c r="A3150" s="102" t="s">
        <v>187</v>
      </c>
      <c r="B3150" s="102" t="s">
        <v>4</v>
      </c>
      <c r="C3150" s="102" t="s">
        <v>156</v>
      </c>
      <c r="D3150" s="103">
        <v>118095.748885516</v>
      </c>
      <c r="E3150" s="103">
        <v>60354.413617473598</v>
      </c>
      <c r="F3150" s="103">
        <v>57901.560455652099</v>
      </c>
    </row>
    <row r="3151" spans="1:6" hidden="1" x14ac:dyDescent="0.2">
      <c r="A3151" s="102" t="s">
        <v>187</v>
      </c>
      <c r="B3151" s="102" t="s">
        <v>4</v>
      </c>
      <c r="C3151" s="102" t="s">
        <v>157</v>
      </c>
      <c r="D3151" s="104">
        <v>1.8366575490145201</v>
      </c>
      <c r="E3151" s="104">
        <v>1.93645708738643</v>
      </c>
      <c r="F3151" s="104">
        <v>1.9061560747638799</v>
      </c>
    </row>
    <row r="3152" spans="1:6" hidden="1" x14ac:dyDescent="0.2">
      <c r="A3152" s="102" t="s">
        <v>187</v>
      </c>
      <c r="B3152" s="102" t="s">
        <v>4</v>
      </c>
      <c r="C3152" s="102" t="s">
        <v>158</v>
      </c>
      <c r="D3152" s="104">
        <v>1.0506465198650401</v>
      </c>
      <c r="E3152" s="104">
        <v>1.08447552872481</v>
      </c>
      <c r="F3152" s="104">
        <v>1.0290072952929199</v>
      </c>
    </row>
    <row r="3153" spans="1:6" hidden="1" x14ac:dyDescent="0.2">
      <c r="A3153" s="95" t="s">
        <v>187</v>
      </c>
      <c r="B3153" s="95" t="s">
        <v>5</v>
      </c>
      <c r="C3153" s="95" t="s">
        <v>153</v>
      </c>
      <c r="D3153" s="96">
        <v>122721</v>
      </c>
      <c r="E3153" s="96">
        <v>62416</v>
      </c>
      <c r="F3153" s="96">
        <v>60305</v>
      </c>
    </row>
    <row r="3154" spans="1:6" hidden="1" x14ac:dyDescent="0.2">
      <c r="A3154" s="97" t="s">
        <v>187</v>
      </c>
      <c r="B3154" s="97" t="s">
        <v>5</v>
      </c>
      <c r="C3154" s="97" t="s">
        <v>154</v>
      </c>
      <c r="D3154" s="98">
        <v>2162.0792539158001</v>
      </c>
      <c r="E3154" s="98">
        <v>1105.38493999446</v>
      </c>
      <c r="F3154" s="98">
        <v>1155.130639273</v>
      </c>
    </row>
    <row r="3155" spans="1:6" hidden="1" x14ac:dyDescent="0.2">
      <c r="A3155" s="97" t="s">
        <v>187</v>
      </c>
      <c r="B3155" s="97" t="s">
        <v>5</v>
      </c>
      <c r="C3155" s="97" t="s">
        <v>155</v>
      </c>
      <c r="D3155" s="98">
        <v>119163.999299159</v>
      </c>
      <c r="E3155" s="98">
        <v>60597.447327086898</v>
      </c>
      <c r="F3155" s="98">
        <v>58404.606901081701</v>
      </c>
    </row>
    <row r="3156" spans="1:6" hidden="1" x14ac:dyDescent="0.2">
      <c r="A3156" s="97" t="s">
        <v>187</v>
      </c>
      <c r="B3156" s="97" t="s">
        <v>5</v>
      </c>
      <c r="C3156" s="97" t="s">
        <v>156</v>
      </c>
      <c r="D3156" s="98">
        <v>126278.00070084</v>
      </c>
      <c r="E3156" s="98">
        <v>64234.552672913</v>
      </c>
      <c r="F3156" s="98">
        <v>62205.393098918299</v>
      </c>
    </row>
    <row r="3157" spans="1:6" hidden="1" x14ac:dyDescent="0.2">
      <c r="A3157" s="97" t="s">
        <v>187</v>
      </c>
      <c r="B3157" s="97" t="s">
        <v>5</v>
      </c>
      <c r="C3157" s="97" t="s">
        <v>157</v>
      </c>
      <c r="D3157" s="99">
        <v>1.7617842536451001</v>
      </c>
      <c r="E3157" s="99">
        <v>1.7709961227801501</v>
      </c>
      <c r="F3157" s="99">
        <v>1.9154807052035501</v>
      </c>
    </row>
    <row r="3158" spans="1:6" hidden="1" x14ac:dyDescent="0.2">
      <c r="A3158" s="97" t="s">
        <v>187</v>
      </c>
      <c r="B3158" s="97" t="s">
        <v>5</v>
      </c>
      <c r="C3158" s="97" t="s">
        <v>158</v>
      </c>
      <c r="D3158" s="99">
        <v>0.99658893505127</v>
      </c>
      <c r="E3158" s="99">
        <v>0.94685291681109995</v>
      </c>
      <c r="F3158" s="99">
        <v>1.06526605148397</v>
      </c>
    </row>
    <row r="3159" spans="1:6" hidden="1" x14ac:dyDescent="0.2">
      <c r="A3159" s="100" t="s">
        <v>187</v>
      </c>
      <c r="B3159" s="100" t="s">
        <v>6</v>
      </c>
      <c r="C3159" s="100" t="s">
        <v>153</v>
      </c>
      <c r="D3159" s="101">
        <v>126639</v>
      </c>
      <c r="E3159" s="101">
        <v>63992</v>
      </c>
      <c r="F3159" s="101">
        <v>62647</v>
      </c>
    </row>
    <row r="3160" spans="1:6" hidden="1" x14ac:dyDescent="0.2">
      <c r="A3160" s="102" t="s">
        <v>187</v>
      </c>
      <c r="B3160" s="102" t="s">
        <v>6</v>
      </c>
      <c r="C3160" s="102" t="s">
        <v>154</v>
      </c>
      <c r="D3160" s="103">
        <v>2256.9108328099201</v>
      </c>
      <c r="E3160" s="103">
        <v>1175.63773643842</v>
      </c>
      <c r="F3160" s="103">
        <v>1182.78717607664</v>
      </c>
    </row>
    <row r="3161" spans="1:6" hidden="1" x14ac:dyDescent="0.2">
      <c r="A3161" s="102" t="s">
        <v>187</v>
      </c>
      <c r="B3161" s="102" t="s">
        <v>6</v>
      </c>
      <c r="C3161" s="102" t="s">
        <v>155</v>
      </c>
      <c r="D3161" s="103">
        <v>122925.98467019601</v>
      </c>
      <c r="E3161" s="103">
        <v>62057.869118871502</v>
      </c>
      <c r="F3161" s="103">
        <v>60701.107033019398</v>
      </c>
    </row>
    <row r="3162" spans="1:6" hidden="1" x14ac:dyDescent="0.2">
      <c r="A3162" s="102" t="s">
        <v>187</v>
      </c>
      <c r="B3162" s="102" t="s">
        <v>6</v>
      </c>
      <c r="C3162" s="102" t="s">
        <v>156</v>
      </c>
      <c r="D3162" s="103">
        <v>130352.01532980301</v>
      </c>
      <c r="E3162" s="103">
        <v>65926.130881128396</v>
      </c>
      <c r="F3162" s="103">
        <v>64592.892966980602</v>
      </c>
    </row>
    <row r="3163" spans="1:6" hidden="1" x14ac:dyDescent="0.2">
      <c r="A3163" s="102" t="s">
        <v>187</v>
      </c>
      <c r="B3163" s="102" t="s">
        <v>6</v>
      </c>
      <c r="C3163" s="102" t="s">
        <v>157</v>
      </c>
      <c r="D3163" s="104">
        <v>1.7821609715884701</v>
      </c>
      <c r="E3163" s="104">
        <v>1.83716360863612</v>
      </c>
      <c r="F3163" s="104">
        <v>1.8880188613607101</v>
      </c>
    </row>
    <row r="3164" spans="1:6" hidden="1" x14ac:dyDescent="0.2">
      <c r="A3164" s="102" t="s">
        <v>187</v>
      </c>
      <c r="B3164" s="102" t="s">
        <v>6</v>
      </c>
      <c r="C3164" s="102" t="s">
        <v>158</v>
      </c>
      <c r="D3164" s="104">
        <v>1.0194397558132899</v>
      </c>
      <c r="E3164" s="104">
        <v>0.99674699298346003</v>
      </c>
      <c r="F3164" s="104">
        <v>1.06188405918174</v>
      </c>
    </row>
    <row r="3165" spans="1:6" hidden="1" x14ac:dyDescent="0.2">
      <c r="A3165" s="95" t="s">
        <v>187</v>
      </c>
      <c r="B3165" s="95" t="s">
        <v>7</v>
      </c>
      <c r="C3165" s="95" t="s">
        <v>153</v>
      </c>
      <c r="D3165" s="96">
        <v>118438</v>
      </c>
      <c r="E3165" s="96">
        <v>59881</v>
      </c>
      <c r="F3165" s="96">
        <v>58557</v>
      </c>
    </row>
    <row r="3166" spans="1:6" hidden="1" x14ac:dyDescent="0.2">
      <c r="A3166" s="97" t="s">
        <v>187</v>
      </c>
      <c r="B3166" s="97" t="s">
        <v>7</v>
      </c>
      <c r="C3166" s="97" t="s">
        <v>154</v>
      </c>
      <c r="D3166" s="98">
        <v>1887.78397427144</v>
      </c>
      <c r="E3166" s="98">
        <v>1017.69116537736</v>
      </c>
      <c r="F3166" s="98">
        <v>970.09523319413802</v>
      </c>
    </row>
    <row r="3167" spans="1:6" hidden="1" x14ac:dyDescent="0.2">
      <c r="A3167" s="97" t="s">
        <v>187</v>
      </c>
      <c r="B3167" s="97" t="s">
        <v>7</v>
      </c>
      <c r="C3167" s="97" t="s">
        <v>155</v>
      </c>
      <c r="D3167" s="98">
        <v>115332.263285049</v>
      </c>
      <c r="E3167" s="98">
        <v>58206.719012413603</v>
      </c>
      <c r="F3167" s="98">
        <v>56961.022693384701</v>
      </c>
    </row>
    <row r="3168" spans="1:6" hidden="1" x14ac:dyDescent="0.2">
      <c r="A3168" s="97" t="s">
        <v>187</v>
      </c>
      <c r="B3168" s="97" t="s">
        <v>7</v>
      </c>
      <c r="C3168" s="97" t="s">
        <v>156</v>
      </c>
      <c r="D3168" s="98">
        <v>121543.73671495001</v>
      </c>
      <c r="E3168" s="98">
        <v>61555.280987586302</v>
      </c>
      <c r="F3168" s="98">
        <v>60152.977306615197</v>
      </c>
    </row>
    <row r="3169" spans="1:6" hidden="1" x14ac:dyDescent="0.2">
      <c r="A3169" s="97" t="s">
        <v>187</v>
      </c>
      <c r="B3169" s="97" t="s">
        <v>7</v>
      </c>
      <c r="C3169" s="97" t="s">
        <v>157</v>
      </c>
      <c r="D3169" s="99">
        <v>1.59390058450112</v>
      </c>
      <c r="E3169" s="99">
        <v>1.69952266224238</v>
      </c>
      <c r="F3169" s="99">
        <v>1.65666826031753</v>
      </c>
    </row>
    <row r="3170" spans="1:6" hidden="1" x14ac:dyDescent="0.2">
      <c r="A3170" s="97" t="s">
        <v>187</v>
      </c>
      <c r="B3170" s="97" t="s">
        <v>7</v>
      </c>
      <c r="C3170" s="97" t="s">
        <v>158</v>
      </c>
      <c r="D3170" s="99">
        <v>0.83782665588411998</v>
      </c>
      <c r="E3170" s="99">
        <v>0.87312350316599996</v>
      </c>
      <c r="F3170" s="99">
        <v>0.84040127973629997</v>
      </c>
    </row>
    <row r="3171" spans="1:6" hidden="1" x14ac:dyDescent="0.2">
      <c r="A3171" s="100" t="s">
        <v>187</v>
      </c>
      <c r="B3171" s="100" t="s">
        <v>8</v>
      </c>
      <c r="C3171" s="100" t="s">
        <v>153</v>
      </c>
      <c r="D3171" s="101">
        <v>117038</v>
      </c>
      <c r="E3171" s="101">
        <v>57628</v>
      </c>
      <c r="F3171" s="101">
        <v>59410</v>
      </c>
    </row>
    <row r="3172" spans="1:6" hidden="1" x14ac:dyDescent="0.2">
      <c r="A3172" s="102" t="s">
        <v>187</v>
      </c>
      <c r="B3172" s="102" t="s">
        <v>8</v>
      </c>
      <c r="C3172" s="102" t="s">
        <v>154</v>
      </c>
      <c r="D3172" s="103">
        <v>1978.2660075942399</v>
      </c>
      <c r="E3172" s="103">
        <v>1040.85427976457</v>
      </c>
      <c r="F3172" s="103">
        <v>1022.96566391534</v>
      </c>
    </row>
    <row r="3173" spans="1:6" hidden="1" x14ac:dyDescent="0.2">
      <c r="A3173" s="102" t="s">
        <v>187</v>
      </c>
      <c r="B3173" s="102" t="s">
        <v>8</v>
      </c>
      <c r="C3173" s="102" t="s">
        <v>155</v>
      </c>
      <c r="D3173" s="103">
        <v>113783.404423673</v>
      </c>
      <c r="E3173" s="103">
        <v>55915.611614657602</v>
      </c>
      <c r="F3173" s="103">
        <v>57727.041534489399</v>
      </c>
    </row>
    <row r="3174" spans="1:6" hidden="1" x14ac:dyDescent="0.2">
      <c r="A3174" s="102" t="s">
        <v>187</v>
      </c>
      <c r="B3174" s="102" t="s">
        <v>8</v>
      </c>
      <c r="C3174" s="102" t="s">
        <v>156</v>
      </c>
      <c r="D3174" s="103">
        <v>120292.595576326</v>
      </c>
      <c r="E3174" s="103">
        <v>59340.388385342303</v>
      </c>
      <c r="F3174" s="103">
        <v>61092.958465510499</v>
      </c>
    </row>
    <row r="3175" spans="1:6" hidden="1" x14ac:dyDescent="0.2">
      <c r="A3175" s="102" t="s">
        <v>187</v>
      </c>
      <c r="B3175" s="102" t="s">
        <v>8</v>
      </c>
      <c r="C3175" s="102" t="s">
        <v>157</v>
      </c>
      <c r="D3175" s="104">
        <v>1.69027666876932</v>
      </c>
      <c r="E3175" s="104">
        <v>1.80616068536921</v>
      </c>
      <c r="F3175" s="104">
        <v>1.7218745394973001</v>
      </c>
    </row>
    <row r="3176" spans="1:6" hidden="1" x14ac:dyDescent="0.2">
      <c r="A3176" s="102" t="s">
        <v>187</v>
      </c>
      <c r="B3176" s="102" t="s">
        <v>8</v>
      </c>
      <c r="C3176" s="102" t="s">
        <v>158</v>
      </c>
      <c r="D3176" s="104">
        <v>0.91931080205210003</v>
      </c>
      <c r="E3176" s="104">
        <v>0.97399724190862003</v>
      </c>
      <c r="F3176" s="104">
        <v>0.88851648540879002</v>
      </c>
    </row>
    <row r="3177" spans="1:6" hidden="1" x14ac:dyDescent="0.2">
      <c r="A3177" s="95" t="s">
        <v>187</v>
      </c>
      <c r="B3177" s="95" t="s">
        <v>9</v>
      </c>
      <c r="C3177" s="95" t="s">
        <v>153</v>
      </c>
      <c r="D3177" s="96">
        <v>98880</v>
      </c>
      <c r="E3177" s="96">
        <v>46566</v>
      </c>
      <c r="F3177" s="96">
        <v>52314</v>
      </c>
    </row>
    <row r="3178" spans="1:6" hidden="1" x14ac:dyDescent="0.2">
      <c r="A3178" s="97" t="s">
        <v>187</v>
      </c>
      <c r="B3178" s="97" t="s">
        <v>9</v>
      </c>
      <c r="C3178" s="97" t="s">
        <v>154</v>
      </c>
      <c r="D3178" s="98">
        <v>2043.59113918869</v>
      </c>
      <c r="E3178" s="98">
        <v>1027.9798471036499</v>
      </c>
      <c r="F3178" s="98">
        <v>1084.5867100589601</v>
      </c>
    </row>
    <row r="3179" spans="1:6" hidden="1" x14ac:dyDescent="0.2">
      <c r="A3179" s="97" t="s">
        <v>187</v>
      </c>
      <c r="B3179" s="97" t="s">
        <v>9</v>
      </c>
      <c r="C3179" s="97" t="s">
        <v>155</v>
      </c>
      <c r="D3179" s="98">
        <v>95517.933090954102</v>
      </c>
      <c r="E3179" s="98">
        <v>44874.792321107103</v>
      </c>
      <c r="F3179" s="98">
        <v>50529.664073916501</v>
      </c>
    </row>
    <row r="3180" spans="1:6" hidden="1" x14ac:dyDescent="0.2">
      <c r="A3180" s="97" t="s">
        <v>187</v>
      </c>
      <c r="B3180" s="97" t="s">
        <v>9</v>
      </c>
      <c r="C3180" s="97" t="s">
        <v>156</v>
      </c>
      <c r="D3180" s="98">
        <v>102242.066909045</v>
      </c>
      <c r="E3180" s="98">
        <v>48257.207678892803</v>
      </c>
      <c r="F3180" s="98">
        <v>54098.335926083397</v>
      </c>
    </row>
    <row r="3181" spans="1:6" hidden="1" x14ac:dyDescent="0.2">
      <c r="A3181" s="97" t="s">
        <v>187</v>
      </c>
      <c r="B3181" s="97" t="s">
        <v>9</v>
      </c>
      <c r="C3181" s="97" t="s">
        <v>157</v>
      </c>
      <c r="D3181" s="99">
        <v>2.06673861163905</v>
      </c>
      <c r="E3181" s="99">
        <v>2.2075760149114201</v>
      </c>
      <c r="F3181" s="99">
        <v>2.0732245862655501</v>
      </c>
    </row>
    <row r="3182" spans="1:6" hidden="1" x14ac:dyDescent="0.2">
      <c r="A3182" s="97" t="s">
        <v>187</v>
      </c>
      <c r="B3182" s="97" t="s">
        <v>9</v>
      </c>
      <c r="C3182" s="97" t="s">
        <v>158</v>
      </c>
      <c r="D3182" s="99">
        <v>1.33994305705265</v>
      </c>
      <c r="E3182" s="99">
        <v>1.40445111804871</v>
      </c>
      <c r="F3182" s="99">
        <v>1.26110743170053</v>
      </c>
    </row>
    <row r="3183" spans="1:6" hidden="1" x14ac:dyDescent="0.2">
      <c r="A3183" s="100" t="s">
        <v>187</v>
      </c>
      <c r="B3183" s="100" t="s">
        <v>10</v>
      </c>
      <c r="C3183" s="100" t="s">
        <v>153</v>
      </c>
      <c r="D3183" s="101">
        <v>96361</v>
      </c>
      <c r="E3183" s="101">
        <v>43734</v>
      </c>
      <c r="F3183" s="101">
        <v>52627</v>
      </c>
    </row>
    <row r="3184" spans="1:6" hidden="1" x14ac:dyDescent="0.2">
      <c r="A3184" s="102" t="s">
        <v>187</v>
      </c>
      <c r="B3184" s="102" t="s">
        <v>10</v>
      </c>
      <c r="C3184" s="102" t="s">
        <v>154</v>
      </c>
      <c r="D3184" s="103">
        <v>1826.71552771866</v>
      </c>
      <c r="E3184" s="103">
        <v>892.61031242124</v>
      </c>
      <c r="F3184" s="103">
        <v>1001.23286696669</v>
      </c>
    </row>
    <row r="3185" spans="1:6" hidden="1" x14ac:dyDescent="0.2">
      <c r="A3185" s="102" t="s">
        <v>187</v>
      </c>
      <c r="B3185" s="102" t="s">
        <v>10</v>
      </c>
      <c r="C3185" s="102" t="s">
        <v>155</v>
      </c>
      <c r="D3185" s="103">
        <v>93355.731622088802</v>
      </c>
      <c r="E3185" s="103">
        <v>42265.4990183134</v>
      </c>
      <c r="F3185" s="103">
        <v>50979.795808454001</v>
      </c>
    </row>
    <row r="3186" spans="1:6" hidden="1" x14ac:dyDescent="0.2">
      <c r="A3186" s="102" t="s">
        <v>187</v>
      </c>
      <c r="B3186" s="102" t="s">
        <v>10</v>
      </c>
      <c r="C3186" s="102" t="s">
        <v>156</v>
      </c>
      <c r="D3186" s="103">
        <v>99366.268377911096</v>
      </c>
      <c r="E3186" s="103">
        <v>45202.500981686499</v>
      </c>
      <c r="F3186" s="103">
        <v>54274.204191545999</v>
      </c>
    </row>
    <row r="3187" spans="1:6" hidden="1" x14ac:dyDescent="0.2">
      <c r="A3187" s="102" t="s">
        <v>187</v>
      </c>
      <c r="B3187" s="102" t="s">
        <v>10</v>
      </c>
      <c r="C3187" s="102" t="s">
        <v>157</v>
      </c>
      <c r="D3187" s="104">
        <v>1.89570005263401</v>
      </c>
      <c r="E3187" s="104">
        <v>2.0409985650094602</v>
      </c>
      <c r="F3187" s="104">
        <v>1.9025079654297099</v>
      </c>
    </row>
    <row r="3188" spans="1:6" hidden="1" x14ac:dyDescent="0.2">
      <c r="A3188" s="102" t="s">
        <v>187</v>
      </c>
      <c r="B3188" s="102" t="s">
        <v>10</v>
      </c>
      <c r="C3188" s="102" t="s">
        <v>158</v>
      </c>
      <c r="D3188" s="104">
        <v>1.08699607668414</v>
      </c>
      <c r="E3188" s="104">
        <v>1.16272822989104</v>
      </c>
      <c r="F3188" s="104">
        <v>1.02961613849973</v>
      </c>
    </row>
    <row r="3189" spans="1:6" hidden="1" x14ac:dyDescent="0.2">
      <c r="A3189" s="95" t="s">
        <v>187</v>
      </c>
      <c r="B3189" s="95" t="s">
        <v>11</v>
      </c>
      <c r="C3189" s="95" t="s">
        <v>153</v>
      </c>
      <c r="D3189" s="96">
        <v>92148</v>
      </c>
      <c r="E3189" s="96">
        <v>42619</v>
      </c>
      <c r="F3189" s="96">
        <v>49529</v>
      </c>
    </row>
    <row r="3190" spans="1:6" hidden="1" x14ac:dyDescent="0.2">
      <c r="A3190" s="97" t="s">
        <v>187</v>
      </c>
      <c r="B3190" s="97" t="s">
        <v>11</v>
      </c>
      <c r="C3190" s="97" t="s">
        <v>154</v>
      </c>
      <c r="D3190" s="98">
        <v>1554.0587311071899</v>
      </c>
      <c r="E3190" s="98">
        <v>797.12817780398802</v>
      </c>
      <c r="F3190" s="98">
        <v>828.60186886832196</v>
      </c>
    </row>
    <row r="3191" spans="1:6" hidden="1" x14ac:dyDescent="0.2">
      <c r="A3191" s="97" t="s">
        <v>187</v>
      </c>
      <c r="B3191" s="97" t="s">
        <v>11</v>
      </c>
      <c r="C3191" s="97" t="s">
        <v>155</v>
      </c>
      <c r="D3191" s="98">
        <v>89591.300015166606</v>
      </c>
      <c r="E3191" s="98">
        <v>41307.583925879197</v>
      </c>
      <c r="F3191" s="98">
        <v>48165.804167588103</v>
      </c>
    </row>
    <row r="3192" spans="1:6" hidden="1" x14ac:dyDescent="0.2">
      <c r="A3192" s="97" t="s">
        <v>187</v>
      </c>
      <c r="B3192" s="97" t="s">
        <v>11</v>
      </c>
      <c r="C3192" s="97" t="s">
        <v>156</v>
      </c>
      <c r="D3192" s="98">
        <v>94704.699984833307</v>
      </c>
      <c r="E3192" s="98">
        <v>43930.416074120702</v>
      </c>
      <c r="F3192" s="98">
        <v>50892.195832411802</v>
      </c>
    </row>
    <row r="3193" spans="1:6" hidden="1" x14ac:dyDescent="0.2">
      <c r="A3193" s="97" t="s">
        <v>187</v>
      </c>
      <c r="B3193" s="97" t="s">
        <v>11</v>
      </c>
      <c r="C3193" s="97" t="s">
        <v>157</v>
      </c>
      <c r="D3193" s="99">
        <v>1.6864812379077101</v>
      </c>
      <c r="E3193" s="99">
        <v>1.8703587080972901</v>
      </c>
      <c r="F3193" s="99">
        <v>1.6729630496644801</v>
      </c>
    </row>
    <row r="3194" spans="1:6" hidden="1" x14ac:dyDescent="0.2">
      <c r="A3194" s="97" t="s">
        <v>187</v>
      </c>
      <c r="B3194" s="97" t="s">
        <v>11</v>
      </c>
      <c r="C3194" s="97" t="s">
        <v>158</v>
      </c>
      <c r="D3194" s="99">
        <v>0.86371120608574004</v>
      </c>
      <c r="E3194" s="99">
        <v>0.95298032919603004</v>
      </c>
      <c r="F3194" s="99">
        <v>0.81424664078243003</v>
      </c>
    </row>
    <row r="3195" spans="1:6" hidden="1" x14ac:dyDescent="0.2">
      <c r="A3195" s="100" t="s">
        <v>187</v>
      </c>
      <c r="B3195" s="100" t="s">
        <v>12</v>
      </c>
      <c r="C3195" s="100" t="s">
        <v>153</v>
      </c>
      <c r="D3195" s="101">
        <v>84904</v>
      </c>
      <c r="E3195" s="101">
        <v>39190</v>
      </c>
      <c r="F3195" s="101">
        <v>45714</v>
      </c>
    </row>
    <row r="3196" spans="1:6" hidden="1" x14ac:dyDescent="0.2">
      <c r="A3196" s="102" t="s">
        <v>187</v>
      </c>
      <c r="B3196" s="102" t="s">
        <v>12</v>
      </c>
      <c r="C3196" s="102" t="s">
        <v>154</v>
      </c>
      <c r="D3196" s="103">
        <v>1626.00030212315</v>
      </c>
      <c r="E3196" s="103">
        <v>820.154982451725</v>
      </c>
      <c r="F3196" s="103">
        <v>876.65034937693702</v>
      </c>
    </row>
    <row r="3197" spans="1:6" hidden="1" x14ac:dyDescent="0.2">
      <c r="A3197" s="102" t="s">
        <v>187</v>
      </c>
      <c r="B3197" s="102" t="s">
        <v>12</v>
      </c>
      <c r="C3197" s="102" t="s">
        <v>155</v>
      </c>
      <c r="D3197" s="103">
        <v>82228.943475710505</v>
      </c>
      <c r="E3197" s="103">
        <v>37840.700781622698</v>
      </c>
      <c r="F3197" s="103">
        <v>44271.755965014701</v>
      </c>
    </row>
    <row r="3198" spans="1:6" hidden="1" x14ac:dyDescent="0.2">
      <c r="A3198" s="102" t="s">
        <v>187</v>
      </c>
      <c r="B3198" s="102" t="s">
        <v>12</v>
      </c>
      <c r="C3198" s="102" t="s">
        <v>156</v>
      </c>
      <c r="D3198" s="103">
        <v>87579.056524289394</v>
      </c>
      <c r="E3198" s="103">
        <v>40539.2992183772</v>
      </c>
      <c r="F3198" s="103">
        <v>47156.244034985299</v>
      </c>
    </row>
    <row r="3199" spans="1:6" hidden="1" x14ac:dyDescent="0.2">
      <c r="A3199" s="102" t="s">
        <v>187</v>
      </c>
      <c r="B3199" s="102" t="s">
        <v>12</v>
      </c>
      <c r="C3199" s="102" t="s">
        <v>157</v>
      </c>
      <c r="D3199" s="104">
        <v>1.91510447343253</v>
      </c>
      <c r="E3199" s="104">
        <v>2.0927659669602501</v>
      </c>
      <c r="F3199" s="104">
        <v>1.91768462479095</v>
      </c>
    </row>
    <row r="3200" spans="1:6" hidden="1" x14ac:dyDescent="0.2">
      <c r="A3200" s="102" t="s">
        <v>187</v>
      </c>
      <c r="B3200" s="102" t="s">
        <v>12</v>
      </c>
      <c r="C3200" s="102" t="s">
        <v>158</v>
      </c>
      <c r="D3200" s="104">
        <v>1.1238384669969499</v>
      </c>
      <c r="E3200" s="104">
        <v>1.2297886554961399</v>
      </c>
      <c r="F3200" s="104">
        <v>1.0461648806421699</v>
      </c>
    </row>
    <row r="3201" spans="1:6" hidden="1" x14ac:dyDescent="0.2">
      <c r="A3201" s="95" t="s">
        <v>187</v>
      </c>
      <c r="B3201" s="95" t="s">
        <v>13</v>
      </c>
      <c r="C3201" s="95" t="s">
        <v>153</v>
      </c>
      <c r="D3201" s="96">
        <v>69611</v>
      </c>
      <c r="E3201" s="96">
        <v>32207</v>
      </c>
      <c r="F3201" s="96">
        <v>37404</v>
      </c>
    </row>
    <row r="3202" spans="1:6" hidden="1" x14ac:dyDescent="0.2">
      <c r="A3202" s="97" t="s">
        <v>187</v>
      </c>
      <c r="B3202" s="97" t="s">
        <v>13</v>
      </c>
      <c r="C3202" s="97" t="s">
        <v>154</v>
      </c>
      <c r="D3202" s="98">
        <v>1250.1911991417201</v>
      </c>
      <c r="E3202" s="98">
        <v>657.29061861343803</v>
      </c>
      <c r="F3202" s="98">
        <v>673.92011880829205</v>
      </c>
    </row>
    <row r="3203" spans="1:6" hidden="1" x14ac:dyDescent="0.2">
      <c r="A3203" s="97" t="s">
        <v>187</v>
      </c>
      <c r="B3203" s="97" t="s">
        <v>13</v>
      </c>
      <c r="C3203" s="97" t="s">
        <v>155</v>
      </c>
      <c r="D3203" s="98">
        <v>67554.215558135795</v>
      </c>
      <c r="E3203" s="98">
        <v>31125.641309364899</v>
      </c>
      <c r="F3203" s="98">
        <v>36295.282856273698</v>
      </c>
    </row>
    <row r="3204" spans="1:6" hidden="1" x14ac:dyDescent="0.2">
      <c r="A3204" s="97" t="s">
        <v>187</v>
      </c>
      <c r="B3204" s="97" t="s">
        <v>13</v>
      </c>
      <c r="C3204" s="97" t="s">
        <v>156</v>
      </c>
      <c r="D3204" s="98">
        <v>71667.784441864103</v>
      </c>
      <c r="E3204" s="98">
        <v>33288.358690635003</v>
      </c>
      <c r="F3204" s="98">
        <v>38512.7171437262</v>
      </c>
    </row>
    <row r="3205" spans="1:6" hidden="1" x14ac:dyDescent="0.2">
      <c r="A3205" s="97" t="s">
        <v>187</v>
      </c>
      <c r="B3205" s="97" t="s">
        <v>13</v>
      </c>
      <c r="C3205" s="97" t="s">
        <v>157</v>
      </c>
      <c r="D3205" s="99">
        <v>1.7959678774069101</v>
      </c>
      <c r="E3205" s="99">
        <v>2.0408315540517199</v>
      </c>
      <c r="F3205" s="99">
        <v>1.80173275266894</v>
      </c>
    </row>
    <row r="3206" spans="1:6" hidden="1" x14ac:dyDescent="0.2">
      <c r="A3206" s="97" t="s">
        <v>187</v>
      </c>
      <c r="B3206" s="97" t="s">
        <v>13</v>
      </c>
      <c r="C3206" s="97" t="s">
        <v>158</v>
      </c>
      <c r="D3206" s="99">
        <v>0.99688441454927001</v>
      </c>
      <c r="E3206" s="99">
        <v>1.15351228616837</v>
      </c>
      <c r="F3206" s="99">
        <v>0.92179312707161998</v>
      </c>
    </row>
    <row r="3207" spans="1:6" hidden="1" x14ac:dyDescent="0.2">
      <c r="A3207" s="100" t="s">
        <v>187</v>
      </c>
      <c r="B3207" s="100" t="s">
        <v>14</v>
      </c>
      <c r="C3207" s="100" t="s">
        <v>153</v>
      </c>
      <c r="D3207" s="101">
        <v>62559</v>
      </c>
      <c r="E3207" s="101">
        <v>29010</v>
      </c>
      <c r="F3207" s="101">
        <v>33549</v>
      </c>
    </row>
    <row r="3208" spans="1:6" hidden="1" x14ac:dyDescent="0.2">
      <c r="A3208" s="102" t="s">
        <v>187</v>
      </c>
      <c r="B3208" s="102" t="s">
        <v>14</v>
      </c>
      <c r="C3208" s="102" t="s">
        <v>154</v>
      </c>
      <c r="D3208" s="103">
        <v>1064.10644105293</v>
      </c>
      <c r="E3208" s="103">
        <v>557.34635962383095</v>
      </c>
      <c r="F3208" s="103">
        <v>584.99071617119398</v>
      </c>
    </row>
    <row r="3209" spans="1:6" hidden="1" x14ac:dyDescent="0.2">
      <c r="A3209" s="102" t="s">
        <v>187</v>
      </c>
      <c r="B3209" s="102" t="s">
        <v>14</v>
      </c>
      <c r="C3209" s="102" t="s">
        <v>155</v>
      </c>
      <c r="D3209" s="103">
        <v>60808.357719085099</v>
      </c>
      <c r="E3209" s="103">
        <v>28093.067196448901</v>
      </c>
      <c r="F3209" s="103">
        <v>32586.587367050801</v>
      </c>
    </row>
    <row r="3210" spans="1:6" hidden="1" x14ac:dyDescent="0.2">
      <c r="A3210" s="102" t="s">
        <v>187</v>
      </c>
      <c r="B3210" s="102" t="s">
        <v>14</v>
      </c>
      <c r="C3210" s="102" t="s">
        <v>156</v>
      </c>
      <c r="D3210" s="103">
        <v>64309.642280914799</v>
      </c>
      <c r="E3210" s="103">
        <v>29926.932803551099</v>
      </c>
      <c r="F3210" s="103">
        <v>34511.412632949097</v>
      </c>
    </row>
    <row r="3211" spans="1:6" hidden="1" x14ac:dyDescent="0.2">
      <c r="A3211" s="102" t="s">
        <v>187</v>
      </c>
      <c r="B3211" s="102" t="s">
        <v>14</v>
      </c>
      <c r="C3211" s="102" t="s">
        <v>157</v>
      </c>
      <c r="D3211" s="104">
        <v>1.7009645951069099</v>
      </c>
      <c r="E3211" s="104">
        <v>1.9212215085275099</v>
      </c>
      <c r="F3211" s="104">
        <v>1.74369047116514</v>
      </c>
    </row>
    <row r="3212" spans="1:6" hidden="1" x14ac:dyDescent="0.2">
      <c r="A3212" s="102" t="s">
        <v>187</v>
      </c>
      <c r="B3212" s="102" t="s">
        <v>14</v>
      </c>
      <c r="C3212" s="102" t="s">
        <v>158</v>
      </c>
      <c r="D3212" s="104">
        <v>0.88361306357470004</v>
      </c>
      <c r="E3212" s="104">
        <v>1.0105517174553</v>
      </c>
      <c r="F3212" s="104">
        <v>0.84689979734085996</v>
      </c>
    </row>
    <row r="3213" spans="1:6" hidden="1" x14ac:dyDescent="0.2">
      <c r="A3213" s="95" t="s">
        <v>187</v>
      </c>
      <c r="B3213" s="95" t="s">
        <v>15</v>
      </c>
      <c r="C3213" s="95" t="s">
        <v>153</v>
      </c>
      <c r="D3213" s="96">
        <v>48306</v>
      </c>
      <c r="E3213" s="96">
        <v>22488</v>
      </c>
      <c r="F3213" s="96">
        <v>25818</v>
      </c>
    </row>
    <row r="3214" spans="1:6" hidden="1" x14ac:dyDescent="0.2">
      <c r="A3214" s="97" t="s">
        <v>187</v>
      </c>
      <c r="B3214" s="97" t="s">
        <v>15</v>
      </c>
      <c r="C3214" s="97" t="s">
        <v>154</v>
      </c>
      <c r="D3214" s="98">
        <v>965.37600685967698</v>
      </c>
      <c r="E3214" s="98">
        <v>529.50406763503099</v>
      </c>
      <c r="F3214" s="98">
        <v>504.69545615079397</v>
      </c>
    </row>
    <row r="3215" spans="1:6" hidden="1" x14ac:dyDescent="0.2">
      <c r="A3215" s="97" t="s">
        <v>187</v>
      </c>
      <c r="B3215" s="97" t="s">
        <v>15</v>
      </c>
      <c r="C3215" s="97" t="s">
        <v>155</v>
      </c>
      <c r="D3215" s="98">
        <v>46717.786650857</v>
      </c>
      <c r="E3215" s="98">
        <v>21616.872664466599</v>
      </c>
      <c r="F3215" s="98">
        <v>24987.6871944042</v>
      </c>
    </row>
    <row r="3216" spans="1:6" hidden="1" x14ac:dyDescent="0.2">
      <c r="A3216" s="97" t="s">
        <v>187</v>
      </c>
      <c r="B3216" s="97" t="s">
        <v>15</v>
      </c>
      <c r="C3216" s="97" t="s">
        <v>156</v>
      </c>
      <c r="D3216" s="98">
        <v>49894.213349142898</v>
      </c>
      <c r="E3216" s="98">
        <v>23359.1273355333</v>
      </c>
      <c r="F3216" s="98">
        <v>26648.312805595699</v>
      </c>
    </row>
    <row r="3217" spans="1:6" hidden="1" x14ac:dyDescent="0.2">
      <c r="A3217" s="97" t="s">
        <v>187</v>
      </c>
      <c r="B3217" s="97" t="s">
        <v>15</v>
      </c>
      <c r="C3217" s="97" t="s">
        <v>157</v>
      </c>
      <c r="D3217" s="99">
        <v>1.9984598328565299</v>
      </c>
      <c r="E3217" s="99">
        <v>2.3546072022190998</v>
      </c>
      <c r="F3217" s="99">
        <v>1.95482011058484</v>
      </c>
    </row>
    <row r="3218" spans="1:6" hidden="1" x14ac:dyDescent="0.2">
      <c r="A3218" s="97" t="s">
        <v>187</v>
      </c>
      <c r="B3218" s="97" t="s">
        <v>15</v>
      </c>
      <c r="C3218" s="97" t="s">
        <v>158</v>
      </c>
      <c r="D3218" s="99">
        <v>1.1371566048112101</v>
      </c>
      <c r="E3218" s="99">
        <v>1.3704498253227799</v>
      </c>
      <c r="F3218" s="99">
        <v>0.98849192316205003</v>
      </c>
    </row>
    <row r="3219" spans="1:6" hidden="1" x14ac:dyDescent="0.2">
      <c r="A3219" s="100" t="s">
        <v>187</v>
      </c>
      <c r="B3219" s="100" t="s">
        <v>16</v>
      </c>
      <c r="C3219" s="100" t="s">
        <v>153</v>
      </c>
      <c r="D3219" s="101">
        <v>35989</v>
      </c>
      <c r="E3219" s="101">
        <v>16968</v>
      </c>
      <c r="F3219" s="101">
        <v>19021</v>
      </c>
    </row>
    <row r="3220" spans="1:6" hidden="1" x14ac:dyDescent="0.2">
      <c r="A3220" s="102" t="s">
        <v>187</v>
      </c>
      <c r="B3220" s="102" t="s">
        <v>16</v>
      </c>
      <c r="C3220" s="102" t="s">
        <v>154</v>
      </c>
      <c r="D3220" s="103">
        <v>597.99180007243501</v>
      </c>
      <c r="E3220" s="103">
        <v>324.90581717393599</v>
      </c>
      <c r="F3220" s="103">
        <v>354.84343471057798</v>
      </c>
    </row>
    <row r="3221" spans="1:6" hidden="1" x14ac:dyDescent="0.2">
      <c r="A3221" s="102" t="s">
        <v>187</v>
      </c>
      <c r="B3221" s="102" t="s">
        <v>16</v>
      </c>
      <c r="C3221" s="102" t="s">
        <v>155</v>
      </c>
      <c r="D3221" s="103">
        <v>35005.1982970319</v>
      </c>
      <c r="E3221" s="103">
        <v>16433.472777049301</v>
      </c>
      <c r="F3221" s="103">
        <v>18437.220129919799</v>
      </c>
    </row>
    <row r="3222" spans="1:6" hidden="1" x14ac:dyDescent="0.2">
      <c r="A3222" s="102" t="s">
        <v>187</v>
      </c>
      <c r="B3222" s="102" t="s">
        <v>16</v>
      </c>
      <c r="C3222" s="102" t="s">
        <v>156</v>
      </c>
      <c r="D3222" s="103">
        <v>36972.801702967998</v>
      </c>
      <c r="E3222" s="103">
        <v>17502.527222950601</v>
      </c>
      <c r="F3222" s="103">
        <v>19604.779870080201</v>
      </c>
    </row>
    <row r="3223" spans="1:6" hidden="1" x14ac:dyDescent="0.2">
      <c r="A3223" s="102" t="s">
        <v>187</v>
      </c>
      <c r="B3223" s="102" t="s">
        <v>16</v>
      </c>
      <c r="C3223" s="102" t="s">
        <v>157</v>
      </c>
      <c r="D3223" s="104">
        <v>1.6615960434367001</v>
      </c>
      <c r="E3223" s="104">
        <v>1.91481504699396</v>
      </c>
      <c r="F3223" s="104">
        <v>1.86553511755732</v>
      </c>
    </row>
    <row r="3224" spans="1:6" hidden="1" x14ac:dyDescent="0.2">
      <c r="A3224" s="102" t="s">
        <v>187</v>
      </c>
      <c r="B3224" s="102" t="s">
        <v>16</v>
      </c>
      <c r="C3224" s="102" t="s">
        <v>158</v>
      </c>
      <c r="D3224" s="104">
        <v>0.75036025488224001</v>
      </c>
      <c r="E3224" s="104">
        <v>0.83727972167057996</v>
      </c>
      <c r="F3224" s="104">
        <v>0.82327128241245995</v>
      </c>
    </row>
    <row r="3225" spans="1:6" hidden="1" x14ac:dyDescent="0.2">
      <c r="A3225" s="95" t="s">
        <v>187</v>
      </c>
      <c r="B3225" s="95" t="s">
        <v>17</v>
      </c>
      <c r="C3225" s="95" t="s">
        <v>153</v>
      </c>
      <c r="D3225" s="96">
        <v>27642</v>
      </c>
      <c r="E3225" s="96">
        <v>12904</v>
      </c>
      <c r="F3225" s="96">
        <v>14738</v>
      </c>
    </row>
    <row r="3226" spans="1:6" hidden="1" x14ac:dyDescent="0.2">
      <c r="A3226" s="97" t="s">
        <v>187</v>
      </c>
      <c r="B3226" s="97" t="s">
        <v>17</v>
      </c>
      <c r="C3226" s="97" t="s">
        <v>154</v>
      </c>
      <c r="D3226" s="98">
        <v>567.71672555729799</v>
      </c>
      <c r="E3226" s="98">
        <v>289.31138795820902</v>
      </c>
      <c r="F3226" s="98">
        <v>344.85797404294101</v>
      </c>
    </row>
    <row r="3227" spans="1:6" hidden="1" x14ac:dyDescent="0.2">
      <c r="A3227" s="97" t="s">
        <v>187</v>
      </c>
      <c r="B3227" s="97" t="s">
        <v>17</v>
      </c>
      <c r="C3227" s="97" t="s">
        <v>155</v>
      </c>
      <c r="D3227" s="98">
        <v>26708.006120252601</v>
      </c>
      <c r="E3227" s="98">
        <v>12428.031874472401</v>
      </c>
      <c r="F3227" s="98">
        <v>14170.6479692456</v>
      </c>
    </row>
    <row r="3228" spans="1:6" hidden="1" x14ac:dyDescent="0.2">
      <c r="A3228" s="97" t="s">
        <v>187</v>
      </c>
      <c r="B3228" s="97" t="s">
        <v>17</v>
      </c>
      <c r="C3228" s="97" t="s">
        <v>156</v>
      </c>
      <c r="D3228" s="98">
        <v>28575.993879747301</v>
      </c>
      <c r="E3228" s="98">
        <v>13379.968125527501</v>
      </c>
      <c r="F3228" s="98">
        <v>15305.3520307543</v>
      </c>
    </row>
    <row r="3229" spans="1:6" hidden="1" x14ac:dyDescent="0.2">
      <c r="A3229" s="97" t="s">
        <v>187</v>
      </c>
      <c r="B3229" s="97" t="s">
        <v>17</v>
      </c>
      <c r="C3229" s="97" t="s">
        <v>157</v>
      </c>
      <c r="D3229" s="99">
        <v>2.0538192806500901</v>
      </c>
      <c r="E3229" s="99">
        <v>2.24202873495202</v>
      </c>
      <c r="F3229" s="99">
        <v>2.3399238298476099</v>
      </c>
    </row>
    <row r="3230" spans="1:6" hidden="1" x14ac:dyDescent="0.2">
      <c r="A3230" s="97" t="s">
        <v>187</v>
      </c>
      <c r="B3230" s="97" t="s">
        <v>17</v>
      </c>
      <c r="C3230" s="97" t="s">
        <v>158</v>
      </c>
      <c r="D3230" s="99">
        <v>1.0734191212339199</v>
      </c>
      <c r="E3230" s="99">
        <v>1.0544396374759599</v>
      </c>
      <c r="F3230" s="99">
        <v>1.1741731530071999</v>
      </c>
    </row>
    <row r="3231" spans="1:6" hidden="1" x14ac:dyDescent="0.2">
      <c r="A3231" s="100" t="s">
        <v>187</v>
      </c>
      <c r="B3231" s="100" t="s">
        <v>18</v>
      </c>
      <c r="C3231" s="100" t="s">
        <v>153</v>
      </c>
      <c r="D3231" s="101">
        <v>20302</v>
      </c>
      <c r="E3231" s="101">
        <v>9642</v>
      </c>
      <c r="F3231" s="101">
        <v>10660</v>
      </c>
    </row>
    <row r="3232" spans="1:6" hidden="1" x14ac:dyDescent="0.2">
      <c r="A3232" s="102" t="s">
        <v>187</v>
      </c>
      <c r="B3232" s="102" t="s">
        <v>18</v>
      </c>
      <c r="C3232" s="102" t="s">
        <v>154</v>
      </c>
      <c r="D3232" s="103">
        <v>418.61024495796102</v>
      </c>
      <c r="E3232" s="103">
        <v>232.17508862204201</v>
      </c>
      <c r="F3232" s="103">
        <v>243.27389258868899</v>
      </c>
    </row>
    <row r="3233" spans="1:6" hidden="1" x14ac:dyDescent="0.2">
      <c r="A3233" s="102" t="s">
        <v>187</v>
      </c>
      <c r="B3233" s="102" t="s">
        <v>18</v>
      </c>
      <c r="C3233" s="102" t="s">
        <v>155</v>
      </c>
      <c r="D3233" s="103">
        <v>19613.312509938001</v>
      </c>
      <c r="E3233" s="103">
        <v>9260.0311376419104</v>
      </c>
      <c r="F3233" s="103">
        <v>10259.7716527426</v>
      </c>
    </row>
    <row r="3234" spans="1:6" hidden="1" x14ac:dyDescent="0.2">
      <c r="A3234" s="102" t="s">
        <v>187</v>
      </c>
      <c r="B3234" s="102" t="s">
        <v>18</v>
      </c>
      <c r="C3234" s="102" t="s">
        <v>156</v>
      </c>
      <c r="D3234" s="103">
        <v>20990.6874900619</v>
      </c>
      <c r="E3234" s="103">
        <v>10023.968862358</v>
      </c>
      <c r="F3234" s="103">
        <v>11060.2283472573</v>
      </c>
    </row>
    <row r="3235" spans="1:6" hidden="1" x14ac:dyDescent="0.2">
      <c r="A3235" s="102" t="s">
        <v>187</v>
      </c>
      <c r="B3235" s="102" t="s">
        <v>18</v>
      </c>
      <c r="C3235" s="102" t="s">
        <v>157</v>
      </c>
      <c r="D3235" s="104">
        <v>2.0619162888284901</v>
      </c>
      <c r="E3235" s="104">
        <v>2.4079557002908301</v>
      </c>
      <c r="F3235" s="104">
        <v>2.2821190674361098</v>
      </c>
    </row>
    <row r="3236" spans="1:6" hidden="1" x14ac:dyDescent="0.2">
      <c r="A3236" s="102" t="s">
        <v>187</v>
      </c>
      <c r="B3236" s="102" t="s">
        <v>18</v>
      </c>
      <c r="C3236" s="102" t="s">
        <v>158</v>
      </c>
      <c r="D3236" s="104">
        <v>0.97770292459468999</v>
      </c>
      <c r="E3236" s="104">
        <v>1.06892964135664</v>
      </c>
      <c r="F3236" s="104">
        <v>0.99160888784850998</v>
      </c>
    </row>
    <row r="3237" spans="1:6" hidden="1" x14ac:dyDescent="0.2">
      <c r="A3237" s="95" t="s">
        <v>187</v>
      </c>
      <c r="B3237" s="95" t="s">
        <v>19</v>
      </c>
      <c r="C3237" s="95" t="s">
        <v>153</v>
      </c>
      <c r="D3237" s="96">
        <v>35993</v>
      </c>
      <c r="E3237" s="96">
        <v>16486</v>
      </c>
      <c r="F3237" s="96">
        <v>19507</v>
      </c>
    </row>
    <row r="3238" spans="1:6" hidden="1" x14ac:dyDescent="0.2">
      <c r="A3238" s="97" t="s">
        <v>187</v>
      </c>
      <c r="B3238" s="97" t="s">
        <v>19</v>
      </c>
      <c r="C3238" s="97" t="s">
        <v>154</v>
      </c>
      <c r="D3238" s="98">
        <v>642.45645754242298</v>
      </c>
      <c r="E3238" s="98">
        <v>333.47111807067398</v>
      </c>
      <c r="F3238" s="98">
        <v>381.59723418916298</v>
      </c>
    </row>
    <row r="3239" spans="1:6" hidden="1" x14ac:dyDescent="0.2">
      <c r="A3239" s="97" t="s">
        <v>187</v>
      </c>
      <c r="B3239" s="97" t="s">
        <v>19</v>
      </c>
      <c r="C3239" s="97" t="s">
        <v>155</v>
      </c>
      <c r="D3239" s="98">
        <v>34936.0461137819</v>
      </c>
      <c r="E3239" s="98">
        <v>15937.3813503649</v>
      </c>
      <c r="F3239" s="98">
        <v>18879.205423556399</v>
      </c>
    </row>
    <row r="3240" spans="1:6" hidden="1" x14ac:dyDescent="0.2">
      <c r="A3240" s="97" t="s">
        <v>187</v>
      </c>
      <c r="B3240" s="97" t="s">
        <v>19</v>
      </c>
      <c r="C3240" s="97" t="s">
        <v>156</v>
      </c>
      <c r="D3240" s="98">
        <v>37049.953886217998</v>
      </c>
      <c r="E3240" s="98">
        <v>17034.6186496351</v>
      </c>
      <c r="F3240" s="98">
        <v>20134.794576443499</v>
      </c>
    </row>
    <row r="3241" spans="1:6" hidden="1" x14ac:dyDescent="0.2">
      <c r="A3241" s="97" t="s">
        <v>187</v>
      </c>
      <c r="B3241" s="97" t="s">
        <v>19</v>
      </c>
      <c r="C3241" s="97" t="s">
        <v>157</v>
      </c>
      <c r="D3241" s="99">
        <v>1.78494834424033</v>
      </c>
      <c r="E3241" s="99">
        <v>2.0227533547899701</v>
      </c>
      <c r="F3241" s="99">
        <v>1.9562066652440799</v>
      </c>
    </row>
    <row r="3242" spans="1:6" hidden="1" x14ac:dyDescent="0.2">
      <c r="A3242" s="97" t="s">
        <v>187</v>
      </c>
      <c r="B3242" s="97" t="s">
        <v>19</v>
      </c>
      <c r="C3242" s="97" t="s">
        <v>158</v>
      </c>
      <c r="D3242" s="99">
        <v>0.82666283896640003</v>
      </c>
      <c r="E3242" s="99">
        <v>0.92169493399391</v>
      </c>
      <c r="F3242" s="99">
        <v>0.86462463151072</v>
      </c>
    </row>
    <row r="3243" spans="1:6" hidden="1" x14ac:dyDescent="0.2">
      <c r="A3243" s="100" t="s">
        <v>187</v>
      </c>
      <c r="B3243" s="100" t="s">
        <v>20</v>
      </c>
      <c r="C3243" s="100" t="s">
        <v>153</v>
      </c>
      <c r="D3243" s="101">
        <v>684</v>
      </c>
      <c r="E3243" s="101">
        <v>343</v>
      </c>
      <c r="F3243" s="101">
        <v>341</v>
      </c>
    </row>
    <row r="3244" spans="1:6" hidden="1" x14ac:dyDescent="0.2">
      <c r="A3244" s="102" t="s">
        <v>187</v>
      </c>
      <c r="B3244" s="102" t="s">
        <v>20</v>
      </c>
      <c r="C3244" s="102" t="s">
        <v>154</v>
      </c>
      <c r="D3244" s="103">
        <v>93.680281389512103</v>
      </c>
      <c r="E3244" s="103">
        <v>50.064044967623502</v>
      </c>
      <c r="F3244" s="103">
        <v>54.509324035673103</v>
      </c>
    </row>
    <row r="3245" spans="1:6" hidden="1" x14ac:dyDescent="0.2">
      <c r="A3245" s="102" t="s">
        <v>187</v>
      </c>
      <c r="B3245" s="102" t="s">
        <v>20</v>
      </c>
      <c r="C3245" s="102" t="s">
        <v>155</v>
      </c>
      <c r="D3245" s="103">
        <v>529.87945795516305</v>
      </c>
      <c r="E3245" s="103">
        <v>260.63583933650398</v>
      </c>
      <c r="F3245" s="103">
        <v>251.32257330712801</v>
      </c>
    </row>
    <row r="3246" spans="1:6" hidden="1" x14ac:dyDescent="0.2">
      <c r="A3246" s="102" t="s">
        <v>187</v>
      </c>
      <c r="B3246" s="102" t="s">
        <v>20</v>
      </c>
      <c r="C3246" s="102" t="s">
        <v>156</v>
      </c>
      <c r="D3246" s="103">
        <v>838.12054204483604</v>
      </c>
      <c r="E3246" s="103">
        <v>425.364160663495</v>
      </c>
      <c r="F3246" s="103">
        <v>430.67742669287202</v>
      </c>
    </row>
    <row r="3247" spans="1:6" hidden="1" x14ac:dyDescent="0.2">
      <c r="A3247" s="102" t="s">
        <v>187</v>
      </c>
      <c r="B3247" s="102" t="s">
        <v>20</v>
      </c>
      <c r="C3247" s="102" t="s">
        <v>157</v>
      </c>
      <c r="D3247" s="104">
        <v>13.6959475715661</v>
      </c>
      <c r="E3247" s="104">
        <v>14.5959314774412</v>
      </c>
      <c r="F3247" s="104">
        <v>15.9851390133938</v>
      </c>
    </row>
    <row r="3248" spans="1:6" hidden="1" x14ac:dyDescent="0.2">
      <c r="A3248" s="102" t="s">
        <v>187</v>
      </c>
      <c r="B3248" s="102" t="s">
        <v>20</v>
      </c>
      <c r="C3248" s="102" t="s">
        <v>158</v>
      </c>
      <c r="D3248" s="104">
        <v>2.3022226447461298</v>
      </c>
      <c r="E3248" s="104">
        <v>2.01732131016729</v>
      </c>
      <c r="F3248" s="104">
        <v>2.15434758201945</v>
      </c>
    </row>
    <row r="3249" spans="1:6" hidden="1" x14ac:dyDescent="0.2">
      <c r="A3249" s="95" t="s">
        <v>188</v>
      </c>
      <c r="B3249" s="95" t="s">
        <v>152</v>
      </c>
      <c r="C3249" s="95" t="s">
        <v>153</v>
      </c>
      <c r="D3249" s="96">
        <v>8112505</v>
      </c>
      <c r="E3249" s="96">
        <v>3909140</v>
      </c>
      <c r="F3249" s="96">
        <v>4203365</v>
      </c>
    </row>
    <row r="3250" spans="1:6" hidden="1" x14ac:dyDescent="0.2">
      <c r="A3250" s="97" t="s">
        <v>188</v>
      </c>
      <c r="B3250" s="97" t="s">
        <v>152</v>
      </c>
      <c r="C3250" s="97" t="s">
        <v>154</v>
      </c>
      <c r="D3250" s="98">
        <v>60875.159205511598</v>
      </c>
      <c r="E3250" s="98">
        <v>29465.096436866701</v>
      </c>
      <c r="F3250" s="98">
        <v>31937.8148141153</v>
      </c>
    </row>
    <row r="3251" spans="1:6" hidden="1" x14ac:dyDescent="0.2">
      <c r="A3251" s="97" t="s">
        <v>188</v>
      </c>
      <c r="B3251" s="97" t="s">
        <v>152</v>
      </c>
      <c r="C3251" s="97" t="s">
        <v>155</v>
      </c>
      <c r="D3251" s="98">
        <v>8012370.2034091</v>
      </c>
      <c r="E3251" s="98">
        <v>3860672.2591884099</v>
      </c>
      <c r="F3251" s="98">
        <v>4150829.8340684702</v>
      </c>
    </row>
    <row r="3252" spans="1:6" hidden="1" x14ac:dyDescent="0.2">
      <c r="A3252" s="97" t="s">
        <v>188</v>
      </c>
      <c r="B3252" s="97" t="s">
        <v>152</v>
      </c>
      <c r="C3252" s="97" t="s">
        <v>156</v>
      </c>
      <c r="D3252" s="98">
        <v>8212639.7965909</v>
      </c>
      <c r="E3252" s="98">
        <v>3957607.7408115799</v>
      </c>
      <c r="F3252" s="98">
        <v>4255900.1659315201</v>
      </c>
    </row>
    <row r="3253" spans="1:6" hidden="1" x14ac:dyDescent="0.2">
      <c r="A3253" s="97" t="s">
        <v>188</v>
      </c>
      <c r="B3253" s="97" t="s">
        <v>152</v>
      </c>
      <c r="C3253" s="97" t="s">
        <v>157</v>
      </c>
      <c r="D3253" s="99">
        <v>0.75038670799600005</v>
      </c>
      <c r="E3253" s="99">
        <v>0.75374881526030002</v>
      </c>
      <c r="F3253" s="99">
        <v>0.75981540537438996</v>
      </c>
    </row>
    <row r="3254" spans="1:6" hidden="1" x14ac:dyDescent="0.2">
      <c r="A3254" s="97" t="s">
        <v>188</v>
      </c>
      <c r="B3254" s="97" t="s">
        <v>152</v>
      </c>
      <c r="C3254" s="97" t="s">
        <v>158</v>
      </c>
      <c r="D3254" s="99">
        <v>2.0453155441768902</v>
      </c>
      <c r="E3254" s="99">
        <v>1.16844715566612</v>
      </c>
      <c r="F3254" s="99">
        <v>1.20186620787224</v>
      </c>
    </row>
    <row r="3255" spans="1:6" hidden="1" x14ac:dyDescent="0.2">
      <c r="A3255" s="100" t="s">
        <v>188</v>
      </c>
      <c r="B3255" s="100" t="s">
        <v>4</v>
      </c>
      <c r="C3255" s="100" t="s">
        <v>153</v>
      </c>
      <c r="D3255" s="101">
        <v>686182</v>
      </c>
      <c r="E3255" s="101">
        <v>349819</v>
      </c>
      <c r="F3255" s="101">
        <v>336363</v>
      </c>
    </row>
    <row r="3256" spans="1:6" hidden="1" x14ac:dyDescent="0.2">
      <c r="A3256" s="102" t="s">
        <v>188</v>
      </c>
      <c r="B3256" s="102" t="s">
        <v>4</v>
      </c>
      <c r="C3256" s="102" t="s">
        <v>154</v>
      </c>
      <c r="D3256" s="103">
        <v>6199.4402542420603</v>
      </c>
      <c r="E3256" s="103">
        <v>3503.7991695404098</v>
      </c>
      <c r="F3256" s="103">
        <v>3365.54907075133</v>
      </c>
    </row>
    <row r="3257" spans="1:6" hidden="1" x14ac:dyDescent="0.2">
      <c r="A3257" s="102" t="s">
        <v>188</v>
      </c>
      <c r="B3257" s="102" t="s">
        <v>4</v>
      </c>
      <c r="C3257" s="102" t="s">
        <v>155</v>
      </c>
      <c r="D3257" s="103">
        <v>675984.41371130897</v>
      </c>
      <c r="E3257" s="103">
        <v>344055.52895998402</v>
      </c>
      <c r="F3257" s="103">
        <v>330826.93937995803</v>
      </c>
    </row>
    <row r="3258" spans="1:6" hidden="1" x14ac:dyDescent="0.2">
      <c r="A3258" s="102" t="s">
        <v>188</v>
      </c>
      <c r="B3258" s="102" t="s">
        <v>4</v>
      </c>
      <c r="C3258" s="102" t="s">
        <v>156</v>
      </c>
      <c r="D3258" s="103">
        <v>696379.58628868998</v>
      </c>
      <c r="E3258" s="103">
        <v>355582.47104001499</v>
      </c>
      <c r="F3258" s="103">
        <v>341899.06062004098</v>
      </c>
    </row>
    <row r="3259" spans="1:6" hidden="1" x14ac:dyDescent="0.2">
      <c r="A3259" s="102" t="s">
        <v>188</v>
      </c>
      <c r="B3259" s="102" t="s">
        <v>4</v>
      </c>
      <c r="C3259" s="102" t="s">
        <v>157</v>
      </c>
      <c r="D3259" s="104">
        <v>0.90346879606898001</v>
      </c>
      <c r="E3259" s="104">
        <v>1.00160344908092</v>
      </c>
      <c r="F3259" s="104">
        <v>1.00057053562708</v>
      </c>
    </row>
    <row r="3260" spans="1:6" hidden="1" x14ac:dyDescent="0.2">
      <c r="A3260" s="102" t="s">
        <v>188</v>
      </c>
      <c r="B3260" s="102" t="s">
        <v>4</v>
      </c>
      <c r="C3260" s="102" t="s">
        <v>158</v>
      </c>
      <c r="D3260" s="104">
        <v>0.95874256507108002</v>
      </c>
      <c r="E3260" s="104">
        <v>1.0998832945513</v>
      </c>
      <c r="F3260" s="104">
        <v>1.0795342039059299</v>
      </c>
    </row>
    <row r="3261" spans="1:6" hidden="1" x14ac:dyDescent="0.2">
      <c r="A3261" s="95" t="s">
        <v>188</v>
      </c>
      <c r="B3261" s="95" t="s">
        <v>5</v>
      </c>
      <c r="C3261" s="95" t="s">
        <v>153</v>
      </c>
      <c r="D3261" s="96">
        <v>709342</v>
      </c>
      <c r="E3261" s="96">
        <v>360392</v>
      </c>
      <c r="F3261" s="96">
        <v>348950</v>
      </c>
    </row>
    <row r="3262" spans="1:6" hidden="1" x14ac:dyDescent="0.2">
      <c r="A3262" s="97" t="s">
        <v>188</v>
      </c>
      <c r="B3262" s="97" t="s">
        <v>5</v>
      </c>
      <c r="C3262" s="97" t="s">
        <v>154</v>
      </c>
      <c r="D3262" s="98">
        <v>5948.2388824254103</v>
      </c>
      <c r="E3262" s="98">
        <v>3307.24057893807</v>
      </c>
      <c r="F3262" s="98">
        <v>3271.0245494651499</v>
      </c>
    </row>
    <row r="3263" spans="1:6" hidden="1" x14ac:dyDescent="0.2">
      <c r="A3263" s="97" t="s">
        <v>188</v>
      </c>
      <c r="B3263" s="97" t="s">
        <v>5</v>
      </c>
      <c r="C3263" s="97" t="s">
        <v>155</v>
      </c>
      <c r="D3263" s="98">
        <v>699557.61999443802</v>
      </c>
      <c r="E3263" s="98">
        <v>354951.85221277003</v>
      </c>
      <c r="F3263" s="98">
        <v>343569.42470164603</v>
      </c>
    </row>
    <row r="3264" spans="1:6" hidden="1" x14ac:dyDescent="0.2">
      <c r="A3264" s="97" t="s">
        <v>188</v>
      </c>
      <c r="B3264" s="97" t="s">
        <v>5</v>
      </c>
      <c r="C3264" s="97" t="s">
        <v>156</v>
      </c>
      <c r="D3264" s="98">
        <v>719126.38000556105</v>
      </c>
      <c r="E3264" s="98">
        <v>365832.14778722997</v>
      </c>
      <c r="F3264" s="98">
        <v>354330.57529835298</v>
      </c>
    </row>
    <row r="3265" spans="1:6" hidden="1" x14ac:dyDescent="0.2">
      <c r="A3265" s="97" t="s">
        <v>188</v>
      </c>
      <c r="B3265" s="97" t="s">
        <v>5</v>
      </c>
      <c r="C3265" s="97" t="s">
        <v>157</v>
      </c>
      <c r="D3265" s="99">
        <v>0.83855726608961001</v>
      </c>
      <c r="E3265" s="99">
        <v>0.91767868846645995</v>
      </c>
      <c r="F3265" s="99">
        <v>0.93739061454797001</v>
      </c>
    </row>
    <row r="3266" spans="1:6" hidden="1" x14ac:dyDescent="0.2">
      <c r="A3266" s="97" t="s">
        <v>188</v>
      </c>
      <c r="B3266" s="97" t="s">
        <v>5</v>
      </c>
      <c r="C3266" s="97" t="s">
        <v>158</v>
      </c>
      <c r="D3266" s="99">
        <v>0.84111779190437996</v>
      </c>
      <c r="E3266" s="99">
        <v>0.94210453417851003</v>
      </c>
      <c r="F3266" s="99">
        <v>0.96549163430583995</v>
      </c>
    </row>
    <row r="3267" spans="1:6" hidden="1" x14ac:dyDescent="0.2">
      <c r="A3267" s="100" t="s">
        <v>188</v>
      </c>
      <c r="B3267" s="100" t="s">
        <v>6</v>
      </c>
      <c r="C3267" s="100" t="s">
        <v>153</v>
      </c>
      <c r="D3267" s="101">
        <v>751179</v>
      </c>
      <c r="E3267" s="101">
        <v>384005</v>
      </c>
      <c r="F3267" s="101">
        <v>367174</v>
      </c>
    </row>
    <row r="3268" spans="1:6" hidden="1" x14ac:dyDescent="0.2">
      <c r="A3268" s="102" t="s">
        <v>188</v>
      </c>
      <c r="B3268" s="102" t="s">
        <v>6</v>
      </c>
      <c r="C3268" s="102" t="s">
        <v>154</v>
      </c>
      <c r="D3268" s="103">
        <v>6170.1029204913502</v>
      </c>
      <c r="E3268" s="103">
        <v>3602.05188039717</v>
      </c>
      <c r="F3268" s="103">
        <v>3230.3205531767098</v>
      </c>
    </row>
    <row r="3269" spans="1:6" hidden="1" x14ac:dyDescent="0.2">
      <c r="A3269" s="102" t="s">
        <v>188</v>
      </c>
      <c r="B3269" s="102" t="s">
        <v>6</v>
      </c>
      <c r="C3269" s="102" t="s">
        <v>155</v>
      </c>
      <c r="D3269" s="103">
        <v>741029.67129266099</v>
      </c>
      <c r="E3269" s="103">
        <v>378079.91106288898</v>
      </c>
      <c r="F3269" s="103">
        <v>361860.37953908602</v>
      </c>
    </row>
    <row r="3270" spans="1:6" hidden="1" x14ac:dyDescent="0.2">
      <c r="A3270" s="102" t="s">
        <v>188</v>
      </c>
      <c r="B3270" s="102" t="s">
        <v>6</v>
      </c>
      <c r="C3270" s="102" t="s">
        <v>156</v>
      </c>
      <c r="D3270" s="103">
        <v>761328.32870733901</v>
      </c>
      <c r="E3270" s="103">
        <v>389930.08893711102</v>
      </c>
      <c r="F3270" s="103">
        <v>372487.62046091299</v>
      </c>
    </row>
    <row r="3271" spans="1:6" hidden="1" x14ac:dyDescent="0.2">
      <c r="A3271" s="102" t="s">
        <v>188</v>
      </c>
      <c r="B3271" s="102" t="s">
        <v>6</v>
      </c>
      <c r="C3271" s="102" t="s">
        <v>157</v>
      </c>
      <c r="D3271" s="104">
        <v>0.82138916563047004</v>
      </c>
      <c r="E3271" s="104">
        <v>0.93802213002361001</v>
      </c>
      <c r="F3271" s="104">
        <v>0.87977921998200004</v>
      </c>
    </row>
    <row r="3272" spans="1:6" hidden="1" x14ac:dyDescent="0.2">
      <c r="A3272" s="102" t="s">
        <v>188</v>
      </c>
      <c r="B3272" s="102" t="s">
        <v>6</v>
      </c>
      <c r="C3272" s="102" t="s">
        <v>158</v>
      </c>
      <c r="D3272" s="104">
        <v>0.81143693192758004</v>
      </c>
      <c r="E3272" s="104">
        <v>0.99018056770464002</v>
      </c>
      <c r="F3272" s="104">
        <v>0.85921921477473995</v>
      </c>
    </row>
    <row r="3273" spans="1:6" hidden="1" x14ac:dyDescent="0.2">
      <c r="A3273" s="95" t="s">
        <v>188</v>
      </c>
      <c r="B3273" s="95" t="s">
        <v>7</v>
      </c>
      <c r="C3273" s="95" t="s">
        <v>153</v>
      </c>
      <c r="D3273" s="96">
        <v>719587</v>
      </c>
      <c r="E3273" s="96">
        <v>361296</v>
      </c>
      <c r="F3273" s="96">
        <v>358291</v>
      </c>
    </row>
    <row r="3274" spans="1:6" hidden="1" x14ac:dyDescent="0.2">
      <c r="A3274" s="97" t="s">
        <v>188</v>
      </c>
      <c r="B3274" s="97" t="s">
        <v>7</v>
      </c>
      <c r="C3274" s="97" t="s">
        <v>154</v>
      </c>
      <c r="D3274" s="98">
        <v>6065.0644512978097</v>
      </c>
      <c r="E3274" s="98">
        <v>3484.99346547289</v>
      </c>
      <c r="F3274" s="98">
        <v>3279.8072301079801</v>
      </c>
    </row>
    <row r="3275" spans="1:6" hidden="1" x14ac:dyDescent="0.2">
      <c r="A3275" s="97" t="s">
        <v>188</v>
      </c>
      <c r="B3275" s="97" t="s">
        <v>7</v>
      </c>
      <c r="C3275" s="97" t="s">
        <v>155</v>
      </c>
      <c r="D3275" s="98">
        <v>709610.45122267096</v>
      </c>
      <c r="E3275" s="98">
        <v>355563.46284789703</v>
      </c>
      <c r="F3275" s="98">
        <v>352895.97789031599</v>
      </c>
    </row>
    <row r="3276" spans="1:6" hidden="1" x14ac:dyDescent="0.2">
      <c r="A3276" s="97" t="s">
        <v>188</v>
      </c>
      <c r="B3276" s="97" t="s">
        <v>7</v>
      </c>
      <c r="C3276" s="97" t="s">
        <v>156</v>
      </c>
      <c r="D3276" s="98">
        <v>729563.54877732799</v>
      </c>
      <c r="E3276" s="98">
        <v>367028.53715210198</v>
      </c>
      <c r="F3276" s="98">
        <v>363686.02210968302</v>
      </c>
    </row>
    <row r="3277" spans="1:6" hidden="1" x14ac:dyDescent="0.2">
      <c r="A3277" s="97" t="s">
        <v>188</v>
      </c>
      <c r="B3277" s="97" t="s">
        <v>7</v>
      </c>
      <c r="C3277" s="97" t="s">
        <v>157</v>
      </c>
      <c r="D3277" s="99">
        <v>0.84285353283172004</v>
      </c>
      <c r="E3277" s="99">
        <v>0.96458124791663002</v>
      </c>
      <c r="F3277" s="99">
        <v>0.91540318626702</v>
      </c>
    </row>
    <row r="3278" spans="1:6" hidden="1" x14ac:dyDescent="0.2">
      <c r="A3278" s="97" t="s">
        <v>188</v>
      </c>
      <c r="B3278" s="97" t="s">
        <v>7</v>
      </c>
      <c r="C3278" s="97" t="s">
        <v>158</v>
      </c>
      <c r="D3278" s="99">
        <v>0.92764247416835</v>
      </c>
      <c r="E3278" s="99">
        <v>1.11856830252044</v>
      </c>
      <c r="F3278" s="99">
        <v>1.01380970695256</v>
      </c>
    </row>
    <row r="3279" spans="1:6" hidden="1" x14ac:dyDescent="0.2">
      <c r="A3279" s="100" t="s">
        <v>188</v>
      </c>
      <c r="B3279" s="100" t="s">
        <v>8</v>
      </c>
      <c r="C3279" s="100" t="s">
        <v>153</v>
      </c>
      <c r="D3279" s="101">
        <v>694622</v>
      </c>
      <c r="E3279" s="101">
        <v>339428</v>
      </c>
      <c r="F3279" s="101">
        <v>355194</v>
      </c>
    </row>
    <row r="3280" spans="1:6" hidden="1" x14ac:dyDescent="0.2">
      <c r="A3280" s="102" t="s">
        <v>188</v>
      </c>
      <c r="B3280" s="102" t="s">
        <v>8</v>
      </c>
      <c r="C3280" s="102" t="s">
        <v>154</v>
      </c>
      <c r="D3280" s="103">
        <v>6820.0865124151896</v>
      </c>
      <c r="E3280" s="103">
        <v>3671.3746981716599</v>
      </c>
      <c r="F3280" s="103">
        <v>3642.7065012121102</v>
      </c>
    </row>
    <row r="3281" spans="1:6" hidden="1" x14ac:dyDescent="0.2">
      <c r="A3281" s="102" t="s">
        <v>188</v>
      </c>
      <c r="B3281" s="102" t="s">
        <v>8</v>
      </c>
      <c r="C3281" s="102" t="s">
        <v>155</v>
      </c>
      <c r="D3281" s="103">
        <v>683403.49996540404</v>
      </c>
      <c r="E3281" s="103">
        <v>333388.88053964201</v>
      </c>
      <c r="F3281" s="103">
        <v>349202.03744417598</v>
      </c>
    </row>
    <row r="3282" spans="1:6" hidden="1" x14ac:dyDescent="0.2">
      <c r="A3282" s="102" t="s">
        <v>188</v>
      </c>
      <c r="B3282" s="102" t="s">
        <v>8</v>
      </c>
      <c r="C3282" s="102" t="s">
        <v>156</v>
      </c>
      <c r="D3282" s="103">
        <v>705840.50003459502</v>
      </c>
      <c r="E3282" s="103">
        <v>345467.11946035799</v>
      </c>
      <c r="F3282" s="103">
        <v>361185.96255582297</v>
      </c>
    </row>
    <row r="3283" spans="1:6" hidden="1" x14ac:dyDescent="0.2">
      <c r="A3283" s="102" t="s">
        <v>188</v>
      </c>
      <c r="B3283" s="102" t="s">
        <v>8</v>
      </c>
      <c r="C3283" s="102" t="s">
        <v>157</v>
      </c>
      <c r="D3283" s="104">
        <v>0.98184142057336998</v>
      </c>
      <c r="E3283" s="104">
        <v>1.0816357808347099</v>
      </c>
      <c r="F3283" s="104">
        <v>1.02555406375448</v>
      </c>
    </row>
    <row r="3284" spans="1:6" hidden="1" x14ac:dyDescent="0.2">
      <c r="A3284" s="102" t="s">
        <v>188</v>
      </c>
      <c r="B3284" s="102" t="s">
        <v>8</v>
      </c>
      <c r="C3284" s="102" t="s">
        <v>158</v>
      </c>
      <c r="D3284" s="104">
        <v>1.2396749408801999</v>
      </c>
      <c r="E3284" s="104">
        <v>1.3878697917293099</v>
      </c>
      <c r="F3284" s="104">
        <v>1.26833992078657</v>
      </c>
    </row>
    <row r="3285" spans="1:6" hidden="1" x14ac:dyDescent="0.2">
      <c r="A3285" s="95" t="s">
        <v>188</v>
      </c>
      <c r="B3285" s="95" t="s">
        <v>9</v>
      </c>
      <c r="C3285" s="95" t="s">
        <v>153</v>
      </c>
      <c r="D3285" s="96">
        <v>594183</v>
      </c>
      <c r="E3285" s="96">
        <v>279190</v>
      </c>
      <c r="F3285" s="96">
        <v>314993</v>
      </c>
    </row>
    <row r="3286" spans="1:6" hidden="1" x14ac:dyDescent="0.2">
      <c r="A3286" s="97" t="s">
        <v>188</v>
      </c>
      <c r="B3286" s="97" t="s">
        <v>9</v>
      </c>
      <c r="C3286" s="97" t="s">
        <v>154</v>
      </c>
      <c r="D3286" s="98">
        <v>6119.5042864618599</v>
      </c>
      <c r="E3286" s="98">
        <v>3084.3646412378098</v>
      </c>
      <c r="F3286" s="98">
        <v>3475.4259203627298</v>
      </c>
    </row>
    <row r="3287" spans="1:6" hidden="1" x14ac:dyDescent="0.2">
      <c r="A3287" s="97" t="s">
        <v>188</v>
      </c>
      <c r="B3287" s="97" t="s">
        <v>9</v>
      </c>
      <c r="C3287" s="97" t="s">
        <v>155</v>
      </c>
      <c r="D3287" s="98">
        <v>584116.90202244301</v>
      </c>
      <c r="E3287" s="98">
        <v>274116.46540898801</v>
      </c>
      <c r="F3287" s="98">
        <v>309276.20069886901</v>
      </c>
    </row>
    <row r="3288" spans="1:6" hidden="1" x14ac:dyDescent="0.2">
      <c r="A3288" s="97" t="s">
        <v>188</v>
      </c>
      <c r="B3288" s="97" t="s">
        <v>9</v>
      </c>
      <c r="C3288" s="97" t="s">
        <v>156</v>
      </c>
      <c r="D3288" s="98">
        <v>604249.09797755606</v>
      </c>
      <c r="E3288" s="98">
        <v>284263.534591011</v>
      </c>
      <c r="F3288" s="98">
        <v>320709.79930113</v>
      </c>
    </row>
    <row r="3289" spans="1:6" hidden="1" x14ac:dyDescent="0.2">
      <c r="A3289" s="97" t="s">
        <v>188</v>
      </c>
      <c r="B3289" s="97" t="s">
        <v>9</v>
      </c>
      <c r="C3289" s="97" t="s">
        <v>157</v>
      </c>
      <c r="D3289" s="99">
        <v>1.0299022837176199</v>
      </c>
      <c r="E3289" s="99">
        <v>1.10475469796118</v>
      </c>
      <c r="F3289" s="99">
        <v>1.1033343345289299</v>
      </c>
    </row>
    <row r="3290" spans="1:6" hidden="1" x14ac:dyDescent="0.2">
      <c r="A3290" s="97" t="s">
        <v>188</v>
      </c>
      <c r="B3290" s="97" t="s">
        <v>9</v>
      </c>
      <c r="C3290" s="97" t="s">
        <v>158</v>
      </c>
      <c r="D3290" s="99">
        <v>1.3636950943011099</v>
      </c>
      <c r="E3290" s="99">
        <v>1.4320706364359601</v>
      </c>
      <c r="F3290" s="99">
        <v>1.4656037602888801</v>
      </c>
    </row>
    <row r="3291" spans="1:6" hidden="1" x14ac:dyDescent="0.2">
      <c r="A3291" s="100" t="s">
        <v>188</v>
      </c>
      <c r="B3291" s="100" t="s">
        <v>10</v>
      </c>
      <c r="C3291" s="100" t="s">
        <v>153</v>
      </c>
      <c r="D3291" s="101">
        <v>578465</v>
      </c>
      <c r="E3291" s="101">
        <v>267622</v>
      </c>
      <c r="F3291" s="101">
        <v>310843</v>
      </c>
    </row>
    <row r="3292" spans="1:6" hidden="1" x14ac:dyDescent="0.2">
      <c r="A3292" s="102" t="s">
        <v>188</v>
      </c>
      <c r="B3292" s="102" t="s">
        <v>10</v>
      </c>
      <c r="C3292" s="102" t="s">
        <v>154</v>
      </c>
      <c r="D3292" s="103">
        <v>5725.2555415853303</v>
      </c>
      <c r="E3292" s="103">
        <v>2984.9964737748301</v>
      </c>
      <c r="F3292" s="103">
        <v>3152.8009351455498</v>
      </c>
    </row>
    <row r="3293" spans="1:6" hidden="1" x14ac:dyDescent="0.2">
      <c r="A3293" s="102" t="s">
        <v>188</v>
      </c>
      <c r="B3293" s="102" t="s">
        <v>10</v>
      </c>
      <c r="C3293" s="102" t="s">
        <v>155</v>
      </c>
      <c r="D3293" s="103">
        <v>569047.40986028197</v>
      </c>
      <c r="E3293" s="103">
        <v>262711.91814350802</v>
      </c>
      <c r="F3293" s="103">
        <v>305656.89314701199</v>
      </c>
    </row>
    <row r="3294" spans="1:6" hidden="1" x14ac:dyDescent="0.2">
      <c r="A3294" s="102" t="s">
        <v>188</v>
      </c>
      <c r="B3294" s="102" t="s">
        <v>10</v>
      </c>
      <c r="C3294" s="102" t="s">
        <v>156</v>
      </c>
      <c r="D3294" s="103">
        <v>587882.59013971698</v>
      </c>
      <c r="E3294" s="103">
        <v>272532.08185649099</v>
      </c>
      <c r="F3294" s="103">
        <v>316029.10685298702</v>
      </c>
    </row>
    <row r="3295" spans="1:6" hidden="1" x14ac:dyDescent="0.2">
      <c r="A3295" s="102" t="s">
        <v>188</v>
      </c>
      <c r="B3295" s="102" t="s">
        <v>10</v>
      </c>
      <c r="C3295" s="102" t="s">
        <v>157</v>
      </c>
      <c r="D3295" s="104">
        <v>0.98973240240728999</v>
      </c>
      <c r="E3295" s="104">
        <v>1.11537783656606</v>
      </c>
      <c r="F3295" s="104">
        <v>1.01427438776023</v>
      </c>
    </row>
    <row r="3296" spans="1:6" hidden="1" x14ac:dyDescent="0.2">
      <c r="A3296" s="102" t="s">
        <v>188</v>
      </c>
      <c r="B3296" s="102" t="s">
        <v>10</v>
      </c>
      <c r="C3296" s="102" t="s">
        <v>158</v>
      </c>
      <c r="D3296" s="104">
        <v>1.26545409690622</v>
      </c>
      <c r="E3296" s="104">
        <v>1.43609983028073</v>
      </c>
      <c r="F3296" s="104">
        <v>1.2692394157054601</v>
      </c>
    </row>
    <row r="3297" spans="1:6" hidden="1" x14ac:dyDescent="0.2">
      <c r="A3297" s="95" t="s">
        <v>188</v>
      </c>
      <c r="B3297" s="95" t="s">
        <v>11</v>
      </c>
      <c r="C3297" s="95" t="s">
        <v>153</v>
      </c>
      <c r="D3297" s="96">
        <v>554104</v>
      </c>
      <c r="E3297" s="96">
        <v>253273</v>
      </c>
      <c r="F3297" s="96">
        <v>300831</v>
      </c>
    </row>
    <row r="3298" spans="1:6" hidden="1" x14ac:dyDescent="0.2">
      <c r="A3298" s="97" t="s">
        <v>188</v>
      </c>
      <c r="B3298" s="97" t="s">
        <v>11</v>
      </c>
      <c r="C3298" s="97" t="s">
        <v>154</v>
      </c>
      <c r="D3298" s="98">
        <v>4874.39876315745</v>
      </c>
      <c r="E3298" s="98">
        <v>2518.91808956771</v>
      </c>
      <c r="F3298" s="98">
        <v>2822.3333468464102</v>
      </c>
    </row>
    <row r="3299" spans="1:6" hidden="1" x14ac:dyDescent="0.2">
      <c r="A3299" s="97" t="s">
        <v>188</v>
      </c>
      <c r="B3299" s="97" t="s">
        <v>11</v>
      </c>
      <c r="C3299" s="97" t="s">
        <v>155</v>
      </c>
      <c r="D3299" s="98">
        <v>546086.00160752004</v>
      </c>
      <c r="E3299" s="98">
        <v>249129.58002673101</v>
      </c>
      <c r="F3299" s="98">
        <v>296188.48605364398</v>
      </c>
    </row>
    <row r="3300" spans="1:6" hidden="1" x14ac:dyDescent="0.2">
      <c r="A3300" s="97" t="s">
        <v>188</v>
      </c>
      <c r="B3300" s="97" t="s">
        <v>11</v>
      </c>
      <c r="C3300" s="97" t="s">
        <v>156</v>
      </c>
      <c r="D3300" s="98">
        <v>562121.99839247903</v>
      </c>
      <c r="E3300" s="98">
        <v>257416.419973268</v>
      </c>
      <c r="F3300" s="98">
        <v>305473.51394635497</v>
      </c>
    </row>
    <row r="3301" spans="1:6" hidden="1" x14ac:dyDescent="0.2">
      <c r="A3301" s="97" t="s">
        <v>188</v>
      </c>
      <c r="B3301" s="97" t="s">
        <v>11</v>
      </c>
      <c r="C3301" s="97" t="s">
        <v>157</v>
      </c>
      <c r="D3301" s="99">
        <v>0.87969023200651997</v>
      </c>
      <c r="E3301" s="99">
        <v>0.99454663132971</v>
      </c>
      <c r="F3301" s="99">
        <v>0.93817902637906003</v>
      </c>
    </row>
    <row r="3302" spans="1:6" hidden="1" x14ac:dyDescent="0.2">
      <c r="A3302" s="97" t="s">
        <v>188</v>
      </c>
      <c r="B3302" s="97" t="s">
        <v>11</v>
      </c>
      <c r="C3302" s="97" t="s">
        <v>158</v>
      </c>
      <c r="D3302" s="99">
        <v>1.04317818160485</v>
      </c>
      <c r="E3302" s="99">
        <v>1.2028368725024501</v>
      </c>
      <c r="F3302" s="99">
        <v>1.1105029646275399</v>
      </c>
    </row>
    <row r="3303" spans="1:6" hidden="1" x14ac:dyDescent="0.2">
      <c r="A3303" s="100" t="s">
        <v>188</v>
      </c>
      <c r="B3303" s="100" t="s">
        <v>12</v>
      </c>
      <c r="C3303" s="100" t="s">
        <v>153</v>
      </c>
      <c r="D3303" s="101">
        <v>547376</v>
      </c>
      <c r="E3303" s="101">
        <v>254195</v>
      </c>
      <c r="F3303" s="101">
        <v>293181</v>
      </c>
    </row>
    <row r="3304" spans="1:6" hidden="1" x14ac:dyDescent="0.2">
      <c r="A3304" s="102" t="s">
        <v>188</v>
      </c>
      <c r="B3304" s="102" t="s">
        <v>12</v>
      </c>
      <c r="C3304" s="102" t="s">
        <v>154</v>
      </c>
      <c r="D3304" s="103">
        <v>5238.3766840648104</v>
      </c>
      <c r="E3304" s="103">
        <v>2681.9058298555301</v>
      </c>
      <c r="F3304" s="103">
        <v>2932.3597897015802</v>
      </c>
    </row>
    <row r="3305" spans="1:6" hidden="1" x14ac:dyDescent="0.2">
      <c r="A3305" s="102" t="s">
        <v>188</v>
      </c>
      <c r="B3305" s="102" t="s">
        <v>12</v>
      </c>
      <c r="C3305" s="102" t="s">
        <v>155</v>
      </c>
      <c r="D3305" s="103">
        <v>538759.28686821903</v>
      </c>
      <c r="E3305" s="103">
        <v>249783.47815343001</v>
      </c>
      <c r="F3305" s="103">
        <v>288357.501303564</v>
      </c>
    </row>
    <row r="3306" spans="1:6" hidden="1" x14ac:dyDescent="0.2">
      <c r="A3306" s="102" t="s">
        <v>188</v>
      </c>
      <c r="B3306" s="102" t="s">
        <v>12</v>
      </c>
      <c r="C3306" s="102" t="s">
        <v>156</v>
      </c>
      <c r="D3306" s="103">
        <v>555992.71313178004</v>
      </c>
      <c r="E3306" s="103">
        <v>258606.521846569</v>
      </c>
      <c r="F3306" s="103">
        <v>298004.49869643501</v>
      </c>
    </row>
    <row r="3307" spans="1:6" hidden="1" x14ac:dyDescent="0.2">
      <c r="A3307" s="102" t="s">
        <v>188</v>
      </c>
      <c r="B3307" s="102" t="s">
        <v>12</v>
      </c>
      <c r="C3307" s="102" t="s">
        <v>157</v>
      </c>
      <c r="D3307" s="104">
        <v>0.95699787423357996</v>
      </c>
      <c r="E3307" s="104">
        <v>1.0550584511322101</v>
      </c>
      <c r="F3307" s="104">
        <v>1.0001875256928601</v>
      </c>
    </row>
    <row r="3308" spans="1:6" hidden="1" x14ac:dyDescent="0.2">
      <c r="A3308" s="102" t="s">
        <v>188</v>
      </c>
      <c r="B3308" s="102" t="s">
        <v>12</v>
      </c>
      <c r="C3308" s="102" t="s">
        <v>158</v>
      </c>
      <c r="D3308" s="104">
        <v>1.27967919338445</v>
      </c>
      <c r="E3308" s="104">
        <v>1.39052278872255</v>
      </c>
      <c r="F3308" s="104">
        <v>1.31462815097108</v>
      </c>
    </row>
    <row r="3309" spans="1:6" hidden="1" x14ac:dyDescent="0.2">
      <c r="A3309" s="95" t="s">
        <v>188</v>
      </c>
      <c r="B3309" s="95" t="s">
        <v>13</v>
      </c>
      <c r="C3309" s="95" t="s">
        <v>153</v>
      </c>
      <c r="D3309" s="96">
        <v>485471</v>
      </c>
      <c r="E3309" s="96">
        <v>225549</v>
      </c>
      <c r="F3309" s="96">
        <v>259922</v>
      </c>
    </row>
    <row r="3310" spans="1:6" hidden="1" x14ac:dyDescent="0.2">
      <c r="A3310" s="97" t="s">
        <v>188</v>
      </c>
      <c r="B3310" s="97" t="s">
        <v>13</v>
      </c>
      <c r="C3310" s="97" t="s">
        <v>154</v>
      </c>
      <c r="D3310" s="98">
        <v>4330.0045143315101</v>
      </c>
      <c r="E3310" s="98">
        <v>2177.4207960930498</v>
      </c>
      <c r="F3310" s="98">
        <v>2620.9650439949801</v>
      </c>
    </row>
    <row r="3311" spans="1:6" hidden="1" x14ac:dyDescent="0.2">
      <c r="A3311" s="97" t="s">
        <v>188</v>
      </c>
      <c r="B3311" s="97" t="s">
        <v>13</v>
      </c>
      <c r="C3311" s="97" t="s">
        <v>155</v>
      </c>
      <c r="D3311" s="98">
        <v>478348.48686099501</v>
      </c>
      <c r="E3311" s="98">
        <v>221967.315921384</v>
      </c>
      <c r="F3311" s="98">
        <v>255610.72090064999</v>
      </c>
    </row>
    <row r="3312" spans="1:6" hidden="1" x14ac:dyDescent="0.2">
      <c r="A3312" s="97" t="s">
        <v>188</v>
      </c>
      <c r="B3312" s="97" t="s">
        <v>13</v>
      </c>
      <c r="C3312" s="97" t="s">
        <v>156</v>
      </c>
      <c r="D3312" s="98">
        <v>492593.513139004</v>
      </c>
      <c r="E3312" s="98">
        <v>229130.68407861501</v>
      </c>
      <c r="F3312" s="98">
        <v>264233.27909934899</v>
      </c>
    </row>
    <row r="3313" spans="1:6" hidden="1" x14ac:dyDescent="0.2">
      <c r="A3313" s="97" t="s">
        <v>188</v>
      </c>
      <c r="B3313" s="97" t="s">
        <v>13</v>
      </c>
      <c r="C3313" s="97" t="s">
        <v>157</v>
      </c>
      <c r="D3313" s="99">
        <v>0.89191826377507</v>
      </c>
      <c r="E3313" s="99">
        <v>0.96538703168404005</v>
      </c>
      <c r="F3313" s="99">
        <v>1.00836598825608</v>
      </c>
    </row>
    <row r="3314" spans="1:6" hidden="1" x14ac:dyDescent="0.2">
      <c r="A3314" s="97" t="s">
        <v>188</v>
      </c>
      <c r="B3314" s="97" t="s">
        <v>13</v>
      </c>
      <c r="C3314" s="97" t="s">
        <v>158</v>
      </c>
      <c r="D3314" s="99">
        <v>1.1429793550474801</v>
      </c>
      <c r="E3314" s="99">
        <v>1.2077357245350999</v>
      </c>
      <c r="F3314" s="99">
        <v>1.3185193741758301</v>
      </c>
    </row>
    <row r="3315" spans="1:6" hidden="1" x14ac:dyDescent="0.2">
      <c r="A3315" s="100" t="s">
        <v>188</v>
      </c>
      <c r="B3315" s="100" t="s">
        <v>14</v>
      </c>
      <c r="C3315" s="100" t="s">
        <v>153</v>
      </c>
      <c r="D3315" s="101">
        <v>447857</v>
      </c>
      <c r="E3315" s="101">
        <v>208436</v>
      </c>
      <c r="F3315" s="101">
        <v>239421</v>
      </c>
    </row>
    <row r="3316" spans="1:6" hidden="1" x14ac:dyDescent="0.2">
      <c r="A3316" s="102" t="s">
        <v>188</v>
      </c>
      <c r="B3316" s="102" t="s">
        <v>14</v>
      </c>
      <c r="C3316" s="102" t="s">
        <v>154</v>
      </c>
      <c r="D3316" s="103">
        <v>4393.6532921601001</v>
      </c>
      <c r="E3316" s="103">
        <v>2182.5058721957098</v>
      </c>
      <c r="F3316" s="103">
        <v>2642.4270957569602</v>
      </c>
    </row>
    <row r="3317" spans="1:6" hidden="1" x14ac:dyDescent="0.2">
      <c r="A3317" s="102" t="s">
        <v>188</v>
      </c>
      <c r="B3317" s="102" t="s">
        <v>14</v>
      </c>
      <c r="C3317" s="102" t="s">
        <v>155</v>
      </c>
      <c r="D3317" s="103">
        <v>440629.78968230501</v>
      </c>
      <c r="E3317" s="103">
        <v>204845.95137551901</v>
      </c>
      <c r="F3317" s="103">
        <v>235074.417531991</v>
      </c>
    </row>
    <row r="3318" spans="1:6" hidden="1" x14ac:dyDescent="0.2">
      <c r="A3318" s="102" t="s">
        <v>188</v>
      </c>
      <c r="B3318" s="102" t="s">
        <v>14</v>
      </c>
      <c r="C3318" s="102" t="s">
        <v>156</v>
      </c>
      <c r="D3318" s="103">
        <v>455084.21031769499</v>
      </c>
      <c r="E3318" s="103">
        <v>212026.04862448</v>
      </c>
      <c r="F3318" s="103">
        <v>243767.58246800801</v>
      </c>
    </row>
    <row r="3319" spans="1:6" hidden="1" x14ac:dyDescent="0.2">
      <c r="A3319" s="102" t="s">
        <v>188</v>
      </c>
      <c r="B3319" s="102" t="s">
        <v>14</v>
      </c>
      <c r="C3319" s="102" t="s">
        <v>157</v>
      </c>
      <c r="D3319" s="104">
        <v>0.98103932553472994</v>
      </c>
      <c r="E3319" s="104">
        <v>1.0470868142718599</v>
      </c>
      <c r="F3319" s="104">
        <v>1.1036739031901801</v>
      </c>
    </row>
    <row r="3320" spans="1:6" hidden="1" x14ac:dyDescent="0.2">
      <c r="A3320" s="102" t="s">
        <v>188</v>
      </c>
      <c r="B3320" s="102" t="s">
        <v>14</v>
      </c>
      <c r="C3320" s="102" t="s">
        <v>158</v>
      </c>
      <c r="D3320" s="104">
        <v>1.35822227851616</v>
      </c>
      <c r="E3320" s="104">
        <v>1.3885321064693501</v>
      </c>
      <c r="F3320" s="104">
        <v>1.54415598096512</v>
      </c>
    </row>
    <row r="3321" spans="1:6" hidden="1" x14ac:dyDescent="0.2">
      <c r="A3321" s="95" t="s">
        <v>188</v>
      </c>
      <c r="B3321" s="95" t="s">
        <v>15</v>
      </c>
      <c r="C3321" s="95" t="s">
        <v>153</v>
      </c>
      <c r="D3321" s="96">
        <v>357439</v>
      </c>
      <c r="E3321" s="96">
        <v>167448</v>
      </c>
      <c r="F3321" s="96">
        <v>189991</v>
      </c>
    </row>
    <row r="3322" spans="1:6" hidden="1" x14ac:dyDescent="0.2">
      <c r="A3322" s="97" t="s">
        <v>188</v>
      </c>
      <c r="B3322" s="97" t="s">
        <v>15</v>
      </c>
      <c r="C3322" s="97" t="s">
        <v>154</v>
      </c>
      <c r="D3322" s="98">
        <v>3481.1740088514398</v>
      </c>
      <c r="E3322" s="98">
        <v>1809.67539033552</v>
      </c>
      <c r="F3322" s="98">
        <v>2099.7426515562602</v>
      </c>
    </row>
    <row r="3323" spans="1:6" hidden="1" x14ac:dyDescent="0.2">
      <c r="A3323" s="97" t="s">
        <v>188</v>
      </c>
      <c r="B3323" s="97" t="s">
        <v>15</v>
      </c>
      <c r="C3323" s="97" t="s">
        <v>155</v>
      </c>
      <c r="D3323" s="98">
        <v>351712.74555034703</v>
      </c>
      <c r="E3323" s="98">
        <v>164471.227873703</v>
      </c>
      <c r="F3323" s="98">
        <v>186537.090292807</v>
      </c>
    </row>
    <row r="3324" spans="1:6" hidden="1" x14ac:dyDescent="0.2">
      <c r="A3324" s="97" t="s">
        <v>188</v>
      </c>
      <c r="B3324" s="97" t="s">
        <v>15</v>
      </c>
      <c r="C3324" s="97" t="s">
        <v>156</v>
      </c>
      <c r="D3324" s="98">
        <v>363165.25444965198</v>
      </c>
      <c r="E3324" s="98">
        <v>170424.77212629601</v>
      </c>
      <c r="F3324" s="98">
        <v>193444.90970719201</v>
      </c>
    </row>
    <row r="3325" spans="1:6" hidden="1" x14ac:dyDescent="0.2">
      <c r="A3325" s="97" t="s">
        <v>188</v>
      </c>
      <c r="B3325" s="97" t="s">
        <v>15</v>
      </c>
      <c r="C3325" s="97" t="s">
        <v>157</v>
      </c>
      <c r="D3325" s="99">
        <v>0.97392114706326005</v>
      </c>
      <c r="E3325" s="99">
        <v>1.0807387310302401</v>
      </c>
      <c r="F3325" s="99">
        <v>1.1051800619799099</v>
      </c>
    </row>
    <row r="3326" spans="1:6" hidden="1" x14ac:dyDescent="0.2">
      <c r="A3326" s="97" t="s">
        <v>188</v>
      </c>
      <c r="B3326" s="97" t="s">
        <v>15</v>
      </c>
      <c r="C3326" s="97" t="s">
        <v>158</v>
      </c>
      <c r="D3326" s="99">
        <v>1.28740069982642</v>
      </c>
      <c r="E3326" s="99">
        <v>1.3685354337378</v>
      </c>
      <c r="F3326" s="99">
        <v>1.4859215057714901</v>
      </c>
    </row>
    <row r="3327" spans="1:6" hidden="1" x14ac:dyDescent="0.2">
      <c r="A3327" s="100" t="s">
        <v>188</v>
      </c>
      <c r="B3327" s="100" t="s">
        <v>16</v>
      </c>
      <c r="C3327" s="100" t="s">
        <v>153</v>
      </c>
      <c r="D3327" s="101">
        <v>292377</v>
      </c>
      <c r="E3327" s="101">
        <v>137511</v>
      </c>
      <c r="F3327" s="101">
        <v>154866</v>
      </c>
    </row>
    <row r="3328" spans="1:6" hidden="1" x14ac:dyDescent="0.2">
      <c r="A3328" s="102" t="s">
        <v>188</v>
      </c>
      <c r="B3328" s="102" t="s">
        <v>16</v>
      </c>
      <c r="C3328" s="102" t="s">
        <v>154</v>
      </c>
      <c r="D3328" s="103">
        <v>2979.1536452401801</v>
      </c>
      <c r="E3328" s="103">
        <v>1631.92458183229</v>
      </c>
      <c r="F3328" s="103">
        <v>1785.63907247265</v>
      </c>
    </row>
    <row r="3329" spans="1:6" hidden="1" x14ac:dyDescent="0.2">
      <c r="A3329" s="102" t="s">
        <v>188</v>
      </c>
      <c r="B3329" s="102" t="s">
        <v>16</v>
      </c>
      <c r="C3329" s="102" t="s">
        <v>155</v>
      </c>
      <c r="D3329" s="103">
        <v>287476.52913187299</v>
      </c>
      <c r="E3329" s="103">
        <v>134826.61382037899</v>
      </c>
      <c r="F3329" s="103">
        <v>151928.76570541301</v>
      </c>
    </row>
    <row r="3330" spans="1:6" hidden="1" x14ac:dyDescent="0.2">
      <c r="A3330" s="102" t="s">
        <v>188</v>
      </c>
      <c r="B3330" s="102" t="s">
        <v>16</v>
      </c>
      <c r="C3330" s="102" t="s">
        <v>156</v>
      </c>
      <c r="D3330" s="103">
        <v>297277.47086812602</v>
      </c>
      <c r="E3330" s="103">
        <v>140195.38617961999</v>
      </c>
      <c r="F3330" s="103">
        <v>157803.234294586</v>
      </c>
    </row>
    <row r="3331" spans="1:6" hidden="1" x14ac:dyDescent="0.2">
      <c r="A3331" s="102" t="s">
        <v>188</v>
      </c>
      <c r="B3331" s="102" t="s">
        <v>16</v>
      </c>
      <c r="C3331" s="102" t="s">
        <v>157</v>
      </c>
      <c r="D3331" s="104">
        <v>1.0189425451523799</v>
      </c>
      <c r="E3331" s="104">
        <v>1.18675930058853</v>
      </c>
      <c r="F3331" s="104">
        <v>1.1530220141752601</v>
      </c>
    </row>
    <row r="3332" spans="1:6" hidden="1" x14ac:dyDescent="0.2">
      <c r="A3332" s="102" t="s">
        <v>188</v>
      </c>
      <c r="B3332" s="102" t="s">
        <v>16</v>
      </c>
      <c r="C3332" s="102" t="s">
        <v>158</v>
      </c>
      <c r="D3332" s="104">
        <v>1.3359329056676801</v>
      </c>
      <c r="E3332" s="104">
        <v>1.5450333386666599</v>
      </c>
      <c r="F3332" s="104">
        <v>1.4907118877785399</v>
      </c>
    </row>
    <row r="3333" spans="1:6" hidden="1" x14ac:dyDescent="0.2">
      <c r="A3333" s="95" t="s">
        <v>188</v>
      </c>
      <c r="B3333" s="95" t="s">
        <v>17</v>
      </c>
      <c r="C3333" s="95" t="s">
        <v>153</v>
      </c>
      <c r="D3333" s="96">
        <v>236362</v>
      </c>
      <c r="E3333" s="96">
        <v>111297</v>
      </c>
      <c r="F3333" s="96">
        <v>125065</v>
      </c>
    </row>
    <row r="3334" spans="1:6" hidden="1" x14ac:dyDescent="0.2">
      <c r="A3334" s="97" t="s">
        <v>188</v>
      </c>
      <c r="B3334" s="97" t="s">
        <v>17</v>
      </c>
      <c r="C3334" s="97" t="s">
        <v>154</v>
      </c>
      <c r="D3334" s="98">
        <v>2504.4185558637801</v>
      </c>
      <c r="E3334" s="98">
        <v>1352.8186595488801</v>
      </c>
      <c r="F3334" s="98">
        <v>1572.5727348737901</v>
      </c>
    </row>
    <row r="3335" spans="1:6" hidden="1" x14ac:dyDescent="0.2">
      <c r="A3335" s="97" t="s">
        <v>188</v>
      </c>
      <c r="B3335" s="97" t="s">
        <v>17</v>
      </c>
      <c r="C3335" s="97" t="s">
        <v>155</v>
      </c>
      <c r="D3335" s="98">
        <v>232242.430606788</v>
      </c>
      <c r="E3335" s="98">
        <v>109071.720870281</v>
      </c>
      <c r="F3335" s="98">
        <v>122478.242889445</v>
      </c>
    </row>
    <row r="3336" spans="1:6" hidden="1" x14ac:dyDescent="0.2">
      <c r="A3336" s="97" t="s">
        <v>188</v>
      </c>
      <c r="B3336" s="97" t="s">
        <v>17</v>
      </c>
      <c r="C3336" s="97" t="s">
        <v>156</v>
      </c>
      <c r="D3336" s="98">
        <v>240481.56939321099</v>
      </c>
      <c r="E3336" s="98">
        <v>113522.27912971799</v>
      </c>
      <c r="F3336" s="98">
        <v>127651.757110554</v>
      </c>
    </row>
    <row r="3337" spans="1:6" hidden="1" x14ac:dyDescent="0.2">
      <c r="A3337" s="97" t="s">
        <v>188</v>
      </c>
      <c r="B3337" s="97" t="s">
        <v>17</v>
      </c>
      <c r="C3337" s="97" t="s">
        <v>157</v>
      </c>
      <c r="D3337" s="99">
        <v>1.0595690321895099</v>
      </c>
      <c r="E3337" s="99">
        <v>1.2155032566456201</v>
      </c>
      <c r="F3337" s="99">
        <v>1.25740433764346</v>
      </c>
    </row>
    <row r="3338" spans="1:6" hidden="1" x14ac:dyDescent="0.2">
      <c r="A3338" s="97" t="s">
        <v>188</v>
      </c>
      <c r="B3338" s="97" t="s">
        <v>17</v>
      </c>
      <c r="C3338" s="97" t="s">
        <v>158</v>
      </c>
      <c r="D3338" s="99">
        <v>1.3635514200508301</v>
      </c>
      <c r="E3338" s="99">
        <v>1.4789920238477401</v>
      </c>
      <c r="F3338" s="99">
        <v>1.6354049284911101</v>
      </c>
    </row>
    <row r="3339" spans="1:6" hidden="1" x14ac:dyDescent="0.2">
      <c r="A3339" s="100" t="s">
        <v>188</v>
      </c>
      <c r="B3339" s="100" t="s">
        <v>18</v>
      </c>
      <c r="C3339" s="100" t="s">
        <v>153</v>
      </c>
      <c r="D3339" s="101">
        <v>177196</v>
      </c>
      <c r="E3339" s="101">
        <v>82701</v>
      </c>
      <c r="F3339" s="101">
        <v>94495</v>
      </c>
    </row>
    <row r="3340" spans="1:6" hidden="1" x14ac:dyDescent="0.2">
      <c r="A3340" s="102" t="s">
        <v>188</v>
      </c>
      <c r="B3340" s="102" t="s">
        <v>18</v>
      </c>
      <c r="C3340" s="102" t="s">
        <v>154</v>
      </c>
      <c r="D3340" s="103">
        <v>2046.1770826309601</v>
      </c>
      <c r="E3340" s="103">
        <v>1095.6271749330101</v>
      </c>
      <c r="F3340" s="103">
        <v>1342.00080936928</v>
      </c>
    </row>
    <row r="3341" spans="1:6" hidden="1" x14ac:dyDescent="0.2">
      <c r="A3341" s="102" t="s">
        <v>188</v>
      </c>
      <c r="B3341" s="102" t="s">
        <v>18</v>
      </c>
      <c r="C3341" s="102" t="s">
        <v>155</v>
      </c>
      <c r="D3341" s="103">
        <v>173830.20139458601</v>
      </c>
      <c r="E3341" s="103">
        <v>80898.780412680193</v>
      </c>
      <c r="F3341" s="103">
        <v>92287.515373678805</v>
      </c>
    </row>
    <row r="3342" spans="1:6" hidden="1" x14ac:dyDescent="0.2">
      <c r="A3342" s="102" t="s">
        <v>188</v>
      </c>
      <c r="B3342" s="102" t="s">
        <v>18</v>
      </c>
      <c r="C3342" s="102" t="s">
        <v>156</v>
      </c>
      <c r="D3342" s="103">
        <v>180561.798605413</v>
      </c>
      <c r="E3342" s="103">
        <v>84503.219587319705</v>
      </c>
      <c r="F3342" s="103">
        <v>96702.484626321093</v>
      </c>
    </row>
    <row r="3343" spans="1:6" hidden="1" x14ac:dyDescent="0.2">
      <c r="A3343" s="102" t="s">
        <v>188</v>
      </c>
      <c r="B3343" s="102" t="s">
        <v>18</v>
      </c>
      <c r="C3343" s="102" t="s">
        <v>157</v>
      </c>
      <c r="D3343" s="104">
        <v>1.15475353993937</v>
      </c>
      <c r="E3343" s="104">
        <v>1.32480523202018</v>
      </c>
      <c r="F3343" s="104">
        <v>1.4201818184763999</v>
      </c>
    </row>
    <row r="3344" spans="1:6" hidden="1" x14ac:dyDescent="0.2">
      <c r="A3344" s="102" t="s">
        <v>188</v>
      </c>
      <c r="B3344" s="102" t="s">
        <v>18</v>
      </c>
      <c r="C3344" s="102" t="s">
        <v>158</v>
      </c>
      <c r="D3344" s="104">
        <v>1.4926104571762799</v>
      </c>
      <c r="E3344" s="104">
        <v>1.5561016134374299</v>
      </c>
      <c r="F3344" s="104">
        <v>1.85446861770176</v>
      </c>
    </row>
    <row r="3345" spans="1:6" hidden="1" x14ac:dyDescent="0.2">
      <c r="A3345" s="95" t="s">
        <v>188</v>
      </c>
      <c r="B3345" s="95" t="s">
        <v>19</v>
      </c>
      <c r="C3345" s="95" t="s">
        <v>153</v>
      </c>
      <c r="D3345" s="96">
        <v>275076</v>
      </c>
      <c r="E3345" s="96">
        <v>123949</v>
      </c>
      <c r="F3345" s="96">
        <v>151127</v>
      </c>
    </row>
    <row r="3346" spans="1:6" hidden="1" x14ac:dyDescent="0.2">
      <c r="A3346" s="97" t="s">
        <v>188</v>
      </c>
      <c r="B3346" s="97" t="s">
        <v>19</v>
      </c>
      <c r="C3346" s="97" t="s">
        <v>154</v>
      </c>
      <c r="D3346" s="98">
        <v>2783.8952418192798</v>
      </c>
      <c r="E3346" s="98">
        <v>1366.7907387929799</v>
      </c>
      <c r="F3346" s="98">
        <v>1849.07112452454</v>
      </c>
    </row>
    <row r="3347" spans="1:6" hidden="1" x14ac:dyDescent="0.2">
      <c r="A3347" s="97" t="s">
        <v>188</v>
      </c>
      <c r="B3347" s="97" t="s">
        <v>19</v>
      </c>
      <c r="C3347" s="97" t="s">
        <v>155</v>
      </c>
      <c r="D3347" s="98">
        <v>270496.71368012601</v>
      </c>
      <c r="E3347" s="98">
        <v>121700.73791087201</v>
      </c>
      <c r="F3347" s="98">
        <v>148085.425023394</v>
      </c>
    </row>
    <row r="3348" spans="1:6" hidden="1" x14ac:dyDescent="0.2">
      <c r="A3348" s="97" t="s">
        <v>188</v>
      </c>
      <c r="B3348" s="97" t="s">
        <v>19</v>
      </c>
      <c r="C3348" s="97" t="s">
        <v>156</v>
      </c>
      <c r="D3348" s="98">
        <v>279655.28631987399</v>
      </c>
      <c r="E3348" s="98">
        <v>126197.26208912701</v>
      </c>
      <c r="F3348" s="98">
        <v>154168.57497660501</v>
      </c>
    </row>
    <row r="3349" spans="1:6" hidden="1" x14ac:dyDescent="0.2">
      <c r="A3349" s="97" t="s">
        <v>188</v>
      </c>
      <c r="B3349" s="97" t="s">
        <v>19</v>
      </c>
      <c r="C3349" s="97" t="s">
        <v>157</v>
      </c>
      <c r="D3349" s="99">
        <v>1.0120458498085201</v>
      </c>
      <c r="E3349" s="99">
        <v>1.1027041273370299</v>
      </c>
      <c r="F3349" s="99">
        <v>1.2235213592042</v>
      </c>
    </row>
    <row r="3350" spans="1:6" hidden="1" x14ac:dyDescent="0.2">
      <c r="A3350" s="97" t="s">
        <v>188</v>
      </c>
      <c r="B3350" s="97" t="s">
        <v>19</v>
      </c>
      <c r="C3350" s="97" t="s">
        <v>158</v>
      </c>
      <c r="D3350" s="99">
        <v>1.2352825065094599</v>
      </c>
      <c r="E3350" s="99">
        <v>1.2382037343207299</v>
      </c>
      <c r="F3350" s="99">
        <v>1.55870519200879</v>
      </c>
    </row>
    <row r="3351" spans="1:6" hidden="1" x14ac:dyDescent="0.2">
      <c r="A3351" s="100" t="s">
        <v>188</v>
      </c>
      <c r="B3351" s="100" t="s">
        <v>20</v>
      </c>
      <c r="C3351" s="100" t="s">
        <v>153</v>
      </c>
      <c r="D3351" s="101">
        <v>5687</v>
      </c>
      <c r="E3351" s="101">
        <v>3029</v>
      </c>
      <c r="F3351" s="101">
        <v>2658</v>
      </c>
    </row>
    <row r="3352" spans="1:6" hidden="1" x14ac:dyDescent="0.2">
      <c r="A3352" s="102" t="s">
        <v>188</v>
      </c>
      <c r="B3352" s="102" t="s">
        <v>20</v>
      </c>
      <c r="C3352" s="102" t="s">
        <v>154</v>
      </c>
      <c r="D3352" s="103">
        <v>472.35227205175499</v>
      </c>
      <c r="E3352" s="103">
        <v>314.22485237613802</v>
      </c>
      <c r="F3352" s="103">
        <v>216.46554460430201</v>
      </c>
    </row>
    <row r="3353" spans="1:6" hidden="1" x14ac:dyDescent="0.2">
      <c r="A3353" s="102" t="s">
        <v>188</v>
      </c>
      <c r="B3353" s="102" t="s">
        <v>20</v>
      </c>
      <c r="C3353" s="102" t="s">
        <v>155</v>
      </c>
      <c r="D3353" s="103">
        <v>4910.0180701216104</v>
      </c>
      <c r="E3353" s="103">
        <v>2512.1251024696799</v>
      </c>
      <c r="F3353" s="103">
        <v>2301.9313907218798</v>
      </c>
    </row>
    <row r="3354" spans="1:6" hidden="1" x14ac:dyDescent="0.2">
      <c r="A3354" s="102" t="s">
        <v>188</v>
      </c>
      <c r="B3354" s="102" t="s">
        <v>20</v>
      </c>
      <c r="C3354" s="102" t="s">
        <v>156</v>
      </c>
      <c r="D3354" s="103">
        <v>6463.9819298783896</v>
      </c>
      <c r="E3354" s="103">
        <v>3545.8748975303101</v>
      </c>
      <c r="F3354" s="103">
        <v>3014.0686092781102</v>
      </c>
    </row>
    <row r="3355" spans="1:6" hidden="1" x14ac:dyDescent="0.2">
      <c r="A3355" s="102" t="s">
        <v>188</v>
      </c>
      <c r="B3355" s="102" t="s">
        <v>20</v>
      </c>
      <c r="C3355" s="102" t="s">
        <v>157</v>
      </c>
      <c r="D3355" s="104">
        <v>8.3058250756419003</v>
      </c>
      <c r="E3355" s="104">
        <v>10.373880897198299</v>
      </c>
      <c r="F3355" s="104">
        <v>8.1439256811249994</v>
      </c>
    </row>
    <row r="3356" spans="1:6" hidden="1" x14ac:dyDescent="0.2">
      <c r="A3356" s="102" t="s">
        <v>188</v>
      </c>
      <c r="B3356" s="102" t="s">
        <v>20</v>
      </c>
      <c r="C3356" s="102" t="s">
        <v>158</v>
      </c>
      <c r="D3356" s="104">
        <v>4.1911684421490296</v>
      </c>
      <c r="E3356" s="104">
        <v>4.64397377319652</v>
      </c>
      <c r="F3356" s="104">
        <v>3.0543299700219602</v>
      </c>
    </row>
    <row r="3357" spans="1:6" hidden="1" x14ac:dyDescent="0.2">
      <c r="A3357" s="95" t="s">
        <v>189</v>
      </c>
      <c r="B3357" s="95" t="s">
        <v>152</v>
      </c>
      <c r="C3357" s="95" t="s">
        <v>153</v>
      </c>
      <c r="D3357" s="96">
        <v>2097175</v>
      </c>
      <c r="E3357" s="96">
        <v>1027548</v>
      </c>
      <c r="F3357" s="96">
        <v>1069627</v>
      </c>
    </row>
    <row r="3358" spans="1:6" hidden="1" x14ac:dyDescent="0.2">
      <c r="A3358" s="97" t="s">
        <v>189</v>
      </c>
      <c r="B3358" s="97" t="s">
        <v>152</v>
      </c>
      <c r="C3358" s="97" t="s">
        <v>154</v>
      </c>
      <c r="D3358" s="98">
        <v>30206.3425639052</v>
      </c>
      <c r="E3358" s="98">
        <v>14681.9857356759</v>
      </c>
      <c r="F3358" s="98">
        <v>15779.0571172537</v>
      </c>
    </row>
    <row r="3359" spans="1:6" hidden="1" x14ac:dyDescent="0.2">
      <c r="A3359" s="97" t="s">
        <v>189</v>
      </c>
      <c r="B3359" s="97" t="s">
        <v>152</v>
      </c>
      <c r="C3359" s="97" t="s">
        <v>155</v>
      </c>
      <c r="D3359" s="98">
        <v>2047484.28863148</v>
      </c>
      <c r="E3359" s="98">
        <v>1003395.5123572201</v>
      </c>
      <c r="F3359" s="98">
        <v>1043669.78352395</v>
      </c>
    </row>
    <row r="3360" spans="1:6" hidden="1" x14ac:dyDescent="0.2">
      <c r="A3360" s="97" t="s">
        <v>189</v>
      </c>
      <c r="B3360" s="97" t="s">
        <v>152</v>
      </c>
      <c r="C3360" s="97" t="s">
        <v>156</v>
      </c>
      <c r="D3360" s="98">
        <v>2146865.71136851</v>
      </c>
      <c r="E3360" s="98">
        <v>1051700.4876427699</v>
      </c>
      <c r="F3360" s="98">
        <v>1095584.21647604</v>
      </c>
    </row>
    <row r="3361" spans="1:6" hidden="1" x14ac:dyDescent="0.2">
      <c r="A3361" s="97" t="s">
        <v>189</v>
      </c>
      <c r="B3361" s="97" t="s">
        <v>152</v>
      </c>
      <c r="C3361" s="97" t="s">
        <v>157</v>
      </c>
      <c r="D3361" s="99">
        <v>1.44033485826911</v>
      </c>
      <c r="E3361" s="99">
        <v>1.42883697264516</v>
      </c>
      <c r="F3361" s="99">
        <v>1.4751924846001201</v>
      </c>
    </row>
    <row r="3362" spans="1:6" hidden="1" x14ac:dyDescent="0.2">
      <c r="A3362" s="97" t="s">
        <v>189</v>
      </c>
      <c r="B3362" s="97" t="s">
        <v>152</v>
      </c>
      <c r="C3362" s="97" t="s">
        <v>158</v>
      </c>
      <c r="D3362" s="99">
        <v>4.7814484533112802</v>
      </c>
      <c r="E3362" s="99">
        <v>1.97454725496762</v>
      </c>
      <c r="F3362" s="99">
        <v>2.1072408334305601</v>
      </c>
    </row>
    <row r="3363" spans="1:6" hidden="1" x14ac:dyDescent="0.2">
      <c r="A3363" s="100" t="s">
        <v>189</v>
      </c>
      <c r="B3363" s="100" t="s">
        <v>4</v>
      </c>
      <c r="C3363" s="100" t="s">
        <v>153</v>
      </c>
      <c r="D3363" s="101">
        <v>171669</v>
      </c>
      <c r="E3363" s="101">
        <v>86916</v>
      </c>
      <c r="F3363" s="101">
        <v>84753</v>
      </c>
    </row>
    <row r="3364" spans="1:6" hidden="1" x14ac:dyDescent="0.2">
      <c r="A3364" s="102" t="s">
        <v>189</v>
      </c>
      <c r="B3364" s="102" t="s">
        <v>4</v>
      </c>
      <c r="C3364" s="102" t="s">
        <v>154</v>
      </c>
      <c r="D3364" s="103">
        <v>2599.8946953578802</v>
      </c>
      <c r="E3364" s="103">
        <v>1445.7514495635901</v>
      </c>
      <c r="F3364" s="103">
        <v>1465.5970503599599</v>
      </c>
    </row>
    <row r="3365" spans="1:6" hidden="1" x14ac:dyDescent="0.2">
      <c r="A3365" s="102" t="s">
        <v>189</v>
      </c>
      <c r="B3365" s="102" t="s">
        <v>4</v>
      </c>
      <c r="C3365" s="102" t="s">
        <v>155</v>
      </c>
      <c r="D3365" s="103">
        <v>167392.063240038</v>
      </c>
      <c r="E3365" s="103">
        <v>84537.677704313493</v>
      </c>
      <c r="F3365" s="103">
        <v>82342.030851453994</v>
      </c>
    </row>
    <row r="3366" spans="1:6" hidden="1" x14ac:dyDescent="0.2">
      <c r="A3366" s="102" t="s">
        <v>189</v>
      </c>
      <c r="B3366" s="102" t="s">
        <v>4</v>
      </c>
      <c r="C3366" s="102" t="s">
        <v>156</v>
      </c>
      <c r="D3366" s="103">
        <v>175945.93675996101</v>
      </c>
      <c r="E3366" s="103">
        <v>89294.322295686405</v>
      </c>
      <c r="F3366" s="103">
        <v>87163.969148545904</v>
      </c>
    </row>
    <row r="3367" spans="1:6" hidden="1" x14ac:dyDescent="0.2">
      <c r="A3367" s="102" t="s">
        <v>189</v>
      </c>
      <c r="B3367" s="102" t="s">
        <v>4</v>
      </c>
      <c r="C3367" s="102" t="s">
        <v>157</v>
      </c>
      <c r="D3367" s="104">
        <v>1.5144811791050701</v>
      </c>
      <c r="E3367" s="104">
        <v>1.6633893064149201</v>
      </c>
      <c r="F3367" s="104">
        <v>1.72925684089054</v>
      </c>
    </row>
    <row r="3368" spans="1:6" hidden="1" x14ac:dyDescent="0.2">
      <c r="A3368" s="102" t="s">
        <v>189</v>
      </c>
      <c r="B3368" s="102" t="s">
        <v>4</v>
      </c>
      <c r="C3368" s="102" t="s">
        <v>158</v>
      </c>
      <c r="D3368" s="104">
        <v>1.19768278751112</v>
      </c>
      <c r="E3368" s="104">
        <v>1.2762443504697301</v>
      </c>
      <c r="F3368" s="104">
        <v>1.4089247446639399</v>
      </c>
    </row>
    <row r="3369" spans="1:6" hidden="1" x14ac:dyDescent="0.2">
      <c r="A3369" s="95" t="s">
        <v>189</v>
      </c>
      <c r="B3369" s="95" t="s">
        <v>5</v>
      </c>
      <c r="C3369" s="95" t="s">
        <v>153</v>
      </c>
      <c r="D3369" s="96">
        <v>181581</v>
      </c>
      <c r="E3369" s="96">
        <v>92157</v>
      </c>
      <c r="F3369" s="96">
        <v>89424</v>
      </c>
    </row>
    <row r="3370" spans="1:6" hidden="1" x14ac:dyDescent="0.2">
      <c r="A3370" s="97" t="s">
        <v>189</v>
      </c>
      <c r="B3370" s="97" t="s">
        <v>5</v>
      </c>
      <c r="C3370" s="97" t="s">
        <v>154</v>
      </c>
      <c r="D3370" s="98">
        <v>3036.1261600410298</v>
      </c>
      <c r="E3370" s="98">
        <v>1743.9849476111599</v>
      </c>
      <c r="F3370" s="98">
        <v>1601.5586479021999</v>
      </c>
    </row>
    <row r="3371" spans="1:6" hidden="1" x14ac:dyDescent="0.2">
      <c r="A3371" s="97" t="s">
        <v>189</v>
      </c>
      <c r="B3371" s="97" t="s">
        <v>5</v>
      </c>
      <c r="C3371" s="97" t="s">
        <v>155</v>
      </c>
      <c r="D3371" s="98">
        <v>176586.44402627199</v>
      </c>
      <c r="E3371" s="98">
        <v>89288.070983537895</v>
      </c>
      <c r="F3371" s="98">
        <v>86789.368271769607</v>
      </c>
    </row>
    <row r="3372" spans="1:6" hidden="1" x14ac:dyDescent="0.2">
      <c r="A3372" s="97" t="s">
        <v>189</v>
      </c>
      <c r="B3372" s="97" t="s">
        <v>5</v>
      </c>
      <c r="C3372" s="97" t="s">
        <v>156</v>
      </c>
      <c r="D3372" s="98">
        <v>186575.55597372699</v>
      </c>
      <c r="E3372" s="98">
        <v>95025.929016462105</v>
      </c>
      <c r="F3372" s="98">
        <v>92058.631728230306</v>
      </c>
    </row>
    <row r="3373" spans="1:6" hidden="1" x14ac:dyDescent="0.2">
      <c r="A3373" s="97" t="s">
        <v>189</v>
      </c>
      <c r="B3373" s="97" t="s">
        <v>5</v>
      </c>
      <c r="C3373" s="97" t="s">
        <v>157</v>
      </c>
      <c r="D3373" s="99">
        <v>1.67205057800157</v>
      </c>
      <c r="E3373" s="99">
        <v>1.8924063799941</v>
      </c>
      <c r="F3373" s="99">
        <v>1.79097182848251</v>
      </c>
    </row>
    <row r="3374" spans="1:6" hidden="1" x14ac:dyDescent="0.2">
      <c r="A3374" s="97" t="s">
        <v>189</v>
      </c>
      <c r="B3374" s="97" t="s">
        <v>5</v>
      </c>
      <c r="C3374" s="97" t="s">
        <v>158</v>
      </c>
      <c r="D3374" s="99">
        <v>1.4678576184220899</v>
      </c>
      <c r="E3374" s="99">
        <v>1.69732496838613</v>
      </c>
      <c r="F3374" s="99">
        <v>1.4923670164532401</v>
      </c>
    </row>
    <row r="3375" spans="1:6" hidden="1" x14ac:dyDescent="0.2">
      <c r="A3375" s="100" t="s">
        <v>189</v>
      </c>
      <c r="B3375" s="100" t="s">
        <v>6</v>
      </c>
      <c r="C3375" s="100" t="s">
        <v>153</v>
      </c>
      <c r="D3375" s="101">
        <v>188386</v>
      </c>
      <c r="E3375" s="101">
        <v>95728</v>
      </c>
      <c r="F3375" s="101">
        <v>92658</v>
      </c>
    </row>
    <row r="3376" spans="1:6" hidden="1" x14ac:dyDescent="0.2">
      <c r="A3376" s="102" t="s">
        <v>189</v>
      </c>
      <c r="B3376" s="102" t="s">
        <v>6</v>
      </c>
      <c r="C3376" s="102" t="s">
        <v>154</v>
      </c>
      <c r="D3376" s="103">
        <v>3094.91567517778</v>
      </c>
      <c r="E3376" s="103">
        <v>1713.30102263819</v>
      </c>
      <c r="F3376" s="103">
        <v>1730.4384458365701</v>
      </c>
    </row>
    <row r="3377" spans="1:6" hidden="1" x14ac:dyDescent="0.2">
      <c r="A3377" s="102" t="s">
        <v>189</v>
      </c>
      <c r="B3377" s="102" t="s">
        <v>6</v>
      </c>
      <c r="C3377" s="102" t="s">
        <v>155</v>
      </c>
      <c r="D3377" s="103">
        <v>183294.732786837</v>
      </c>
      <c r="E3377" s="103">
        <v>92909.547338172997</v>
      </c>
      <c r="F3377" s="103">
        <v>89811.355552029097</v>
      </c>
    </row>
    <row r="3378" spans="1:6" hidden="1" x14ac:dyDescent="0.2">
      <c r="A3378" s="102" t="s">
        <v>189</v>
      </c>
      <c r="B3378" s="102" t="s">
        <v>6</v>
      </c>
      <c r="C3378" s="102" t="s">
        <v>156</v>
      </c>
      <c r="D3378" s="103">
        <v>193477.26721316201</v>
      </c>
      <c r="E3378" s="103">
        <v>98546.452661827003</v>
      </c>
      <c r="F3378" s="103">
        <v>95504.644447970903</v>
      </c>
    </row>
    <row r="3379" spans="1:6" hidden="1" x14ac:dyDescent="0.2">
      <c r="A3379" s="102" t="s">
        <v>189</v>
      </c>
      <c r="B3379" s="102" t="s">
        <v>6</v>
      </c>
      <c r="C3379" s="102" t="s">
        <v>157</v>
      </c>
      <c r="D3379" s="104">
        <v>1.6428586387405499</v>
      </c>
      <c r="E3379" s="104">
        <v>1.7897595506416</v>
      </c>
      <c r="F3379" s="104">
        <v>1.86755428115928</v>
      </c>
    </row>
    <row r="3380" spans="1:6" hidden="1" x14ac:dyDescent="0.2">
      <c r="A3380" s="102" t="s">
        <v>189</v>
      </c>
      <c r="B3380" s="102" t="s">
        <v>6</v>
      </c>
      <c r="C3380" s="102" t="s">
        <v>158</v>
      </c>
      <c r="D3380" s="104">
        <v>1.46440715196467</v>
      </c>
      <c r="E3380" s="104">
        <v>1.56835540589026</v>
      </c>
      <c r="F3380" s="104">
        <v>1.66679679148607</v>
      </c>
    </row>
    <row r="3381" spans="1:6" hidden="1" x14ac:dyDescent="0.2">
      <c r="A3381" s="95" t="s">
        <v>189</v>
      </c>
      <c r="B3381" s="95" t="s">
        <v>7</v>
      </c>
      <c r="C3381" s="95" t="s">
        <v>153</v>
      </c>
      <c r="D3381" s="96">
        <v>187273</v>
      </c>
      <c r="E3381" s="96">
        <v>93608</v>
      </c>
      <c r="F3381" s="96">
        <v>93665</v>
      </c>
    </row>
    <row r="3382" spans="1:6" hidden="1" x14ac:dyDescent="0.2">
      <c r="A3382" s="97" t="s">
        <v>189</v>
      </c>
      <c r="B3382" s="97" t="s">
        <v>7</v>
      </c>
      <c r="C3382" s="97" t="s">
        <v>154</v>
      </c>
      <c r="D3382" s="98">
        <v>3261.0795615542802</v>
      </c>
      <c r="E3382" s="98">
        <v>1747.46292325026</v>
      </c>
      <c r="F3382" s="98">
        <v>1828.9556501371801</v>
      </c>
    </row>
    <row r="3383" spans="1:6" hidden="1" x14ac:dyDescent="0.2">
      <c r="A3383" s="97" t="s">
        <v>189</v>
      </c>
      <c r="B3383" s="97" t="s">
        <v>7</v>
      </c>
      <c r="C3383" s="97" t="s">
        <v>155</v>
      </c>
      <c r="D3383" s="98">
        <v>181908.38616434101</v>
      </c>
      <c r="E3383" s="98">
        <v>90733.349566478995</v>
      </c>
      <c r="F3383" s="98">
        <v>90656.290583277005</v>
      </c>
    </row>
    <row r="3384" spans="1:6" hidden="1" x14ac:dyDescent="0.2">
      <c r="A3384" s="97" t="s">
        <v>189</v>
      </c>
      <c r="B3384" s="97" t="s">
        <v>7</v>
      </c>
      <c r="C3384" s="97" t="s">
        <v>156</v>
      </c>
      <c r="D3384" s="98">
        <v>192637.613835658</v>
      </c>
      <c r="E3384" s="98">
        <v>96482.650433520903</v>
      </c>
      <c r="F3384" s="98">
        <v>96673.709416722995</v>
      </c>
    </row>
    <row r="3385" spans="1:6" hidden="1" x14ac:dyDescent="0.2">
      <c r="A3385" s="97" t="s">
        <v>189</v>
      </c>
      <c r="B3385" s="97" t="s">
        <v>7</v>
      </c>
      <c r="C3385" s="97" t="s">
        <v>157</v>
      </c>
      <c r="D3385" s="99">
        <v>1.7413506279892299</v>
      </c>
      <c r="E3385" s="99">
        <v>1.86678801304404</v>
      </c>
      <c r="F3385" s="99">
        <v>1.9526564353143401</v>
      </c>
    </row>
    <row r="3386" spans="1:6" hidden="1" x14ac:dyDescent="0.2">
      <c r="A3386" s="97" t="s">
        <v>189</v>
      </c>
      <c r="B3386" s="97" t="s">
        <v>7</v>
      </c>
      <c r="C3386" s="97" t="s">
        <v>158</v>
      </c>
      <c r="D3386" s="99">
        <v>1.6661825933596801</v>
      </c>
      <c r="E3386" s="99">
        <v>1.7147822407966999</v>
      </c>
      <c r="F3386" s="99">
        <v>1.8841879546308899</v>
      </c>
    </row>
    <row r="3387" spans="1:6" hidden="1" x14ac:dyDescent="0.2">
      <c r="A3387" s="100" t="s">
        <v>189</v>
      </c>
      <c r="B3387" s="100" t="s">
        <v>8</v>
      </c>
      <c r="C3387" s="100" t="s">
        <v>153</v>
      </c>
      <c r="D3387" s="101">
        <v>196828</v>
      </c>
      <c r="E3387" s="101">
        <v>97229</v>
      </c>
      <c r="F3387" s="101">
        <v>99599</v>
      </c>
    </row>
    <row r="3388" spans="1:6" hidden="1" x14ac:dyDescent="0.2">
      <c r="A3388" s="102" t="s">
        <v>189</v>
      </c>
      <c r="B3388" s="102" t="s">
        <v>8</v>
      </c>
      <c r="C3388" s="102" t="s">
        <v>154</v>
      </c>
      <c r="D3388" s="103">
        <v>3488.3906321302102</v>
      </c>
      <c r="E3388" s="103">
        <v>1855.53365681116</v>
      </c>
      <c r="F3388" s="103">
        <v>1937.35595792448</v>
      </c>
    </row>
    <row r="3389" spans="1:6" hidden="1" x14ac:dyDescent="0.2">
      <c r="A3389" s="102" t="s">
        <v>189</v>
      </c>
      <c r="B3389" s="102" t="s">
        <v>8</v>
      </c>
      <c r="C3389" s="102" t="s">
        <v>155</v>
      </c>
      <c r="D3389" s="103">
        <v>191089.449837063</v>
      </c>
      <c r="E3389" s="103">
        <v>94176.568637940698</v>
      </c>
      <c r="F3389" s="103">
        <v>96411.967491193893</v>
      </c>
    </row>
    <row r="3390" spans="1:6" hidden="1" x14ac:dyDescent="0.2">
      <c r="A3390" s="102" t="s">
        <v>189</v>
      </c>
      <c r="B3390" s="102" t="s">
        <v>8</v>
      </c>
      <c r="C3390" s="102" t="s">
        <v>156</v>
      </c>
      <c r="D3390" s="103">
        <v>202566.55016293601</v>
      </c>
      <c r="E3390" s="103">
        <v>100281.431362059</v>
      </c>
      <c r="F3390" s="103">
        <v>102786.03250880601</v>
      </c>
    </row>
    <row r="3391" spans="1:6" hidden="1" x14ac:dyDescent="0.2">
      <c r="A3391" s="102" t="s">
        <v>189</v>
      </c>
      <c r="B3391" s="102" t="s">
        <v>8</v>
      </c>
      <c r="C3391" s="102" t="s">
        <v>157</v>
      </c>
      <c r="D3391" s="104">
        <v>1.7723040584318299</v>
      </c>
      <c r="E3391" s="104">
        <v>1.90841586030007</v>
      </c>
      <c r="F3391" s="104">
        <v>1.9451560336192899</v>
      </c>
    </row>
    <row r="3392" spans="1:6" hidden="1" x14ac:dyDescent="0.2">
      <c r="A3392" s="102" t="s">
        <v>189</v>
      </c>
      <c r="B3392" s="102" t="s">
        <v>8</v>
      </c>
      <c r="C3392" s="102" t="s">
        <v>158</v>
      </c>
      <c r="D3392" s="104">
        <v>1.75586541391067</v>
      </c>
      <c r="E3392" s="104">
        <v>1.8538454531231201</v>
      </c>
      <c r="F3392" s="104">
        <v>1.9275562901983301</v>
      </c>
    </row>
    <row r="3393" spans="1:6" hidden="1" x14ac:dyDescent="0.2">
      <c r="A3393" s="95" t="s">
        <v>189</v>
      </c>
      <c r="B3393" s="95" t="s">
        <v>9</v>
      </c>
      <c r="C3393" s="95" t="s">
        <v>153</v>
      </c>
      <c r="D3393" s="96">
        <v>170633</v>
      </c>
      <c r="E3393" s="96">
        <v>84017</v>
      </c>
      <c r="F3393" s="96">
        <v>86616</v>
      </c>
    </row>
    <row r="3394" spans="1:6" hidden="1" x14ac:dyDescent="0.2">
      <c r="A3394" s="97" t="s">
        <v>189</v>
      </c>
      <c r="B3394" s="97" t="s">
        <v>9</v>
      </c>
      <c r="C3394" s="97" t="s">
        <v>154</v>
      </c>
      <c r="D3394" s="98">
        <v>3061.6928991511099</v>
      </c>
      <c r="E3394" s="98">
        <v>1624.0283165134699</v>
      </c>
      <c r="F3394" s="98">
        <v>1713.7400845172899</v>
      </c>
    </row>
    <row r="3395" spans="1:6" hidden="1" x14ac:dyDescent="0.2">
      <c r="A3395" s="97" t="s">
        <v>189</v>
      </c>
      <c r="B3395" s="97" t="s">
        <v>9</v>
      </c>
      <c r="C3395" s="97" t="s">
        <v>155</v>
      </c>
      <c r="D3395" s="98">
        <v>165596.38565886</v>
      </c>
      <c r="E3395" s="98">
        <v>81345.404716345904</v>
      </c>
      <c r="F3395" s="98">
        <v>83796.825062807693</v>
      </c>
    </row>
    <row r="3396" spans="1:6" hidden="1" x14ac:dyDescent="0.2">
      <c r="A3396" s="97" t="s">
        <v>189</v>
      </c>
      <c r="B3396" s="97" t="s">
        <v>9</v>
      </c>
      <c r="C3396" s="97" t="s">
        <v>156</v>
      </c>
      <c r="D3396" s="98">
        <v>175669.61434113901</v>
      </c>
      <c r="E3396" s="98">
        <v>86688.595283653995</v>
      </c>
      <c r="F3396" s="98">
        <v>89435.174937192205</v>
      </c>
    </row>
    <row r="3397" spans="1:6" hidden="1" x14ac:dyDescent="0.2">
      <c r="A3397" s="97" t="s">
        <v>189</v>
      </c>
      <c r="B3397" s="97" t="s">
        <v>9</v>
      </c>
      <c r="C3397" s="97" t="s">
        <v>157</v>
      </c>
      <c r="D3397" s="99">
        <v>1.7943146396952001</v>
      </c>
      <c r="E3397" s="99">
        <v>1.93297584597578</v>
      </c>
      <c r="F3397" s="99">
        <v>1.9785490954526801</v>
      </c>
    </row>
    <row r="3398" spans="1:6" hidden="1" x14ac:dyDescent="0.2">
      <c r="A3398" s="97" t="s">
        <v>189</v>
      </c>
      <c r="B3398" s="97" t="s">
        <v>9</v>
      </c>
      <c r="C3398" s="97" t="s">
        <v>158</v>
      </c>
      <c r="D3398" s="99">
        <v>1.7468733210871299</v>
      </c>
      <c r="E3398" s="99">
        <v>1.8192557310603801</v>
      </c>
      <c r="F3398" s="99">
        <v>1.94547788534984</v>
      </c>
    </row>
    <row r="3399" spans="1:6" hidden="1" x14ac:dyDescent="0.2">
      <c r="A3399" s="100" t="s">
        <v>189</v>
      </c>
      <c r="B3399" s="100" t="s">
        <v>10</v>
      </c>
      <c r="C3399" s="100" t="s">
        <v>153</v>
      </c>
      <c r="D3399" s="101">
        <v>160594</v>
      </c>
      <c r="E3399" s="101">
        <v>78000</v>
      </c>
      <c r="F3399" s="101">
        <v>82594</v>
      </c>
    </row>
    <row r="3400" spans="1:6" hidden="1" x14ac:dyDescent="0.2">
      <c r="A3400" s="102" t="s">
        <v>189</v>
      </c>
      <c r="B3400" s="102" t="s">
        <v>10</v>
      </c>
      <c r="C3400" s="102" t="s">
        <v>154</v>
      </c>
      <c r="D3400" s="103">
        <v>2815.7681732522101</v>
      </c>
      <c r="E3400" s="103">
        <v>1526.61470559284</v>
      </c>
      <c r="F3400" s="103">
        <v>1518.6262142287501</v>
      </c>
    </row>
    <row r="3401" spans="1:6" hidden="1" x14ac:dyDescent="0.2">
      <c r="A3401" s="102" t="s">
        <v>189</v>
      </c>
      <c r="B3401" s="102" t="s">
        <v>10</v>
      </c>
      <c r="C3401" s="102" t="s">
        <v>155</v>
      </c>
      <c r="D3401" s="103">
        <v>155961.94223657699</v>
      </c>
      <c r="E3401" s="103">
        <v>75488.654227301493</v>
      </c>
      <c r="F3401" s="103">
        <v>80095.795633540998</v>
      </c>
    </row>
    <row r="3402" spans="1:6" hidden="1" x14ac:dyDescent="0.2">
      <c r="A3402" s="102" t="s">
        <v>189</v>
      </c>
      <c r="B3402" s="102" t="s">
        <v>10</v>
      </c>
      <c r="C3402" s="102" t="s">
        <v>156</v>
      </c>
      <c r="D3402" s="103">
        <v>165226.057763422</v>
      </c>
      <c r="E3402" s="103">
        <v>80511.345772698405</v>
      </c>
      <c r="F3402" s="103">
        <v>85092.2043664589</v>
      </c>
    </row>
    <row r="3403" spans="1:6" hidden="1" x14ac:dyDescent="0.2">
      <c r="A3403" s="102" t="s">
        <v>189</v>
      </c>
      <c r="B3403" s="102" t="s">
        <v>10</v>
      </c>
      <c r="C3403" s="102" t="s">
        <v>157</v>
      </c>
      <c r="D3403" s="104">
        <v>1.7533458119557399</v>
      </c>
      <c r="E3403" s="104">
        <v>1.9571983405036399</v>
      </c>
      <c r="F3403" s="104">
        <v>1.8386640848351601</v>
      </c>
    </row>
    <row r="3404" spans="1:6" hidden="1" x14ac:dyDescent="0.2">
      <c r="A3404" s="102" t="s">
        <v>189</v>
      </c>
      <c r="B3404" s="102" t="s">
        <v>10</v>
      </c>
      <c r="C3404" s="102" t="s">
        <v>158</v>
      </c>
      <c r="D3404" s="104">
        <v>1.6468853989905401</v>
      </c>
      <c r="E3404" s="104">
        <v>1.8441194593370001</v>
      </c>
      <c r="F3404" s="104">
        <v>1.6749615521082899</v>
      </c>
    </row>
    <row r="3405" spans="1:6" hidden="1" x14ac:dyDescent="0.2">
      <c r="A3405" s="95" t="s">
        <v>189</v>
      </c>
      <c r="B3405" s="95" t="s">
        <v>11</v>
      </c>
      <c r="C3405" s="95" t="s">
        <v>153</v>
      </c>
      <c r="D3405" s="96">
        <v>155479</v>
      </c>
      <c r="E3405" s="96">
        <v>74624</v>
      </c>
      <c r="F3405" s="96">
        <v>80855</v>
      </c>
    </row>
    <row r="3406" spans="1:6" hidden="1" x14ac:dyDescent="0.2">
      <c r="A3406" s="97" t="s">
        <v>189</v>
      </c>
      <c r="B3406" s="97" t="s">
        <v>11</v>
      </c>
      <c r="C3406" s="97" t="s">
        <v>154</v>
      </c>
      <c r="D3406" s="98">
        <v>3164.04510929042</v>
      </c>
      <c r="E3406" s="98">
        <v>1565.4154363481</v>
      </c>
      <c r="F3406" s="98">
        <v>1814.3814294231499</v>
      </c>
    </row>
    <row r="3407" spans="1:6" hidden="1" x14ac:dyDescent="0.2">
      <c r="A3407" s="97" t="s">
        <v>189</v>
      </c>
      <c r="B3407" s="97" t="s">
        <v>11</v>
      </c>
      <c r="C3407" s="97" t="s">
        <v>155</v>
      </c>
      <c r="D3407" s="98">
        <v>150274.011943266</v>
      </c>
      <c r="E3407" s="98">
        <v>72048.825383780699</v>
      </c>
      <c r="F3407" s="98">
        <v>77870.265792900202</v>
      </c>
    </row>
    <row r="3408" spans="1:6" hidden="1" x14ac:dyDescent="0.2">
      <c r="A3408" s="97" t="s">
        <v>189</v>
      </c>
      <c r="B3408" s="97" t="s">
        <v>11</v>
      </c>
      <c r="C3408" s="97" t="s">
        <v>156</v>
      </c>
      <c r="D3408" s="98">
        <v>160683.98805673301</v>
      </c>
      <c r="E3408" s="98">
        <v>77199.174616219199</v>
      </c>
      <c r="F3408" s="98">
        <v>83839.734207099697</v>
      </c>
    </row>
    <row r="3409" spans="1:6" hidden="1" x14ac:dyDescent="0.2">
      <c r="A3409" s="97" t="s">
        <v>189</v>
      </c>
      <c r="B3409" s="97" t="s">
        <v>11</v>
      </c>
      <c r="C3409" s="97" t="s">
        <v>157</v>
      </c>
      <c r="D3409" s="99">
        <v>2.0350305245662899</v>
      </c>
      <c r="E3409" s="99">
        <v>2.0977372378163799</v>
      </c>
      <c r="F3409" s="99">
        <v>2.2439940998369301</v>
      </c>
    </row>
    <row r="3410" spans="1:6" hidden="1" x14ac:dyDescent="0.2">
      <c r="A3410" s="97" t="s">
        <v>189</v>
      </c>
      <c r="B3410" s="97" t="s">
        <v>11</v>
      </c>
      <c r="C3410" s="97" t="s">
        <v>158</v>
      </c>
      <c r="D3410" s="99">
        <v>2.0511772334499199</v>
      </c>
      <c r="E3410" s="99">
        <v>2.0300344840640201</v>
      </c>
      <c r="F3410" s="99">
        <v>2.2410130569409401</v>
      </c>
    </row>
    <row r="3411" spans="1:6" hidden="1" x14ac:dyDescent="0.2">
      <c r="A3411" s="100" t="s">
        <v>189</v>
      </c>
      <c r="B3411" s="100" t="s">
        <v>12</v>
      </c>
      <c r="C3411" s="100" t="s">
        <v>153</v>
      </c>
      <c r="D3411" s="101">
        <v>145165</v>
      </c>
      <c r="E3411" s="101">
        <v>69559</v>
      </c>
      <c r="F3411" s="101">
        <v>75606</v>
      </c>
    </row>
    <row r="3412" spans="1:6" hidden="1" x14ac:dyDescent="0.2">
      <c r="A3412" s="102" t="s">
        <v>189</v>
      </c>
      <c r="B3412" s="102" t="s">
        <v>12</v>
      </c>
      <c r="C3412" s="102" t="s">
        <v>154</v>
      </c>
      <c r="D3412" s="103">
        <v>3095.9085386688498</v>
      </c>
      <c r="E3412" s="103">
        <v>1598.41817746178</v>
      </c>
      <c r="F3412" s="103">
        <v>1717.92681808007</v>
      </c>
    </row>
    <row r="3413" spans="1:6" hidden="1" x14ac:dyDescent="0.2">
      <c r="A3413" s="102" t="s">
        <v>189</v>
      </c>
      <c r="B3413" s="102" t="s">
        <v>12</v>
      </c>
      <c r="C3413" s="102" t="s">
        <v>155</v>
      </c>
      <c r="D3413" s="103">
        <v>140072.09948439201</v>
      </c>
      <c r="E3413" s="103">
        <v>66929.534478498797</v>
      </c>
      <c r="F3413" s="103">
        <v>72779.937708981102</v>
      </c>
    </row>
    <row r="3414" spans="1:6" hidden="1" x14ac:dyDescent="0.2">
      <c r="A3414" s="102" t="s">
        <v>189</v>
      </c>
      <c r="B3414" s="102" t="s">
        <v>12</v>
      </c>
      <c r="C3414" s="102" t="s">
        <v>156</v>
      </c>
      <c r="D3414" s="103">
        <v>150257.90051560701</v>
      </c>
      <c r="E3414" s="103">
        <v>72188.465521501101</v>
      </c>
      <c r="F3414" s="103">
        <v>78432.062291018796</v>
      </c>
    </row>
    <row r="3415" spans="1:6" hidden="1" x14ac:dyDescent="0.2">
      <c r="A3415" s="102" t="s">
        <v>189</v>
      </c>
      <c r="B3415" s="102" t="s">
        <v>12</v>
      </c>
      <c r="C3415" s="102" t="s">
        <v>157</v>
      </c>
      <c r="D3415" s="104">
        <v>2.1326824914193101</v>
      </c>
      <c r="E3415" s="104">
        <v>2.2979315077298099</v>
      </c>
      <c r="F3415" s="104">
        <v>2.27220963690722</v>
      </c>
    </row>
    <row r="3416" spans="1:6" hidden="1" x14ac:dyDescent="0.2">
      <c r="A3416" s="102" t="s">
        <v>189</v>
      </c>
      <c r="B3416" s="102" t="s">
        <v>12</v>
      </c>
      <c r="C3416" s="102" t="s">
        <v>158</v>
      </c>
      <c r="D3416" s="104">
        <v>2.27641224957451</v>
      </c>
      <c r="E3416" s="104">
        <v>2.3326671512680099</v>
      </c>
      <c r="F3416" s="104">
        <v>2.40499874475567</v>
      </c>
    </row>
    <row r="3417" spans="1:6" hidden="1" x14ac:dyDescent="0.2">
      <c r="A3417" s="95" t="s">
        <v>189</v>
      </c>
      <c r="B3417" s="95" t="s">
        <v>13</v>
      </c>
      <c r="C3417" s="95" t="s">
        <v>153</v>
      </c>
      <c r="D3417" s="96">
        <v>113962</v>
      </c>
      <c r="E3417" s="96">
        <v>53590</v>
      </c>
      <c r="F3417" s="96">
        <v>60372</v>
      </c>
    </row>
    <row r="3418" spans="1:6" hidden="1" x14ac:dyDescent="0.2">
      <c r="A3418" s="97" t="s">
        <v>189</v>
      </c>
      <c r="B3418" s="97" t="s">
        <v>13</v>
      </c>
      <c r="C3418" s="97" t="s">
        <v>154</v>
      </c>
      <c r="D3418" s="98">
        <v>2459.6778278551501</v>
      </c>
      <c r="E3418" s="98">
        <v>1247.2634806682199</v>
      </c>
      <c r="F3418" s="98">
        <v>1445.2231960972499</v>
      </c>
    </row>
    <row r="3419" spans="1:6" hidden="1" x14ac:dyDescent="0.2">
      <c r="A3419" s="97" t="s">
        <v>189</v>
      </c>
      <c r="B3419" s="97" t="s">
        <v>13</v>
      </c>
      <c r="C3419" s="97" t="s">
        <v>155</v>
      </c>
      <c r="D3419" s="98">
        <v>109915.72591882201</v>
      </c>
      <c r="E3419" s="98">
        <v>51538.198809993097</v>
      </c>
      <c r="F3419" s="98">
        <v>57994.546703612898</v>
      </c>
    </row>
    <row r="3420" spans="1:6" hidden="1" x14ac:dyDescent="0.2">
      <c r="A3420" s="97" t="s">
        <v>189</v>
      </c>
      <c r="B3420" s="97" t="s">
        <v>13</v>
      </c>
      <c r="C3420" s="97" t="s">
        <v>156</v>
      </c>
      <c r="D3420" s="98">
        <v>118008.27408117701</v>
      </c>
      <c r="E3420" s="98">
        <v>55641.801190006801</v>
      </c>
      <c r="F3420" s="98">
        <v>62749.453296387001</v>
      </c>
    </row>
    <row r="3421" spans="1:6" hidden="1" x14ac:dyDescent="0.2">
      <c r="A3421" s="97" t="s">
        <v>189</v>
      </c>
      <c r="B3421" s="97" t="s">
        <v>13</v>
      </c>
      <c r="C3421" s="97" t="s">
        <v>157</v>
      </c>
      <c r="D3421" s="99">
        <v>2.1583315735553499</v>
      </c>
      <c r="E3421" s="99">
        <v>2.32741832556116</v>
      </c>
      <c r="F3421" s="99">
        <v>2.3938633739105</v>
      </c>
    </row>
    <row r="3422" spans="1:6" hidden="1" x14ac:dyDescent="0.2">
      <c r="A3422" s="97" t="s">
        <v>189</v>
      </c>
      <c r="B3422" s="97" t="s">
        <v>13</v>
      </c>
      <c r="C3422" s="97" t="s">
        <v>158</v>
      </c>
      <c r="D3422" s="99">
        <v>2.4573988455262299</v>
      </c>
      <c r="E3422" s="99">
        <v>2.4910649982072002</v>
      </c>
      <c r="F3422" s="99">
        <v>2.6895708727495302</v>
      </c>
    </row>
    <row r="3423" spans="1:6" hidden="1" x14ac:dyDescent="0.2">
      <c r="A3423" s="100" t="s">
        <v>189</v>
      </c>
      <c r="B3423" s="100" t="s">
        <v>14</v>
      </c>
      <c r="C3423" s="100" t="s">
        <v>153</v>
      </c>
      <c r="D3423" s="101">
        <v>104660</v>
      </c>
      <c r="E3423" s="101">
        <v>48892</v>
      </c>
      <c r="F3423" s="101">
        <v>55768</v>
      </c>
    </row>
    <row r="3424" spans="1:6" hidden="1" x14ac:dyDescent="0.2">
      <c r="A3424" s="102" t="s">
        <v>189</v>
      </c>
      <c r="B3424" s="102" t="s">
        <v>14</v>
      </c>
      <c r="C3424" s="102" t="s">
        <v>154</v>
      </c>
      <c r="D3424" s="103">
        <v>2283.86641932047</v>
      </c>
      <c r="E3424" s="103">
        <v>1168.00325367048</v>
      </c>
      <c r="F3424" s="103">
        <v>1302.6932112910799</v>
      </c>
    </row>
    <row r="3425" spans="1:6" hidden="1" x14ac:dyDescent="0.2">
      <c r="A3425" s="102" t="s">
        <v>189</v>
      </c>
      <c r="B3425" s="102" t="s">
        <v>14</v>
      </c>
      <c r="C3425" s="102" t="s">
        <v>155</v>
      </c>
      <c r="D3425" s="103">
        <v>100902.943123398</v>
      </c>
      <c r="E3425" s="103">
        <v>46970.585236433697</v>
      </c>
      <c r="F3425" s="103">
        <v>53625.014558215902</v>
      </c>
    </row>
    <row r="3426" spans="1:6" hidden="1" x14ac:dyDescent="0.2">
      <c r="A3426" s="102" t="s">
        <v>189</v>
      </c>
      <c r="B3426" s="102" t="s">
        <v>14</v>
      </c>
      <c r="C3426" s="102" t="s">
        <v>156</v>
      </c>
      <c r="D3426" s="103">
        <v>108417.056876601</v>
      </c>
      <c r="E3426" s="103">
        <v>50813.414763566201</v>
      </c>
      <c r="F3426" s="103">
        <v>57910.985441784003</v>
      </c>
    </row>
    <row r="3427" spans="1:6" hidden="1" x14ac:dyDescent="0.2">
      <c r="A3427" s="102" t="s">
        <v>189</v>
      </c>
      <c r="B3427" s="102" t="s">
        <v>14</v>
      </c>
      <c r="C3427" s="102" t="s">
        <v>157</v>
      </c>
      <c r="D3427" s="104">
        <v>2.1821769724063298</v>
      </c>
      <c r="E3427" s="104">
        <v>2.3889455405188702</v>
      </c>
      <c r="F3427" s="104">
        <v>2.3359152404444901</v>
      </c>
    </row>
    <row r="3428" spans="1:6" hidden="1" x14ac:dyDescent="0.2">
      <c r="A3428" s="102" t="s">
        <v>189</v>
      </c>
      <c r="B3428" s="102" t="s">
        <v>14</v>
      </c>
      <c r="C3428" s="102" t="s">
        <v>158</v>
      </c>
      <c r="D3428" s="104">
        <v>2.45474032842918</v>
      </c>
      <c r="E3428" s="104">
        <v>2.5682793535641801</v>
      </c>
      <c r="F3428" s="104">
        <v>2.5385269814212799</v>
      </c>
    </row>
    <row r="3429" spans="1:6" hidden="1" x14ac:dyDescent="0.2">
      <c r="A3429" s="95" t="s">
        <v>189</v>
      </c>
      <c r="B3429" s="95" t="s">
        <v>15</v>
      </c>
      <c r="C3429" s="95" t="s">
        <v>153</v>
      </c>
      <c r="D3429" s="96">
        <v>86976</v>
      </c>
      <c r="E3429" s="96">
        <v>41126</v>
      </c>
      <c r="F3429" s="96">
        <v>45850</v>
      </c>
    </row>
    <row r="3430" spans="1:6" hidden="1" x14ac:dyDescent="0.2">
      <c r="A3430" s="97" t="s">
        <v>189</v>
      </c>
      <c r="B3430" s="97" t="s">
        <v>15</v>
      </c>
      <c r="C3430" s="97" t="s">
        <v>154</v>
      </c>
      <c r="D3430" s="98">
        <v>1976.6569391084399</v>
      </c>
      <c r="E3430" s="98">
        <v>1029.44369597384</v>
      </c>
      <c r="F3430" s="98">
        <v>1197.73972534825</v>
      </c>
    </row>
    <row r="3431" spans="1:6" hidden="1" x14ac:dyDescent="0.2">
      <c r="A3431" s="97" t="s">
        <v>189</v>
      </c>
      <c r="B3431" s="97" t="s">
        <v>15</v>
      </c>
      <c r="C3431" s="97" t="s">
        <v>155</v>
      </c>
      <c r="D3431" s="98">
        <v>83724.315714555196</v>
      </c>
      <c r="E3431" s="98">
        <v>39432.521570476398</v>
      </c>
      <c r="F3431" s="98">
        <v>43879.6674825503</v>
      </c>
    </row>
    <row r="3432" spans="1:6" hidden="1" x14ac:dyDescent="0.2">
      <c r="A3432" s="97" t="s">
        <v>189</v>
      </c>
      <c r="B3432" s="97" t="s">
        <v>15</v>
      </c>
      <c r="C3432" s="97" t="s">
        <v>156</v>
      </c>
      <c r="D3432" s="98">
        <v>90227.684285444702</v>
      </c>
      <c r="E3432" s="98">
        <v>42819.478429523602</v>
      </c>
      <c r="F3432" s="98">
        <v>47820.332517449599</v>
      </c>
    </row>
    <row r="3433" spans="1:6" hidden="1" x14ac:dyDescent="0.2">
      <c r="A3433" s="97" t="s">
        <v>189</v>
      </c>
      <c r="B3433" s="97" t="s">
        <v>15</v>
      </c>
      <c r="C3433" s="97" t="s">
        <v>157</v>
      </c>
      <c r="D3433" s="99">
        <v>2.2726464071794998</v>
      </c>
      <c r="E3433" s="99">
        <v>2.5031456887950201</v>
      </c>
      <c r="F3433" s="99">
        <v>2.6123003824389301</v>
      </c>
    </row>
    <row r="3434" spans="1:6" hidden="1" x14ac:dyDescent="0.2">
      <c r="A3434" s="97" t="s">
        <v>189</v>
      </c>
      <c r="B3434" s="97" t="s">
        <v>15</v>
      </c>
      <c r="C3434" s="97" t="s">
        <v>158</v>
      </c>
      <c r="D3434" s="99">
        <v>2.5127711248016502</v>
      </c>
      <c r="E3434" s="99">
        <v>2.6362193138022398</v>
      </c>
      <c r="F3434" s="99">
        <v>2.8434744728281802</v>
      </c>
    </row>
    <row r="3435" spans="1:6" hidden="1" x14ac:dyDescent="0.2">
      <c r="A3435" s="100" t="s">
        <v>189</v>
      </c>
      <c r="B3435" s="100" t="s">
        <v>16</v>
      </c>
      <c r="C3435" s="100" t="s">
        <v>153</v>
      </c>
      <c r="D3435" s="101">
        <v>69397</v>
      </c>
      <c r="E3435" s="101">
        <v>33085</v>
      </c>
      <c r="F3435" s="101">
        <v>36312</v>
      </c>
    </row>
    <row r="3436" spans="1:6" hidden="1" x14ac:dyDescent="0.2">
      <c r="A3436" s="102" t="s">
        <v>189</v>
      </c>
      <c r="B3436" s="102" t="s">
        <v>16</v>
      </c>
      <c r="C3436" s="102" t="s">
        <v>154</v>
      </c>
      <c r="D3436" s="103">
        <v>1582.32005757089</v>
      </c>
      <c r="E3436" s="103">
        <v>864.28876215230503</v>
      </c>
      <c r="F3436" s="103">
        <v>916.26243433266404</v>
      </c>
    </row>
    <row r="3437" spans="1:6" hidden="1" x14ac:dyDescent="0.2">
      <c r="A3437" s="102" t="s">
        <v>189</v>
      </c>
      <c r="B3437" s="102" t="s">
        <v>16</v>
      </c>
      <c r="C3437" s="102" t="s">
        <v>155</v>
      </c>
      <c r="D3437" s="103">
        <v>66794.016566735096</v>
      </c>
      <c r="E3437" s="103">
        <v>31663.2084233368</v>
      </c>
      <c r="F3437" s="103">
        <v>34804.709533902802</v>
      </c>
    </row>
    <row r="3438" spans="1:6" hidden="1" x14ac:dyDescent="0.2">
      <c r="A3438" s="102" t="s">
        <v>189</v>
      </c>
      <c r="B3438" s="102" t="s">
        <v>16</v>
      </c>
      <c r="C3438" s="102" t="s">
        <v>156</v>
      </c>
      <c r="D3438" s="103">
        <v>71999.983433264802</v>
      </c>
      <c r="E3438" s="103">
        <v>34506.791576663098</v>
      </c>
      <c r="F3438" s="103">
        <v>37819.290466097103</v>
      </c>
    </row>
    <row r="3439" spans="1:6" hidden="1" x14ac:dyDescent="0.2">
      <c r="A3439" s="102" t="s">
        <v>189</v>
      </c>
      <c r="B3439" s="102" t="s">
        <v>16</v>
      </c>
      <c r="C3439" s="102" t="s">
        <v>157</v>
      </c>
      <c r="D3439" s="104">
        <v>2.2800986462972301</v>
      </c>
      <c r="E3439" s="104">
        <v>2.6123281310331099</v>
      </c>
      <c r="F3439" s="104">
        <v>2.5233047872126702</v>
      </c>
    </row>
    <row r="3440" spans="1:6" hidden="1" x14ac:dyDescent="0.2">
      <c r="A3440" s="102" t="s">
        <v>189</v>
      </c>
      <c r="B3440" s="102" t="s">
        <v>16</v>
      </c>
      <c r="C3440" s="102" t="s">
        <v>158</v>
      </c>
      <c r="D3440" s="104">
        <v>2.3781616196111401</v>
      </c>
      <c r="E3440" s="104">
        <v>2.5888679697672199</v>
      </c>
      <c r="F3440" s="104">
        <v>2.5323026991857498</v>
      </c>
    </row>
    <row r="3441" spans="1:6" hidden="1" x14ac:dyDescent="0.2">
      <c r="A3441" s="95" t="s">
        <v>189</v>
      </c>
      <c r="B3441" s="95" t="s">
        <v>17</v>
      </c>
      <c r="C3441" s="95" t="s">
        <v>153</v>
      </c>
      <c r="D3441" s="96">
        <v>58384</v>
      </c>
      <c r="E3441" s="96">
        <v>27880</v>
      </c>
      <c r="F3441" s="96">
        <v>30504</v>
      </c>
    </row>
    <row r="3442" spans="1:6" hidden="1" x14ac:dyDescent="0.2">
      <c r="A3442" s="97" t="s">
        <v>189</v>
      </c>
      <c r="B3442" s="97" t="s">
        <v>17</v>
      </c>
      <c r="C3442" s="97" t="s">
        <v>154</v>
      </c>
      <c r="D3442" s="98">
        <v>1410.5012899814501</v>
      </c>
      <c r="E3442" s="98">
        <v>726.52565687061497</v>
      </c>
      <c r="F3442" s="98">
        <v>871.42716464460602</v>
      </c>
    </row>
    <row r="3443" spans="1:6" hidden="1" x14ac:dyDescent="0.2">
      <c r="A3443" s="97" t="s">
        <v>189</v>
      </c>
      <c r="B3443" s="97" t="s">
        <v>17</v>
      </c>
      <c r="C3443" s="97" t="s">
        <v>155</v>
      </c>
      <c r="D3443" s="98">
        <v>56063.665708050998</v>
      </c>
      <c r="E3443" s="98">
        <v>26684.834559463699</v>
      </c>
      <c r="F3443" s="98">
        <v>29070.465449253599</v>
      </c>
    </row>
    <row r="3444" spans="1:6" hidden="1" x14ac:dyDescent="0.2">
      <c r="A3444" s="97" t="s">
        <v>189</v>
      </c>
      <c r="B3444" s="97" t="s">
        <v>17</v>
      </c>
      <c r="C3444" s="97" t="s">
        <v>156</v>
      </c>
      <c r="D3444" s="98">
        <v>60704.3342919489</v>
      </c>
      <c r="E3444" s="98">
        <v>29075.165440536199</v>
      </c>
      <c r="F3444" s="98">
        <v>31937.534550746299</v>
      </c>
    </row>
    <row r="3445" spans="1:6" hidden="1" x14ac:dyDescent="0.2">
      <c r="A3445" s="97" t="s">
        <v>189</v>
      </c>
      <c r="B3445" s="97" t="s">
        <v>17</v>
      </c>
      <c r="C3445" s="97" t="s">
        <v>157</v>
      </c>
      <c r="D3445" s="99">
        <v>2.41590382635902</v>
      </c>
      <c r="E3445" s="99">
        <v>2.6059026430079402</v>
      </c>
      <c r="F3445" s="99">
        <v>2.85676358721678</v>
      </c>
    </row>
    <row r="3446" spans="1:6" hidden="1" x14ac:dyDescent="0.2">
      <c r="A3446" s="97" t="s">
        <v>189</v>
      </c>
      <c r="B3446" s="97" t="s">
        <v>17</v>
      </c>
      <c r="C3446" s="97" t="s">
        <v>158</v>
      </c>
      <c r="D3446" s="99">
        <v>2.5266343608743602</v>
      </c>
      <c r="E3446" s="99">
        <v>2.4978142008814599</v>
      </c>
      <c r="F3446" s="99">
        <v>2.8997772791608001</v>
      </c>
    </row>
    <row r="3447" spans="1:6" hidden="1" x14ac:dyDescent="0.2">
      <c r="A3447" s="100" t="s">
        <v>189</v>
      </c>
      <c r="B3447" s="100" t="s">
        <v>18</v>
      </c>
      <c r="C3447" s="100" t="s">
        <v>153</v>
      </c>
      <c r="D3447" s="101">
        <v>40454</v>
      </c>
      <c r="E3447" s="101">
        <v>19143</v>
      </c>
      <c r="F3447" s="101">
        <v>21311</v>
      </c>
    </row>
    <row r="3448" spans="1:6" hidden="1" x14ac:dyDescent="0.2">
      <c r="A3448" s="102" t="s">
        <v>189</v>
      </c>
      <c r="B3448" s="102" t="s">
        <v>18</v>
      </c>
      <c r="C3448" s="102" t="s">
        <v>154</v>
      </c>
      <c r="D3448" s="103">
        <v>1241.21591279631</v>
      </c>
      <c r="E3448" s="103">
        <v>670.04021558142699</v>
      </c>
      <c r="F3448" s="103">
        <v>746.13783415175999</v>
      </c>
    </row>
    <row r="3449" spans="1:6" hidden="1" x14ac:dyDescent="0.2">
      <c r="A3449" s="102" t="s">
        <v>189</v>
      </c>
      <c r="B3449" s="102" t="s">
        <v>18</v>
      </c>
      <c r="C3449" s="102" t="s">
        <v>155</v>
      </c>
      <c r="D3449" s="103">
        <v>38412.147314979098</v>
      </c>
      <c r="E3449" s="103">
        <v>18040.755499947802</v>
      </c>
      <c r="F3449" s="103">
        <v>20083.571698161501</v>
      </c>
    </row>
    <row r="3450" spans="1:6" hidden="1" x14ac:dyDescent="0.2">
      <c r="A3450" s="102" t="s">
        <v>189</v>
      </c>
      <c r="B3450" s="102" t="s">
        <v>18</v>
      </c>
      <c r="C3450" s="102" t="s">
        <v>156</v>
      </c>
      <c r="D3450" s="103">
        <v>42495.8526850208</v>
      </c>
      <c r="E3450" s="103">
        <v>20245.2445000521</v>
      </c>
      <c r="F3450" s="103">
        <v>22538.428301838401</v>
      </c>
    </row>
    <row r="3451" spans="1:6" hidden="1" x14ac:dyDescent="0.2">
      <c r="A3451" s="102" t="s">
        <v>189</v>
      </c>
      <c r="B3451" s="102" t="s">
        <v>18</v>
      </c>
      <c r="C3451" s="102" t="s">
        <v>157</v>
      </c>
      <c r="D3451" s="104">
        <v>3.0682155356610199</v>
      </c>
      <c r="E3451" s="104">
        <v>3.5001839606196898</v>
      </c>
      <c r="F3451" s="104">
        <v>3.5011864021010699</v>
      </c>
    </row>
    <row r="3452" spans="1:6" hidden="1" x14ac:dyDescent="0.2">
      <c r="A3452" s="102" t="s">
        <v>189</v>
      </c>
      <c r="B3452" s="102" t="s">
        <v>18</v>
      </c>
      <c r="C3452" s="102" t="s">
        <v>158</v>
      </c>
      <c r="D3452" s="104">
        <v>3.29767498676358</v>
      </c>
      <c r="E3452" s="104">
        <v>3.3928429217106402</v>
      </c>
      <c r="F3452" s="104">
        <v>3.50861787561908</v>
      </c>
    </row>
    <row r="3453" spans="1:6" hidden="1" x14ac:dyDescent="0.2">
      <c r="A3453" s="95" t="s">
        <v>189</v>
      </c>
      <c r="B3453" s="95" t="s">
        <v>19</v>
      </c>
      <c r="C3453" s="95" t="s">
        <v>153</v>
      </c>
      <c r="D3453" s="96">
        <v>64478</v>
      </c>
      <c r="E3453" s="96">
        <v>31281</v>
      </c>
      <c r="F3453" s="96">
        <v>33197</v>
      </c>
    </row>
    <row r="3454" spans="1:6" hidden="1" x14ac:dyDescent="0.2">
      <c r="A3454" s="97" t="s">
        <v>189</v>
      </c>
      <c r="B3454" s="97" t="s">
        <v>19</v>
      </c>
      <c r="C3454" s="97" t="s">
        <v>154</v>
      </c>
      <c r="D3454" s="98">
        <v>1669.25431062848</v>
      </c>
      <c r="E3454" s="98">
        <v>837.98560549891897</v>
      </c>
      <c r="F3454" s="98">
        <v>1012.55607376776</v>
      </c>
    </row>
    <row r="3455" spans="1:6" hidden="1" x14ac:dyDescent="0.2">
      <c r="A3455" s="97" t="s">
        <v>189</v>
      </c>
      <c r="B3455" s="97" t="s">
        <v>19</v>
      </c>
      <c r="C3455" s="97" t="s">
        <v>155</v>
      </c>
      <c r="D3455" s="98">
        <v>61732.0060427836</v>
      </c>
      <c r="E3455" s="98">
        <v>29902.478228761898</v>
      </c>
      <c r="F3455" s="98">
        <v>31531.3024234203</v>
      </c>
    </row>
    <row r="3456" spans="1:6" hidden="1" x14ac:dyDescent="0.2">
      <c r="A3456" s="97" t="s">
        <v>189</v>
      </c>
      <c r="B3456" s="97" t="s">
        <v>19</v>
      </c>
      <c r="C3456" s="97" t="s">
        <v>156</v>
      </c>
      <c r="D3456" s="98">
        <v>67223.993957216298</v>
      </c>
      <c r="E3456" s="98">
        <v>32659.521771238</v>
      </c>
      <c r="F3456" s="98">
        <v>34862.697576579601</v>
      </c>
    </row>
    <row r="3457" spans="1:6" hidden="1" x14ac:dyDescent="0.2">
      <c r="A3457" s="97" t="s">
        <v>189</v>
      </c>
      <c r="B3457" s="97" t="s">
        <v>19</v>
      </c>
      <c r="C3457" s="97" t="s">
        <v>157</v>
      </c>
      <c r="D3457" s="99">
        <v>2.5888742061299701</v>
      </c>
      <c r="E3457" s="99">
        <v>2.67889647229602</v>
      </c>
      <c r="F3457" s="99">
        <v>3.0501433074306901</v>
      </c>
    </row>
    <row r="3458" spans="1:6" hidden="1" x14ac:dyDescent="0.2">
      <c r="A3458" s="97" t="s">
        <v>189</v>
      </c>
      <c r="B3458" s="97" t="s">
        <v>19</v>
      </c>
      <c r="C3458" s="97" t="s">
        <v>158</v>
      </c>
      <c r="D3458" s="99">
        <v>2.6645957005074599</v>
      </c>
      <c r="E3458" s="99">
        <v>2.4780232924304402</v>
      </c>
      <c r="F3458" s="99">
        <v>3.0786602838242101</v>
      </c>
    </row>
    <row r="3459" spans="1:6" hidden="1" x14ac:dyDescent="0.2">
      <c r="A3459" s="100" t="s">
        <v>189</v>
      </c>
      <c r="B3459" s="100" t="s">
        <v>20</v>
      </c>
      <c r="C3459" s="100" t="s">
        <v>153</v>
      </c>
      <c r="D3459" s="101">
        <v>1256</v>
      </c>
      <c r="E3459" s="101">
        <v>713</v>
      </c>
      <c r="F3459" s="101">
        <v>543</v>
      </c>
    </row>
    <row r="3460" spans="1:6" hidden="1" x14ac:dyDescent="0.2">
      <c r="A3460" s="102" t="s">
        <v>189</v>
      </c>
      <c r="B3460" s="102" t="s">
        <v>20</v>
      </c>
      <c r="C3460" s="102" t="s">
        <v>154</v>
      </c>
      <c r="D3460" s="103">
        <v>169.70026096353601</v>
      </c>
      <c r="E3460" s="103">
        <v>108.782959164583</v>
      </c>
      <c r="F3460" s="103">
        <v>93.917568518248103</v>
      </c>
    </row>
    <row r="3461" spans="1:6" hidden="1" x14ac:dyDescent="0.2">
      <c r="A3461" s="102" t="s">
        <v>189</v>
      </c>
      <c r="B3461" s="102" t="s">
        <v>20</v>
      </c>
      <c r="C3461" s="102" t="s">
        <v>155</v>
      </c>
      <c r="D3461" s="103">
        <v>976.835891705167</v>
      </c>
      <c r="E3461" s="103">
        <v>534.04743021356001</v>
      </c>
      <c r="F3461" s="103">
        <v>388.50162669314199</v>
      </c>
    </row>
    <row r="3462" spans="1:6" hidden="1" x14ac:dyDescent="0.2">
      <c r="A3462" s="102" t="s">
        <v>189</v>
      </c>
      <c r="B3462" s="102" t="s">
        <v>20</v>
      </c>
      <c r="C3462" s="102" t="s">
        <v>156</v>
      </c>
      <c r="D3462" s="103">
        <v>1535.1641082948299</v>
      </c>
      <c r="E3462" s="103">
        <v>891.95256978643897</v>
      </c>
      <c r="F3462" s="103">
        <v>697.49837330685705</v>
      </c>
    </row>
    <row r="3463" spans="1:6" hidden="1" x14ac:dyDescent="0.2">
      <c r="A3463" s="102" t="s">
        <v>189</v>
      </c>
      <c r="B3463" s="102" t="s">
        <v>20</v>
      </c>
      <c r="C3463" s="102" t="s">
        <v>157</v>
      </c>
      <c r="D3463" s="104">
        <v>13.511167274166899</v>
      </c>
      <c r="E3463" s="104">
        <v>15.257077021680701</v>
      </c>
      <c r="F3463" s="104">
        <v>17.296053134115599</v>
      </c>
    </row>
    <row r="3464" spans="1:6" hidden="1" x14ac:dyDescent="0.2">
      <c r="A3464" s="102" t="s">
        <v>189</v>
      </c>
      <c r="B3464" s="102" t="s">
        <v>20</v>
      </c>
      <c r="C3464" s="102" t="s">
        <v>158</v>
      </c>
      <c r="D3464" s="104">
        <v>4.3532329409194501</v>
      </c>
      <c r="E3464" s="104">
        <v>4.0758466632949499</v>
      </c>
      <c r="F3464" s="104">
        <v>3.9685759053577501</v>
      </c>
    </row>
    <row r="3465" spans="1:6" hidden="1" x14ac:dyDescent="0.2">
      <c r="A3465" s="95" t="s">
        <v>190</v>
      </c>
      <c r="B3465" s="95" t="s">
        <v>152</v>
      </c>
      <c r="C3465" s="95" t="s">
        <v>153</v>
      </c>
      <c r="D3465" s="96">
        <v>1579209</v>
      </c>
      <c r="E3465" s="96">
        <v>770368</v>
      </c>
      <c r="F3465" s="96">
        <v>808841</v>
      </c>
    </row>
    <row r="3466" spans="1:6" hidden="1" x14ac:dyDescent="0.2">
      <c r="A3466" s="97" t="s">
        <v>190</v>
      </c>
      <c r="B3466" s="97" t="s">
        <v>152</v>
      </c>
      <c r="C3466" s="97" t="s">
        <v>154</v>
      </c>
      <c r="D3466" s="98">
        <v>18783.3517066075</v>
      </c>
      <c r="E3466" s="98">
        <v>9119.7358685331292</v>
      </c>
      <c r="F3466" s="98">
        <v>9847.4190716108697</v>
      </c>
    </row>
    <row r="3467" spans="1:6" hidden="1" x14ac:dyDescent="0.2">
      <c r="A3467" s="97" t="s">
        <v>190</v>
      </c>
      <c r="B3467" s="97" t="s">
        <v>152</v>
      </c>
      <c r="C3467" s="97" t="s">
        <v>155</v>
      </c>
      <c r="D3467" s="98">
        <v>1548309.0488258</v>
      </c>
      <c r="E3467" s="98">
        <v>755365.385053484</v>
      </c>
      <c r="F3467" s="98">
        <v>792641.29436399497</v>
      </c>
    </row>
    <row r="3468" spans="1:6" hidden="1" x14ac:dyDescent="0.2">
      <c r="A3468" s="97" t="s">
        <v>190</v>
      </c>
      <c r="B3468" s="97" t="s">
        <v>152</v>
      </c>
      <c r="C3468" s="97" t="s">
        <v>156</v>
      </c>
      <c r="D3468" s="98">
        <v>1610108.95117419</v>
      </c>
      <c r="E3468" s="98">
        <v>785370.61494651495</v>
      </c>
      <c r="F3468" s="98">
        <v>825040.70563600503</v>
      </c>
    </row>
    <row r="3469" spans="1:6" hidden="1" x14ac:dyDescent="0.2">
      <c r="A3469" s="97" t="s">
        <v>190</v>
      </c>
      <c r="B3469" s="97" t="s">
        <v>152</v>
      </c>
      <c r="C3469" s="97" t="s">
        <v>157</v>
      </c>
      <c r="D3469" s="99">
        <v>1.1894151886550499</v>
      </c>
      <c r="E3469" s="99">
        <v>1.18381551005923</v>
      </c>
      <c r="F3469" s="99">
        <v>1.2174727878051199</v>
      </c>
    </row>
    <row r="3470" spans="1:6" hidden="1" x14ac:dyDescent="0.2">
      <c r="A3470" s="97" t="s">
        <v>190</v>
      </c>
      <c r="B3470" s="97" t="s">
        <v>152</v>
      </c>
      <c r="C3470" s="97" t="s">
        <v>158</v>
      </c>
      <c r="D3470" s="99">
        <v>2.5641230161931299</v>
      </c>
      <c r="E3470" s="99">
        <v>1.1440315844037401</v>
      </c>
      <c r="F3470" s="99">
        <v>1.1916649628998199</v>
      </c>
    </row>
    <row r="3471" spans="1:6" hidden="1" x14ac:dyDescent="0.2">
      <c r="A3471" s="100" t="s">
        <v>190</v>
      </c>
      <c r="B3471" s="100" t="s">
        <v>4</v>
      </c>
      <c r="C3471" s="100" t="s">
        <v>153</v>
      </c>
      <c r="D3471" s="101">
        <v>155302</v>
      </c>
      <c r="E3471" s="101">
        <v>78452</v>
      </c>
      <c r="F3471" s="101">
        <v>76850</v>
      </c>
    </row>
    <row r="3472" spans="1:6" hidden="1" x14ac:dyDescent="0.2">
      <c r="A3472" s="102" t="s">
        <v>190</v>
      </c>
      <c r="B3472" s="102" t="s">
        <v>4</v>
      </c>
      <c r="C3472" s="102" t="s">
        <v>154</v>
      </c>
      <c r="D3472" s="103">
        <v>2269.9558689959599</v>
      </c>
      <c r="E3472" s="103">
        <v>1229.2922281250201</v>
      </c>
      <c r="F3472" s="103">
        <v>1269.9387020269501</v>
      </c>
    </row>
    <row r="3473" spans="1:6" hidden="1" x14ac:dyDescent="0.2">
      <c r="A3473" s="102" t="s">
        <v>190</v>
      </c>
      <c r="B3473" s="102" t="s">
        <v>4</v>
      </c>
      <c r="C3473" s="102" t="s">
        <v>155</v>
      </c>
      <c r="D3473" s="103">
        <v>151567.76094537601</v>
      </c>
      <c r="E3473" s="103">
        <v>76429.726743277803</v>
      </c>
      <c r="F3473" s="103">
        <v>74760.860399156096</v>
      </c>
    </row>
    <row r="3474" spans="1:6" hidden="1" x14ac:dyDescent="0.2">
      <c r="A3474" s="102" t="s">
        <v>190</v>
      </c>
      <c r="B3474" s="102" t="s">
        <v>4</v>
      </c>
      <c r="C3474" s="102" t="s">
        <v>156</v>
      </c>
      <c r="D3474" s="103">
        <v>159036.239054623</v>
      </c>
      <c r="E3474" s="103">
        <v>80474.273256722096</v>
      </c>
      <c r="F3474" s="103">
        <v>78939.139600843802</v>
      </c>
    </row>
    <row r="3475" spans="1:6" hidden="1" x14ac:dyDescent="0.2">
      <c r="A3475" s="102" t="s">
        <v>190</v>
      </c>
      <c r="B3475" s="102" t="s">
        <v>4</v>
      </c>
      <c r="C3475" s="102" t="s">
        <v>157</v>
      </c>
      <c r="D3475" s="104">
        <v>1.46163981725667</v>
      </c>
      <c r="E3475" s="104">
        <v>1.5669354868263701</v>
      </c>
      <c r="F3475" s="104">
        <v>1.6524901783044299</v>
      </c>
    </row>
    <row r="3476" spans="1:6" hidden="1" x14ac:dyDescent="0.2">
      <c r="A3476" s="102" t="s">
        <v>190</v>
      </c>
      <c r="B3476" s="102" t="s">
        <v>4</v>
      </c>
      <c r="C3476" s="102" t="s">
        <v>158</v>
      </c>
      <c r="D3476" s="104">
        <v>0.98132172374005999</v>
      </c>
      <c r="E3476" s="104">
        <v>1.0104021916413</v>
      </c>
      <c r="F3476" s="104">
        <v>1.0961415923992399</v>
      </c>
    </row>
    <row r="3477" spans="1:6" hidden="1" x14ac:dyDescent="0.2">
      <c r="A3477" s="95" t="s">
        <v>190</v>
      </c>
      <c r="B3477" s="95" t="s">
        <v>5</v>
      </c>
      <c r="C3477" s="95" t="s">
        <v>153</v>
      </c>
      <c r="D3477" s="96">
        <v>156829</v>
      </c>
      <c r="E3477" s="96">
        <v>80018</v>
      </c>
      <c r="F3477" s="96">
        <v>76811</v>
      </c>
    </row>
    <row r="3478" spans="1:6" hidden="1" x14ac:dyDescent="0.2">
      <c r="A3478" s="97" t="s">
        <v>190</v>
      </c>
      <c r="B3478" s="97" t="s">
        <v>5</v>
      </c>
      <c r="C3478" s="97" t="s">
        <v>154</v>
      </c>
      <c r="D3478" s="98">
        <v>2087.0159744767302</v>
      </c>
      <c r="E3478" s="98">
        <v>1175.9820036522101</v>
      </c>
      <c r="F3478" s="98">
        <v>1132.26088242623</v>
      </c>
    </row>
    <row r="3479" spans="1:6" hidden="1" x14ac:dyDescent="0.2">
      <c r="A3479" s="97" t="s">
        <v>190</v>
      </c>
      <c r="B3479" s="97" t="s">
        <v>5</v>
      </c>
      <c r="C3479" s="97" t="s">
        <v>155</v>
      </c>
      <c r="D3479" s="98">
        <v>153395.71009953899</v>
      </c>
      <c r="E3479" s="98">
        <v>78083.425858910894</v>
      </c>
      <c r="F3479" s="98">
        <v>74948.350216835199</v>
      </c>
    </row>
    <row r="3480" spans="1:6" hidden="1" x14ac:dyDescent="0.2">
      <c r="A3480" s="97" t="s">
        <v>190</v>
      </c>
      <c r="B3480" s="97" t="s">
        <v>5</v>
      </c>
      <c r="C3480" s="97" t="s">
        <v>156</v>
      </c>
      <c r="D3480" s="98">
        <v>160262.28990045999</v>
      </c>
      <c r="E3480" s="98">
        <v>81952.574141089004</v>
      </c>
      <c r="F3480" s="98">
        <v>78673.649783164699</v>
      </c>
    </row>
    <row r="3481" spans="1:6" hidden="1" x14ac:dyDescent="0.2">
      <c r="A3481" s="97" t="s">
        <v>190</v>
      </c>
      <c r="B3481" s="97" t="s">
        <v>5</v>
      </c>
      <c r="C3481" s="97" t="s">
        <v>157</v>
      </c>
      <c r="D3481" s="99">
        <v>1.33075896325089</v>
      </c>
      <c r="E3481" s="99">
        <v>1.4696468340276001</v>
      </c>
      <c r="F3481" s="99">
        <v>1.47408689175539</v>
      </c>
    </row>
    <row r="3482" spans="1:6" hidden="1" x14ac:dyDescent="0.2">
      <c r="A3482" s="97" t="s">
        <v>190</v>
      </c>
      <c r="B3482" s="97" t="s">
        <v>5</v>
      </c>
      <c r="C3482" s="97" t="s">
        <v>158</v>
      </c>
      <c r="D3482" s="99">
        <v>0.84946716533349997</v>
      </c>
      <c r="E3482" s="99">
        <v>0.92509167256427005</v>
      </c>
      <c r="F3482" s="99">
        <v>0.91904602788621004</v>
      </c>
    </row>
    <row r="3483" spans="1:6" hidden="1" x14ac:dyDescent="0.2">
      <c r="A3483" s="100" t="s">
        <v>190</v>
      </c>
      <c r="B3483" s="100" t="s">
        <v>6</v>
      </c>
      <c r="C3483" s="100" t="s">
        <v>153</v>
      </c>
      <c r="D3483" s="101">
        <v>153647</v>
      </c>
      <c r="E3483" s="101">
        <v>77413</v>
      </c>
      <c r="F3483" s="101">
        <v>76234</v>
      </c>
    </row>
    <row r="3484" spans="1:6" hidden="1" x14ac:dyDescent="0.2">
      <c r="A3484" s="102" t="s">
        <v>190</v>
      </c>
      <c r="B3484" s="102" t="s">
        <v>6</v>
      </c>
      <c r="C3484" s="102" t="s">
        <v>154</v>
      </c>
      <c r="D3484" s="103">
        <v>2042.8850439847199</v>
      </c>
      <c r="E3484" s="103">
        <v>1063.5893036463799</v>
      </c>
      <c r="F3484" s="103">
        <v>1199.4547405416399</v>
      </c>
    </row>
    <row r="3485" spans="1:6" hidden="1" x14ac:dyDescent="0.2">
      <c r="A3485" s="102" t="s">
        <v>190</v>
      </c>
      <c r="B3485" s="102" t="s">
        <v>6</v>
      </c>
      <c r="C3485" s="102" t="s">
        <v>155</v>
      </c>
      <c r="D3485" s="103">
        <v>150286.30862289001</v>
      </c>
      <c r="E3485" s="103">
        <v>75663.319854229907</v>
      </c>
      <c r="F3485" s="103">
        <v>74260.8115351663</v>
      </c>
    </row>
    <row r="3486" spans="1:6" hidden="1" x14ac:dyDescent="0.2">
      <c r="A3486" s="102" t="s">
        <v>190</v>
      </c>
      <c r="B3486" s="102" t="s">
        <v>6</v>
      </c>
      <c r="C3486" s="102" t="s">
        <v>156</v>
      </c>
      <c r="D3486" s="103">
        <v>157007.691377109</v>
      </c>
      <c r="E3486" s="103">
        <v>79162.680145770006</v>
      </c>
      <c r="F3486" s="103">
        <v>78207.188464833598</v>
      </c>
    </row>
    <row r="3487" spans="1:6" hidden="1" x14ac:dyDescent="0.2">
      <c r="A3487" s="102" t="s">
        <v>190</v>
      </c>
      <c r="B3487" s="102" t="s">
        <v>6</v>
      </c>
      <c r="C3487" s="102" t="s">
        <v>157</v>
      </c>
      <c r="D3487" s="104">
        <v>1.32959644118318</v>
      </c>
      <c r="E3487" s="104">
        <v>1.37391562611756</v>
      </c>
      <c r="F3487" s="104">
        <v>1.5733855504651999</v>
      </c>
    </row>
    <row r="3488" spans="1:6" hidden="1" x14ac:dyDescent="0.2">
      <c r="A3488" s="102" t="s">
        <v>190</v>
      </c>
      <c r="B3488" s="102" t="s">
        <v>6</v>
      </c>
      <c r="C3488" s="102" t="s">
        <v>158</v>
      </c>
      <c r="D3488" s="104">
        <v>0.85023693281304003</v>
      </c>
      <c r="E3488" s="104">
        <v>0.82284099244138997</v>
      </c>
      <c r="F3488" s="104">
        <v>1.02401690668061</v>
      </c>
    </row>
    <row r="3489" spans="1:6" hidden="1" x14ac:dyDescent="0.2">
      <c r="A3489" s="95" t="s">
        <v>190</v>
      </c>
      <c r="B3489" s="95" t="s">
        <v>7</v>
      </c>
      <c r="C3489" s="95" t="s">
        <v>153</v>
      </c>
      <c r="D3489" s="96">
        <v>144465</v>
      </c>
      <c r="E3489" s="96">
        <v>72505</v>
      </c>
      <c r="F3489" s="96">
        <v>71960</v>
      </c>
    </row>
    <row r="3490" spans="1:6" hidden="1" x14ac:dyDescent="0.2">
      <c r="A3490" s="97" t="s">
        <v>190</v>
      </c>
      <c r="B3490" s="97" t="s">
        <v>7</v>
      </c>
      <c r="C3490" s="97" t="s">
        <v>154</v>
      </c>
      <c r="D3490" s="98">
        <v>2094.53766135457</v>
      </c>
      <c r="E3490" s="98">
        <v>1137.39068895537</v>
      </c>
      <c r="F3490" s="98">
        <v>1163.95388761513</v>
      </c>
    </row>
    <row r="3491" spans="1:6" hidden="1" x14ac:dyDescent="0.2">
      <c r="A3491" s="97" t="s">
        <v>190</v>
      </c>
      <c r="B3491" s="97" t="s">
        <v>7</v>
      </c>
      <c r="C3491" s="97" t="s">
        <v>155</v>
      </c>
      <c r="D3491" s="98">
        <v>141019.336388984</v>
      </c>
      <c r="E3491" s="98">
        <v>70633.911319786406</v>
      </c>
      <c r="F3491" s="98">
        <v>70045.212966348903</v>
      </c>
    </row>
    <row r="3492" spans="1:6" hidden="1" x14ac:dyDescent="0.2">
      <c r="A3492" s="97" t="s">
        <v>190</v>
      </c>
      <c r="B3492" s="97" t="s">
        <v>7</v>
      </c>
      <c r="C3492" s="97" t="s">
        <v>156</v>
      </c>
      <c r="D3492" s="98">
        <v>147910.66361101501</v>
      </c>
      <c r="E3492" s="98">
        <v>74376.088680213506</v>
      </c>
      <c r="F3492" s="98">
        <v>73874.787033651097</v>
      </c>
    </row>
    <row r="3493" spans="1:6" hidden="1" x14ac:dyDescent="0.2">
      <c r="A3493" s="97" t="s">
        <v>190</v>
      </c>
      <c r="B3493" s="97" t="s">
        <v>7</v>
      </c>
      <c r="C3493" s="97" t="s">
        <v>157</v>
      </c>
      <c r="D3493" s="99">
        <v>1.44985820880807</v>
      </c>
      <c r="E3493" s="99">
        <v>1.5687065567276399</v>
      </c>
      <c r="F3493" s="99">
        <v>1.6175012334840699</v>
      </c>
    </row>
    <row r="3494" spans="1:6" hidden="1" x14ac:dyDescent="0.2">
      <c r="A3494" s="97" t="s">
        <v>190</v>
      </c>
      <c r="B3494" s="97" t="s">
        <v>7</v>
      </c>
      <c r="C3494" s="97" t="s">
        <v>158</v>
      </c>
      <c r="D3494" s="99">
        <v>0.98489837125474999</v>
      </c>
      <c r="E3494" s="99">
        <v>1.02778592629029</v>
      </c>
      <c r="F3494" s="99">
        <v>1.08222679696732</v>
      </c>
    </row>
    <row r="3495" spans="1:6" hidden="1" x14ac:dyDescent="0.2">
      <c r="A3495" s="100" t="s">
        <v>190</v>
      </c>
      <c r="B3495" s="100" t="s">
        <v>8</v>
      </c>
      <c r="C3495" s="100" t="s">
        <v>153</v>
      </c>
      <c r="D3495" s="101">
        <v>136374</v>
      </c>
      <c r="E3495" s="101">
        <v>66599</v>
      </c>
      <c r="F3495" s="101">
        <v>69775</v>
      </c>
    </row>
    <row r="3496" spans="1:6" hidden="1" x14ac:dyDescent="0.2">
      <c r="A3496" s="102" t="s">
        <v>190</v>
      </c>
      <c r="B3496" s="102" t="s">
        <v>8</v>
      </c>
      <c r="C3496" s="102" t="s">
        <v>154</v>
      </c>
      <c r="D3496" s="103">
        <v>2072.3578498799802</v>
      </c>
      <c r="E3496" s="103">
        <v>1149.4115922366</v>
      </c>
      <c r="F3496" s="103">
        <v>1105.3860551673299</v>
      </c>
    </row>
    <row r="3497" spans="1:6" hidden="1" x14ac:dyDescent="0.2">
      <c r="A3497" s="102" t="s">
        <v>190</v>
      </c>
      <c r="B3497" s="102" t="s">
        <v>8</v>
      </c>
      <c r="C3497" s="102" t="s">
        <v>155</v>
      </c>
      <c r="D3497" s="103">
        <v>132964.82375834801</v>
      </c>
      <c r="E3497" s="103">
        <v>64708.136077845498</v>
      </c>
      <c r="F3497" s="103">
        <v>67956.561221510303</v>
      </c>
    </row>
    <row r="3498" spans="1:6" hidden="1" x14ac:dyDescent="0.2">
      <c r="A3498" s="102" t="s">
        <v>190</v>
      </c>
      <c r="B3498" s="102" t="s">
        <v>8</v>
      </c>
      <c r="C3498" s="102" t="s">
        <v>156</v>
      </c>
      <c r="D3498" s="103">
        <v>139783.176241651</v>
      </c>
      <c r="E3498" s="103">
        <v>68489.8639221544</v>
      </c>
      <c r="F3498" s="103">
        <v>71593.438778489595</v>
      </c>
    </row>
    <row r="3499" spans="1:6" hidden="1" x14ac:dyDescent="0.2">
      <c r="A3499" s="102" t="s">
        <v>190</v>
      </c>
      <c r="B3499" s="102" t="s">
        <v>8</v>
      </c>
      <c r="C3499" s="102" t="s">
        <v>157</v>
      </c>
      <c r="D3499" s="104">
        <v>1.5196135992784401</v>
      </c>
      <c r="E3499" s="104">
        <v>1.7258691455376201</v>
      </c>
      <c r="F3499" s="104">
        <v>1.5842150557754699</v>
      </c>
    </row>
    <row r="3500" spans="1:6" hidden="1" x14ac:dyDescent="0.2">
      <c r="A3500" s="102" t="s">
        <v>190</v>
      </c>
      <c r="B3500" s="102" t="s">
        <v>8</v>
      </c>
      <c r="C3500" s="102" t="s">
        <v>158</v>
      </c>
      <c r="D3500" s="104">
        <v>1.0119773441439801</v>
      </c>
      <c r="E3500" s="104">
        <v>1.1379771065306901</v>
      </c>
      <c r="F3500" s="104">
        <v>1.0140907372149699</v>
      </c>
    </row>
    <row r="3501" spans="1:6" hidden="1" x14ac:dyDescent="0.2">
      <c r="A3501" s="95" t="s">
        <v>190</v>
      </c>
      <c r="B3501" s="95" t="s">
        <v>9</v>
      </c>
      <c r="C3501" s="95" t="s">
        <v>153</v>
      </c>
      <c r="D3501" s="96">
        <v>118965</v>
      </c>
      <c r="E3501" s="96">
        <v>55379</v>
      </c>
      <c r="F3501" s="96">
        <v>63586</v>
      </c>
    </row>
    <row r="3502" spans="1:6" hidden="1" x14ac:dyDescent="0.2">
      <c r="A3502" s="97" t="s">
        <v>190</v>
      </c>
      <c r="B3502" s="97" t="s">
        <v>9</v>
      </c>
      <c r="C3502" s="97" t="s">
        <v>154</v>
      </c>
      <c r="D3502" s="98">
        <v>2049.3875695893398</v>
      </c>
      <c r="E3502" s="98">
        <v>1033.1120167602901</v>
      </c>
      <c r="F3502" s="98">
        <v>1160.5914704956599</v>
      </c>
    </row>
    <row r="3503" spans="1:6" hidden="1" x14ac:dyDescent="0.2">
      <c r="A3503" s="97" t="s">
        <v>190</v>
      </c>
      <c r="B3503" s="97" t="s">
        <v>9</v>
      </c>
      <c r="C3503" s="97" t="s">
        <v>155</v>
      </c>
      <c r="D3503" s="98">
        <v>115593.611505206</v>
      </c>
      <c r="E3503" s="98">
        <v>53679.457161533297</v>
      </c>
      <c r="F3503" s="98">
        <v>61676.744381957797</v>
      </c>
    </row>
    <row r="3504" spans="1:6" hidden="1" x14ac:dyDescent="0.2">
      <c r="A3504" s="97" t="s">
        <v>190</v>
      </c>
      <c r="B3504" s="97" t="s">
        <v>9</v>
      </c>
      <c r="C3504" s="97" t="s">
        <v>156</v>
      </c>
      <c r="D3504" s="98">
        <v>122336.38849479301</v>
      </c>
      <c r="E3504" s="98">
        <v>57078.542838466601</v>
      </c>
      <c r="F3504" s="98">
        <v>65495.255618042102</v>
      </c>
    </row>
    <row r="3505" spans="1:6" hidden="1" x14ac:dyDescent="0.2">
      <c r="A3505" s="97" t="s">
        <v>190</v>
      </c>
      <c r="B3505" s="97" t="s">
        <v>9</v>
      </c>
      <c r="C3505" s="97" t="s">
        <v>157</v>
      </c>
      <c r="D3505" s="99">
        <v>1.7226810991378401</v>
      </c>
      <c r="E3505" s="99">
        <v>1.86553028541557</v>
      </c>
      <c r="F3505" s="99">
        <v>1.8252311365641201</v>
      </c>
    </row>
    <row r="3506" spans="1:6" hidden="1" x14ac:dyDescent="0.2">
      <c r="A3506" s="97" t="s">
        <v>190</v>
      </c>
      <c r="B3506" s="97" t="s">
        <v>9</v>
      </c>
      <c r="C3506" s="97" t="s">
        <v>158</v>
      </c>
      <c r="D3506" s="99">
        <v>1.2477000906192</v>
      </c>
      <c r="E3506" s="99">
        <v>1.29491264356421</v>
      </c>
      <c r="F3506" s="99">
        <v>1.27468079910251</v>
      </c>
    </row>
    <row r="3507" spans="1:6" hidden="1" x14ac:dyDescent="0.2">
      <c r="A3507" s="100" t="s">
        <v>190</v>
      </c>
      <c r="B3507" s="100" t="s">
        <v>10</v>
      </c>
      <c r="C3507" s="100" t="s">
        <v>153</v>
      </c>
      <c r="D3507" s="101">
        <v>107535</v>
      </c>
      <c r="E3507" s="101">
        <v>50678</v>
      </c>
      <c r="F3507" s="101">
        <v>56857</v>
      </c>
    </row>
    <row r="3508" spans="1:6" hidden="1" x14ac:dyDescent="0.2">
      <c r="A3508" s="102" t="s">
        <v>190</v>
      </c>
      <c r="B3508" s="102" t="s">
        <v>10</v>
      </c>
      <c r="C3508" s="102" t="s">
        <v>154</v>
      </c>
      <c r="D3508" s="103">
        <v>1674.22976725437</v>
      </c>
      <c r="E3508" s="103">
        <v>869.17610957495901</v>
      </c>
      <c r="F3508" s="103">
        <v>936.67754753827001</v>
      </c>
    </row>
    <row r="3509" spans="1:6" hidden="1" x14ac:dyDescent="0.2">
      <c r="A3509" s="102" t="s">
        <v>190</v>
      </c>
      <c r="B3509" s="102" t="s">
        <v>10</v>
      </c>
      <c r="C3509" s="102" t="s">
        <v>155</v>
      </c>
      <c r="D3509" s="103">
        <v>104780.77280612</v>
      </c>
      <c r="E3509" s="103">
        <v>49248.143403203503</v>
      </c>
      <c r="F3509" s="103">
        <v>55316.098730781101</v>
      </c>
    </row>
    <row r="3510" spans="1:6" hidden="1" x14ac:dyDescent="0.2">
      <c r="A3510" s="102" t="s">
        <v>190</v>
      </c>
      <c r="B3510" s="102" t="s">
        <v>10</v>
      </c>
      <c r="C3510" s="102" t="s">
        <v>156</v>
      </c>
      <c r="D3510" s="103">
        <v>110289.22719387901</v>
      </c>
      <c r="E3510" s="103">
        <v>52107.856596796497</v>
      </c>
      <c r="F3510" s="103">
        <v>58397.901269218797</v>
      </c>
    </row>
    <row r="3511" spans="1:6" hidden="1" x14ac:dyDescent="0.2">
      <c r="A3511" s="102" t="s">
        <v>190</v>
      </c>
      <c r="B3511" s="102" t="s">
        <v>10</v>
      </c>
      <c r="C3511" s="102" t="s">
        <v>157</v>
      </c>
      <c r="D3511" s="104">
        <v>1.55691613637827</v>
      </c>
      <c r="E3511" s="104">
        <v>1.71509552384655</v>
      </c>
      <c r="F3511" s="104">
        <v>1.6474269615672099</v>
      </c>
    </row>
    <row r="3512" spans="1:6" hidden="1" x14ac:dyDescent="0.2">
      <c r="A3512" s="102" t="s">
        <v>190</v>
      </c>
      <c r="B3512" s="102" t="s">
        <v>10</v>
      </c>
      <c r="C3512" s="102" t="s">
        <v>158</v>
      </c>
      <c r="D3512" s="104">
        <v>1.0305619747877199</v>
      </c>
      <c r="E3512" s="104">
        <v>1.0871719944774501</v>
      </c>
      <c r="F3512" s="104">
        <v>1.06597154388349</v>
      </c>
    </row>
    <row r="3513" spans="1:6" hidden="1" x14ac:dyDescent="0.2">
      <c r="A3513" s="95" t="s">
        <v>190</v>
      </c>
      <c r="B3513" s="95" t="s">
        <v>11</v>
      </c>
      <c r="C3513" s="95" t="s">
        <v>153</v>
      </c>
      <c r="D3513" s="96">
        <v>106993</v>
      </c>
      <c r="E3513" s="96">
        <v>50225</v>
      </c>
      <c r="F3513" s="96">
        <v>56768</v>
      </c>
    </row>
    <row r="3514" spans="1:6" hidden="1" x14ac:dyDescent="0.2">
      <c r="A3514" s="97" t="s">
        <v>190</v>
      </c>
      <c r="B3514" s="97" t="s">
        <v>11</v>
      </c>
      <c r="C3514" s="97" t="s">
        <v>154</v>
      </c>
      <c r="D3514" s="98">
        <v>1636.5272206305301</v>
      </c>
      <c r="E3514" s="98">
        <v>866.60239447830998</v>
      </c>
      <c r="F3514" s="98">
        <v>907.91167921029205</v>
      </c>
    </row>
    <row r="3515" spans="1:6" hidden="1" x14ac:dyDescent="0.2">
      <c r="A3515" s="97" t="s">
        <v>190</v>
      </c>
      <c r="B3515" s="97" t="s">
        <v>11</v>
      </c>
      <c r="C3515" s="97" t="s">
        <v>155</v>
      </c>
      <c r="D3515" s="98">
        <v>104300.796180224</v>
      </c>
      <c r="E3515" s="98">
        <v>48799.3773478191</v>
      </c>
      <c r="F3515" s="98">
        <v>55274.4206326813</v>
      </c>
    </row>
    <row r="3516" spans="1:6" hidden="1" x14ac:dyDescent="0.2">
      <c r="A3516" s="97" t="s">
        <v>190</v>
      </c>
      <c r="B3516" s="97" t="s">
        <v>11</v>
      </c>
      <c r="C3516" s="97" t="s">
        <v>156</v>
      </c>
      <c r="D3516" s="98">
        <v>109685.20381977499</v>
      </c>
      <c r="E3516" s="98">
        <v>51650.622652180798</v>
      </c>
      <c r="F3516" s="98">
        <v>58261.579367318598</v>
      </c>
    </row>
    <row r="3517" spans="1:6" hidden="1" x14ac:dyDescent="0.2">
      <c r="A3517" s="97" t="s">
        <v>190</v>
      </c>
      <c r="B3517" s="97" t="s">
        <v>11</v>
      </c>
      <c r="C3517" s="97" t="s">
        <v>157</v>
      </c>
      <c r="D3517" s="99">
        <v>1.52956475716218</v>
      </c>
      <c r="E3517" s="99">
        <v>1.72544030757254</v>
      </c>
      <c r="F3517" s="99">
        <v>1.59933708992793</v>
      </c>
    </row>
    <row r="3518" spans="1:6" hidden="1" x14ac:dyDescent="0.2">
      <c r="A3518" s="97" t="s">
        <v>190</v>
      </c>
      <c r="B3518" s="97" t="s">
        <v>11</v>
      </c>
      <c r="C3518" s="97" t="s">
        <v>158</v>
      </c>
      <c r="D3518" s="99">
        <v>1.03673320900597</v>
      </c>
      <c r="E3518" s="99">
        <v>1.1455052087289199</v>
      </c>
      <c r="F3518" s="99">
        <v>1.0377651664043099</v>
      </c>
    </row>
    <row r="3519" spans="1:6" hidden="1" x14ac:dyDescent="0.2">
      <c r="A3519" s="100" t="s">
        <v>190</v>
      </c>
      <c r="B3519" s="100" t="s">
        <v>12</v>
      </c>
      <c r="C3519" s="100" t="s">
        <v>153</v>
      </c>
      <c r="D3519" s="101">
        <v>101438</v>
      </c>
      <c r="E3519" s="101">
        <v>48638</v>
      </c>
      <c r="F3519" s="101">
        <v>52800</v>
      </c>
    </row>
    <row r="3520" spans="1:6" hidden="1" x14ac:dyDescent="0.2">
      <c r="A3520" s="102" t="s">
        <v>190</v>
      </c>
      <c r="B3520" s="102" t="s">
        <v>12</v>
      </c>
      <c r="C3520" s="102" t="s">
        <v>154</v>
      </c>
      <c r="D3520" s="103">
        <v>1483.6598647830499</v>
      </c>
      <c r="E3520" s="103">
        <v>768.98589362878897</v>
      </c>
      <c r="F3520" s="103">
        <v>852.37243234626806</v>
      </c>
    </row>
    <row r="3521" spans="1:6" hidden="1" x14ac:dyDescent="0.2">
      <c r="A3521" s="102" t="s">
        <v>190</v>
      </c>
      <c r="B3521" s="102" t="s">
        <v>12</v>
      </c>
      <c r="C3521" s="102" t="s">
        <v>155</v>
      </c>
      <c r="D3521" s="103">
        <v>98997.273866720003</v>
      </c>
      <c r="E3521" s="103">
        <v>47372.963443270099</v>
      </c>
      <c r="F3521" s="103">
        <v>51397.786648883099</v>
      </c>
    </row>
    <row r="3522" spans="1:6" hidden="1" x14ac:dyDescent="0.2">
      <c r="A3522" s="102" t="s">
        <v>190</v>
      </c>
      <c r="B3522" s="102" t="s">
        <v>12</v>
      </c>
      <c r="C3522" s="102" t="s">
        <v>156</v>
      </c>
      <c r="D3522" s="103">
        <v>103878.72613328</v>
      </c>
      <c r="E3522" s="103">
        <v>49903.036556729799</v>
      </c>
      <c r="F3522" s="103">
        <v>54202.213351116799</v>
      </c>
    </row>
    <row r="3523" spans="1:6" hidden="1" x14ac:dyDescent="0.2">
      <c r="A3523" s="102" t="s">
        <v>190</v>
      </c>
      <c r="B3523" s="102" t="s">
        <v>12</v>
      </c>
      <c r="C3523" s="102" t="s">
        <v>157</v>
      </c>
      <c r="D3523" s="104">
        <v>1.46262728443291</v>
      </c>
      <c r="E3523" s="104">
        <v>1.5810392977276799</v>
      </c>
      <c r="F3523" s="104">
        <v>1.6143417279285299</v>
      </c>
    </row>
    <row r="3524" spans="1:6" hidden="1" x14ac:dyDescent="0.2">
      <c r="A3524" s="102" t="s">
        <v>190</v>
      </c>
      <c r="B3524" s="102" t="s">
        <v>12</v>
      </c>
      <c r="C3524" s="102" t="s">
        <v>158</v>
      </c>
      <c r="D3524" s="104">
        <v>0.97534319306523998</v>
      </c>
      <c r="E3524" s="104">
        <v>1.0210932551298599</v>
      </c>
      <c r="F3524" s="104">
        <v>1.04952981797742</v>
      </c>
    </row>
    <row r="3525" spans="1:6" hidden="1" x14ac:dyDescent="0.2">
      <c r="A3525" s="95" t="s">
        <v>190</v>
      </c>
      <c r="B3525" s="95" t="s">
        <v>13</v>
      </c>
      <c r="C3525" s="95" t="s">
        <v>153</v>
      </c>
      <c r="D3525" s="96">
        <v>86243</v>
      </c>
      <c r="E3525" s="96">
        <v>40835</v>
      </c>
      <c r="F3525" s="96">
        <v>45408</v>
      </c>
    </row>
    <row r="3526" spans="1:6" hidden="1" x14ac:dyDescent="0.2">
      <c r="A3526" s="97" t="s">
        <v>190</v>
      </c>
      <c r="B3526" s="97" t="s">
        <v>13</v>
      </c>
      <c r="C3526" s="97" t="s">
        <v>154</v>
      </c>
      <c r="D3526" s="98">
        <v>1352.71923744214</v>
      </c>
      <c r="E3526" s="98">
        <v>690.65308513428499</v>
      </c>
      <c r="F3526" s="98">
        <v>800.47681392135303</v>
      </c>
    </row>
    <row r="3527" spans="1:6" hidden="1" x14ac:dyDescent="0.2">
      <c r="A3527" s="97" t="s">
        <v>190</v>
      </c>
      <c r="B3527" s="97" t="s">
        <v>13</v>
      </c>
      <c r="C3527" s="97" t="s">
        <v>155</v>
      </c>
      <c r="D3527" s="98">
        <v>84017.680523356699</v>
      </c>
      <c r="E3527" s="98">
        <v>39698.826491549502</v>
      </c>
      <c r="F3527" s="98">
        <v>44091.158636829299</v>
      </c>
    </row>
    <row r="3528" spans="1:6" hidden="1" x14ac:dyDescent="0.2">
      <c r="A3528" s="97" t="s">
        <v>190</v>
      </c>
      <c r="B3528" s="97" t="s">
        <v>13</v>
      </c>
      <c r="C3528" s="97" t="s">
        <v>156</v>
      </c>
      <c r="D3528" s="98">
        <v>88468.319476643199</v>
      </c>
      <c r="E3528" s="98">
        <v>41971.173508450403</v>
      </c>
      <c r="F3528" s="98">
        <v>46724.841363170701</v>
      </c>
    </row>
    <row r="3529" spans="1:6" hidden="1" x14ac:dyDescent="0.2">
      <c r="A3529" s="97" t="s">
        <v>190</v>
      </c>
      <c r="B3529" s="97" t="s">
        <v>13</v>
      </c>
      <c r="C3529" s="97" t="s">
        <v>157</v>
      </c>
      <c r="D3529" s="99">
        <v>1.56849742870974</v>
      </c>
      <c r="E3529" s="99">
        <v>1.69132627680735</v>
      </c>
      <c r="F3529" s="99">
        <v>1.76285415327993</v>
      </c>
    </row>
    <row r="3530" spans="1:6" hidden="1" x14ac:dyDescent="0.2">
      <c r="A3530" s="97" t="s">
        <v>190</v>
      </c>
      <c r="B3530" s="97" t="s">
        <v>13</v>
      </c>
      <c r="C3530" s="97" t="s">
        <v>158</v>
      </c>
      <c r="D3530" s="99">
        <v>1.06277498891355</v>
      </c>
      <c r="E3530" s="99">
        <v>1.08924138544229</v>
      </c>
      <c r="F3530" s="99">
        <v>1.1748991036455201</v>
      </c>
    </row>
    <row r="3531" spans="1:6" hidden="1" x14ac:dyDescent="0.2">
      <c r="A3531" s="100" t="s">
        <v>190</v>
      </c>
      <c r="B3531" s="100" t="s">
        <v>14</v>
      </c>
      <c r="C3531" s="100" t="s">
        <v>153</v>
      </c>
      <c r="D3531" s="101">
        <v>75990</v>
      </c>
      <c r="E3531" s="101">
        <v>36179</v>
      </c>
      <c r="F3531" s="101">
        <v>39811</v>
      </c>
    </row>
    <row r="3532" spans="1:6" hidden="1" x14ac:dyDescent="0.2">
      <c r="A3532" s="102" t="s">
        <v>190</v>
      </c>
      <c r="B3532" s="102" t="s">
        <v>14</v>
      </c>
      <c r="C3532" s="102" t="s">
        <v>154</v>
      </c>
      <c r="D3532" s="103">
        <v>1304.7006440084101</v>
      </c>
      <c r="E3532" s="103">
        <v>697.83138174255396</v>
      </c>
      <c r="F3532" s="103">
        <v>757.02609231295401</v>
      </c>
    </row>
    <row r="3533" spans="1:6" hidden="1" x14ac:dyDescent="0.2">
      <c r="A3533" s="102" t="s">
        <v>190</v>
      </c>
      <c r="B3533" s="102" t="s">
        <v>14</v>
      </c>
      <c r="C3533" s="102" t="s">
        <v>155</v>
      </c>
      <c r="D3533" s="103">
        <v>73843.674529098207</v>
      </c>
      <c r="E3533" s="103">
        <v>35031.017682441598</v>
      </c>
      <c r="F3533" s="103">
        <v>38565.638168126701</v>
      </c>
    </row>
    <row r="3534" spans="1:6" hidden="1" x14ac:dyDescent="0.2">
      <c r="A3534" s="102" t="s">
        <v>190</v>
      </c>
      <c r="B3534" s="102" t="s">
        <v>14</v>
      </c>
      <c r="C3534" s="102" t="s">
        <v>156</v>
      </c>
      <c r="D3534" s="103">
        <v>78136.325470901793</v>
      </c>
      <c r="E3534" s="103">
        <v>37326.982317558301</v>
      </c>
      <c r="F3534" s="103">
        <v>41056.361831873197</v>
      </c>
    </row>
    <row r="3535" spans="1:6" hidden="1" x14ac:dyDescent="0.2">
      <c r="A3535" s="102" t="s">
        <v>190</v>
      </c>
      <c r="B3535" s="102" t="s">
        <v>14</v>
      </c>
      <c r="C3535" s="102" t="s">
        <v>157</v>
      </c>
      <c r="D3535" s="104">
        <v>1.7169372864961301</v>
      </c>
      <c r="E3535" s="104">
        <v>1.9288299337807899</v>
      </c>
      <c r="F3535" s="104">
        <v>1.90155005479127</v>
      </c>
    </row>
    <row r="3536" spans="1:6" hidden="1" x14ac:dyDescent="0.2">
      <c r="A3536" s="102" t="s">
        <v>190</v>
      </c>
      <c r="B3536" s="102" t="s">
        <v>14</v>
      </c>
      <c r="C3536" s="102" t="s">
        <v>158</v>
      </c>
      <c r="D3536" s="104">
        <v>1.17868553081379</v>
      </c>
      <c r="E3536" s="104">
        <v>1.2787309487715901</v>
      </c>
      <c r="F3536" s="104">
        <v>1.25812731516266</v>
      </c>
    </row>
    <row r="3537" spans="1:6" hidden="1" x14ac:dyDescent="0.2">
      <c r="A3537" s="95" t="s">
        <v>190</v>
      </c>
      <c r="B3537" s="95" t="s">
        <v>15</v>
      </c>
      <c r="C3537" s="95" t="s">
        <v>153</v>
      </c>
      <c r="D3537" s="96">
        <v>59496</v>
      </c>
      <c r="E3537" s="96">
        <v>27978</v>
      </c>
      <c r="F3537" s="96">
        <v>31518</v>
      </c>
    </row>
    <row r="3538" spans="1:6" hidden="1" x14ac:dyDescent="0.2">
      <c r="A3538" s="97" t="s">
        <v>190</v>
      </c>
      <c r="B3538" s="97" t="s">
        <v>15</v>
      </c>
      <c r="C3538" s="97" t="s">
        <v>154</v>
      </c>
      <c r="D3538" s="98">
        <v>1050.77076388976</v>
      </c>
      <c r="E3538" s="98">
        <v>554.63785493156195</v>
      </c>
      <c r="F3538" s="98">
        <v>632.37142470727701</v>
      </c>
    </row>
    <row r="3539" spans="1:6" hidden="1" x14ac:dyDescent="0.2">
      <c r="A3539" s="97" t="s">
        <v>190</v>
      </c>
      <c r="B3539" s="97" t="s">
        <v>15</v>
      </c>
      <c r="C3539" s="97" t="s">
        <v>155</v>
      </c>
      <c r="D3539" s="98">
        <v>57767.407264974798</v>
      </c>
      <c r="E3539" s="98">
        <v>27065.581231271099</v>
      </c>
      <c r="F3539" s="98">
        <v>30477.703973357598</v>
      </c>
    </row>
    <row r="3540" spans="1:6" hidden="1" x14ac:dyDescent="0.2">
      <c r="A3540" s="97" t="s">
        <v>190</v>
      </c>
      <c r="B3540" s="97" t="s">
        <v>15</v>
      </c>
      <c r="C3540" s="97" t="s">
        <v>156</v>
      </c>
      <c r="D3540" s="98">
        <v>61224.5927350251</v>
      </c>
      <c r="E3540" s="98">
        <v>28890.418768728901</v>
      </c>
      <c r="F3540" s="98">
        <v>32558.2960266423</v>
      </c>
    </row>
    <row r="3541" spans="1:6" hidden="1" x14ac:dyDescent="0.2">
      <c r="A3541" s="97" t="s">
        <v>190</v>
      </c>
      <c r="B3541" s="97" t="s">
        <v>15</v>
      </c>
      <c r="C3541" s="97" t="s">
        <v>157</v>
      </c>
      <c r="D3541" s="99">
        <v>1.76612001460563</v>
      </c>
      <c r="E3541" s="99">
        <v>1.98240708746716</v>
      </c>
      <c r="F3541" s="99">
        <v>2.0063818285020498</v>
      </c>
    </row>
    <row r="3542" spans="1:6" hidden="1" x14ac:dyDescent="0.2">
      <c r="A3542" s="97" t="s">
        <v>190</v>
      </c>
      <c r="B3542" s="97" t="s">
        <v>15</v>
      </c>
      <c r="C3542" s="97" t="s">
        <v>158</v>
      </c>
      <c r="D3542" s="99">
        <v>1.19891767534157</v>
      </c>
      <c r="E3542" s="99">
        <v>1.2631992855274401</v>
      </c>
      <c r="F3542" s="99">
        <v>1.3155540791632701</v>
      </c>
    </row>
    <row r="3543" spans="1:6" hidden="1" x14ac:dyDescent="0.2">
      <c r="A3543" s="100" t="s">
        <v>190</v>
      </c>
      <c r="B3543" s="100" t="s">
        <v>16</v>
      </c>
      <c r="C3543" s="100" t="s">
        <v>153</v>
      </c>
      <c r="D3543" s="101">
        <v>48040</v>
      </c>
      <c r="E3543" s="101">
        <v>23202</v>
      </c>
      <c r="F3543" s="101">
        <v>24838</v>
      </c>
    </row>
    <row r="3544" spans="1:6" hidden="1" x14ac:dyDescent="0.2">
      <c r="A3544" s="102" t="s">
        <v>190</v>
      </c>
      <c r="B3544" s="102" t="s">
        <v>16</v>
      </c>
      <c r="C3544" s="102" t="s">
        <v>154</v>
      </c>
      <c r="D3544" s="103">
        <v>954.86068731916998</v>
      </c>
      <c r="E3544" s="103">
        <v>511.976078170601</v>
      </c>
      <c r="F3544" s="103">
        <v>558.42471961184401</v>
      </c>
    </row>
    <row r="3545" spans="1:6" hidden="1" x14ac:dyDescent="0.2">
      <c r="A3545" s="102" t="s">
        <v>190</v>
      </c>
      <c r="B3545" s="102" t="s">
        <v>16</v>
      </c>
      <c r="C3545" s="102" t="s">
        <v>155</v>
      </c>
      <c r="D3545" s="103">
        <v>46469.186170967499</v>
      </c>
      <c r="E3545" s="103">
        <v>22359.762892111401</v>
      </c>
      <c r="F3545" s="103">
        <v>23919.351569198399</v>
      </c>
    </row>
    <row r="3546" spans="1:6" hidden="1" x14ac:dyDescent="0.2">
      <c r="A3546" s="102" t="s">
        <v>190</v>
      </c>
      <c r="B3546" s="102" t="s">
        <v>16</v>
      </c>
      <c r="C3546" s="102" t="s">
        <v>156</v>
      </c>
      <c r="D3546" s="103">
        <v>49610.813829032399</v>
      </c>
      <c r="E3546" s="103">
        <v>24044.237107888501</v>
      </c>
      <c r="F3546" s="103">
        <v>25756.648430801499</v>
      </c>
    </row>
    <row r="3547" spans="1:6" hidden="1" x14ac:dyDescent="0.2">
      <c r="A3547" s="102" t="s">
        <v>190</v>
      </c>
      <c r="B3547" s="102" t="s">
        <v>16</v>
      </c>
      <c r="C3547" s="102" t="s">
        <v>157</v>
      </c>
      <c r="D3547" s="104">
        <v>1.9876367346360699</v>
      </c>
      <c r="E3547" s="104">
        <v>2.2066032159753499</v>
      </c>
      <c r="F3547" s="104">
        <v>2.2482676528377601</v>
      </c>
    </row>
    <row r="3548" spans="1:6" hidden="1" x14ac:dyDescent="0.2">
      <c r="A3548" s="102" t="s">
        <v>190</v>
      </c>
      <c r="B3548" s="102" t="s">
        <v>16</v>
      </c>
      <c r="C3548" s="102" t="s">
        <v>158</v>
      </c>
      <c r="D3548" s="104">
        <v>1.36559036332603</v>
      </c>
      <c r="E3548" s="104">
        <v>1.42638191427226</v>
      </c>
      <c r="F3548" s="104">
        <v>1.4454519331101801</v>
      </c>
    </row>
    <row r="3549" spans="1:6" hidden="1" x14ac:dyDescent="0.2">
      <c r="A3549" s="95" t="s">
        <v>190</v>
      </c>
      <c r="B3549" s="95" t="s">
        <v>17</v>
      </c>
      <c r="C3549" s="95" t="s">
        <v>153</v>
      </c>
      <c r="D3549" s="96">
        <v>40365</v>
      </c>
      <c r="E3549" s="96">
        <v>19524</v>
      </c>
      <c r="F3549" s="96">
        <v>20841</v>
      </c>
    </row>
    <row r="3550" spans="1:6" hidden="1" x14ac:dyDescent="0.2">
      <c r="A3550" s="97" t="s">
        <v>190</v>
      </c>
      <c r="B3550" s="97" t="s">
        <v>17</v>
      </c>
      <c r="C3550" s="97" t="s">
        <v>154</v>
      </c>
      <c r="D3550" s="98">
        <v>776.44483641153397</v>
      </c>
      <c r="E3550" s="98">
        <v>442.11214508675499</v>
      </c>
      <c r="F3550" s="98">
        <v>444.42049782323198</v>
      </c>
    </row>
    <row r="3551" spans="1:6" hidden="1" x14ac:dyDescent="0.2">
      <c r="A3551" s="97" t="s">
        <v>190</v>
      </c>
      <c r="B3551" s="97" t="s">
        <v>17</v>
      </c>
      <c r="C3551" s="97" t="s">
        <v>155</v>
      </c>
      <c r="D3551" s="98">
        <v>39087.6929512196</v>
      </c>
      <c r="E3551" s="98">
        <v>18796.694037247202</v>
      </c>
      <c r="F3551" s="98">
        <v>20109.896632611199</v>
      </c>
    </row>
    <row r="3552" spans="1:6" hidden="1" x14ac:dyDescent="0.2">
      <c r="A3552" s="97" t="s">
        <v>190</v>
      </c>
      <c r="B3552" s="97" t="s">
        <v>17</v>
      </c>
      <c r="C3552" s="97" t="s">
        <v>156</v>
      </c>
      <c r="D3552" s="98">
        <v>41642.307048780298</v>
      </c>
      <c r="E3552" s="98">
        <v>20251.305962752798</v>
      </c>
      <c r="F3552" s="98">
        <v>21572.1033673887</v>
      </c>
    </row>
    <row r="3553" spans="1:6" hidden="1" x14ac:dyDescent="0.2">
      <c r="A3553" s="97" t="s">
        <v>190</v>
      </c>
      <c r="B3553" s="97" t="s">
        <v>17</v>
      </c>
      <c r="C3553" s="97" t="s">
        <v>157</v>
      </c>
      <c r="D3553" s="99">
        <v>1.9235596095913099</v>
      </c>
      <c r="E3553" s="99">
        <v>2.2644547484468101</v>
      </c>
      <c r="F3553" s="99">
        <v>2.1324336539668498</v>
      </c>
    </row>
    <row r="3554" spans="1:6" hidden="1" x14ac:dyDescent="0.2">
      <c r="A3554" s="97" t="s">
        <v>190</v>
      </c>
      <c r="B3554" s="97" t="s">
        <v>17</v>
      </c>
      <c r="C3554" s="97" t="s">
        <v>158</v>
      </c>
      <c r="D3554" s="99">
        <v>1.2179223815317299</v>
      </c>
      <c r="E3554" s="99">
        <v>1.36047074779193</v>
      </c>
      <c r="F3554" s="99">
        <v>1.2468621689615</v>
      </c>
    </row>
    <row r="3555" spans="1:6" hidden="1" x14ac:dyDescent="0.2">
      <c r="A3555" s="100" t="s">
        <v>190</v>
      </c>
      <c r="B3555" s="100" t="s">
        <v>18</v>
      </c>
      <c r="C3555" s="100" t="s">
        <v>153</v>
      </c>
      <c r="D3555" s="101">
        <v>32000</v>
      </c>
      <c r="E3555" s="101">
        <v>15579</v>
      </c>
      <c r="F3555" s="101">
        <v>16421</v>
      </c>
    </row>
    <row r="3556" spans="1:6" hidden="1" x14ac:dyDescent="0.2">
      <c r="A3556" s="102" t="s">
        <v>190</v>
      </c>
      <c r="B3556" s="102" t="s">
        <v>18</v>
      </c>
      <c r="C3556" s="102" t="s">
        <v>154</v>
      </c>
      <c r="D3556" s="103">
        <v>583.01518472126202</v>
      </c>
      <c r="E3556" s="103">
        <v>340.45019907861899</v>
      </c>
      <c r="F3556" s="103">
        <v>358.11345521428802</v>
      </c>
    </row>
    <row r="3557" spans="1:6" hidden="1" x14ac:dyDescent="0.2">
      <c r="A3557" s="102" t="s">
        <v>190</v>
      </c>
      <c r="B3557" s="102" t="s">
        <v>18</v>
      </c>
      <c r="C3557" s="102" t="s">
        <v>155</v>
      </c>
      <c r="D3557" s="103">
        <v>31040.898502935201</v>
      </c>
      <c r="E3557" s="103">
        <v>15018.935178071901</v>
      </c>
      <c r="F3557" s="103">
        <v>15831.8778638771</v>
      </c>
    </row>
    <row r="3558" spans="1:6" hidden="1" x14ac:dyDescent="0.2">
      <c r="A3558" s="102" t="s">
        <v>190</v>
      </c>
      <c r="B3558" s="102" t="s">
        <v>18</v>
      </c>
      <c r="C3558" s="102" t="s">
        <v>156</v>
      </c>
      <c r="D3558" s="103">
        <v>32959.101497064701</v>
      </c>
      <c r="E3558" s="103">
        <v>16139.064821927999</v>
      </c>
      <c r="F3558" s="103">
        <v>17010.122136122802</v>
      </c>
    </row>
    <row r="3559" spans="1:6" hidden="1" x14ac:dyDescent="0.2">
      <c r="A3559" s="102" t="s">
        <v>190</v>
      </c>
      <c r="B3559" s="102" t="s">
        <v>18</v>
      </c>
      <c r="C3559" s="102" t="s">
        <v>157</v>
      </c>
      <c r="D3559" s="104">
        <v>1.8219224522539399</v>
      </c>
      <c r="E3559" s="104">
        <v>2.18531484099505</v>
      </c>
      <c r="F3559" s="104">
        <v>2.18082610811941</v>
      </c>
    </row>
    <row r="3560" spans="1:6" hidden="1" x14ac:dyDescent="0.2">
      <c r="A3560" s="102" t="s">
        <v>190</v>
      </c>
      <c r="B3560" s="102" t="s">
        <v>18</v>
      </c>
      <c r="C3560" s="102" t="s">
        <v>158</v>
      </c>
      <c r="D3560" s="104">
        <v>1.02300247502944</v>
      </c>
      <c r="E3560" s="104">
        <v>1.1384910352019899</v>
      </c>
      <c r="F3560" s="104">
        <v>1.1652713877818801</v>
      </c>
    </row>
    <row r="3561" spans="1:6" hidden="1" x14ac:dyDescent="0.2">
      <c r="A3561" s="95" t="s">
        <v>190</v>
      </c>
      <c r="B3561" s="95" t="s">
        <v>19</v>
      </c>
      <c r="C3561" s="95" t="s">
        <v>153</v>
      </c>
      <c r="D3561" s="96">
        <v>54583</v>
      </c>
      <c r="E3561" s="96">
        <v>26721</v>
      </c>
      <c r="F3561" s="96">
        <v>27862</v>
      </c>
    </row>
    <row r="3562" spans="1:6" hidden="1" x14ac:dyDescent="0.2">
      <c r="A3562" s="97" t="s">
        <v>190</v>
      </c>
      <c r="B3562" s="97" t="s">
        <v>19</v>
      </c>
      <c r="C3562" s="97" t="s">
        <v>154</v>
      </c>
      <c r="D3562" s="98">
        <v>881.56279218278098</v>
      </c>
      <c r="E3562" s="98">
        <v>487.64560933053701</v>
      </c>
      <c r="F3562" s="98">
        <v>504.93420250477601</v>
      </c>
    </row>
    <row r="3563" spans="1:6" hidden="1" x14ac:dyDescent="0.2">
      <c r="A3563" s="97" t="s">
        <v>190</v>
      </c>
      <c r="B3563" s="97" t="s">
        <v>19</v>
      </c>
      <c r="C3563" s="97" t="s">
        <v>155</v>
      </c>
      <c r="D3563" s="98">
        <v>53132.766428222101</v>
      </c>
      <c r="E3563" s="98">
        <v>25918.788245996398</v>
      </c>
      <c r="F3563" s="98">
        <v>27031.347279054</v>
      </c>
    </row>
    <row r="3564" spans="1:6" hidden="1" x14ac:dyDescent="0.2">
      <c r="A3564" s="97" t="s">
        <v>190</v>
      </c>
      <c r="B3564" s="97" t="s">
        <v>19</v>
      </c>
      <c r="C3564" s="97" t="s">
        <v>156</v>
      </c>
      <c r="D3564" s="98">
        <v>56033.233571777797</v>
      </c>
      <c r="E3564" s="98">
        <v>27523.2117540035</v>
      </c>
      <c r="F3564" s="98">
        <v>28692.652720945902</v>
      </c>
    </row>
    <row r="3565" spans="1:6" hidden="1" x14ac:dyDescent="0.2">
      <c r="A3565" s="97" t="s">
        <v>190</v>
      </c>
      <c r="B3565" s="97" t="s">
        <v>19</v>
      </c>
      <c r="C3565" s="97" t="s">
        <v>157</v>
      </c>
      <c r="D3565" s="99">
        <v>1.61508673429965</v>
      </c>
      <c r="E3565" s="99">
        <v>1.8249526938757401</v>
      </c>
      <c r="F3565" s="99">
        <v>1.81226833143628</v>
      </c>
    </row>
    <row r="3566" spans="1:6" hidden="1" x14ac:dyDescent="0.2">
      <c r="A3566" s="97" t="s">
        <v>190</v>
      </c>
      <c r="B3566" s="97" t="s">
        <v>19</v>
      </c>
      <c r="C3566" s="97" t="s">
        <v>158</v>
      </c>
      <c r="D3566" s="99">
        <v>0.89292629277756996</v>
      </c>
      <c r="E3566" s="99">
        <v>0.97110548506283001</v>
      </c>
      <c r="F3566" s="99">
        <v>0.96465544851019003</v>
      </c>
    </row>
    <row r="3567" spans="1:6" hidden="1" x14ac:dyDescent="0.2">
      <c r="A3567" s="100" t="s">
        <v>190</v>
      </c>
      <c r="B3567" s="100" t="s">
        <v>20</v>
      </c>
      <c r="C3567" s="100" t="s">
        <v>153</v>
      </c>
      <c r="D3567" s="101">
        <v>944</v>
      </c>
      <c r="E3567" s="101">
        <v>443</v>
      </c>
      <c r="F3567" s="101">
        <v>501</v>
      </c>
    </row>
    <row r="3568" spans="1:6" hidden="1" x14ac:dyDescent="0.2">
      <c r="A3568" s="102" t="s">
        <v>190</v>
      </c>
      <c r="B3568" s="102" t="s">
        <v>20</v>
      </c>
      <c r="C3568" s="102" t="s">
        <v>154</v>
      </c>
      <c r="D3568" s="103">
        <v>83.508759349183606</v>
      </c>
      <c r="E3568" s="103">
        <v>44.621386727794601</v>
      </c>
      <c r="F3568" s="103">
        <v>62.595226782936699</v>
      </c>
    </row>
    <row r="3569" spans="1:6" hidden="1" x14ac:dyDescent="0.2">
      <c r="A3569" s="102" t="s">
        <v>190</v>
      </c>
      <c r="B3569" s="102" t="s">
        <v>20</v>
      </c>
      <c r="C3569" s="102" t="s">
        <v>155</v>
      </c>
      <c r="D3569" s="103">
        <v>806.62214397021</v>
      </c>
      <c r="E3569" s="103">
        <v>369.59464121471802</v>
      </c>
      <c r="F3569" s="103">
        <v>398.02639435485202</v>
      </c>
    </row>
    <row r="3570" spans="1:6" hidden="1" x14ac:dyDescent="0.2">
      <c r="A3570" s="102" t="s">
        <v>190</v>
      </c>
      <c r="B3570" s="102" t="s">
        <v>20</v>
      </c>
      <c r="C3570" s="102" t="s">
        <v>156</v>
      </c>
      <c r="D3570" s="103">
        <v>1081.3778560297901</v>
      </c>
      <c r="E3570" s="103">
        <v>516.40535878528101</v>
      </c>
      <c r="F3570" s="103">
        <v>603.97360564514702</v>
      </c>
    </row>
    <row r="3571" spans="1:6" hidden="1" x14ac:dyDescent="0.2">
      <c r="A3571" s="102" t="s">
        <v>190</v>
      </c>
      <c r="B3571" s="102" t="s">
        <v>20</v>
      </c>
      <c r="C3571" s="102" t="s">
        <v>157</v>
      </c>
      <c r="D3571" s="104">
        <v>8.8462668802101305</v>
      </c>
      <c r="E3571" s="104">
        <v>10.0725477940845</v>
      </c>
      <c r="F3571" s="104">
        <v>12.4940572421031</v>
      </c>
    </row>
    <row r="3572" spans="1:6" hidden="1" x14ac:dyDescent="0.2">
      <c r="A3572" s="105" t="s">
        <v>190</v>
      </c>
      <c r="B3572" s="105" t="s">
        <v>20</v>
      </c>
      <c r="C3572" s="105" t="s">
        <v>158</v>
      </c>
      <c r="D3572" s="106">
        <v>1.4675249942059601</v>
      </c>
      <c r="E3572" s="106">
        <v>1.10503234474844</v>
      </c>
      <c r="F3572" s="106">
        <v>2.0281240077883398</v>
      </c>
    </row>
    <row r="3574" spans="1:6" ht="13.5" x14ac:dyDescent="0.25">
      <c r="A3574" s="107" t="s">
        <v>191</v>
      </c>
    </row>
  </sheetData>
  <autoFilter ref="A8:F3572">
    <filterColumn colId="0">
      <filters>
        <filter val="08 Chihuahua"/>
      </filters>
    </filterColumn>
    <filterColumn colId="2">
      <filters>
        <filter val="Valor"/>
      </filters>
    </filterColumn>
  </autoFilter>
  <hyperlinks>
    <hyperlink ref="F1" location="'Índice'!A1" display="Índice"/>
  </hyperlinks>
  <pageMargins left="0.75" right="0.75" top="1" bottom="1" header="0.5" footer="0.5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N111"/>
  <sheetViews>
    <sheetView topLeftCell="A79" workbookViewId="0">
      <selection activeCell="D2" sqref="D2:D111"/>
    </sheetView>
  </sheetViews>
  <sheetFormatPr baseColWidth="10" defaultRowHeight="15" x14ac:dyDescent="0.25"/>
  <cols>
    <col min="1" max="7" width="11.42578125" style="198"/>
    <col min="8" max="9" width="8.5703125" style="198" customWidth="1"/>
    <col min="10" max="13" width="11.42578125" style="198"/>
    <col min="15" max="16384" width="11.42578125" style="198"/>
  </cols>
  <sheetData>
    <row r="1" spans="1:9" s="198" customFormat="1" x14ac:dyDescent="0.25">
      <c r="A1" s="198" t="s">
        <v>24</v>
      </c>
      <c r="B1" s="198" t="s">
        <v>2</v>
      </c>
      <c r="C1" s="198" t="s">
        <v>3</v>
      </c>
      <c r="D1" s="198" t="s">
        <v>152</v>
      </c>
    </row>
    <row r="2" spans="1:9" s="198" customFormat="1" x14ac:dyDescent="0.25">
      <c r="A2" s="199">
        <v>0</v>
      </c>
      <c r="B2" s="200">
        <v>34996.566694600202</v>
      </c>
      <c r="C2" s="200">
        <v>33406.943507173601</v>
      </c>
      <c r="D2" s="201">
        <f>SUM(B2:C2)</f>
        <v>68403.51020177381</v>
      </c>
    </row>
    <row r="3" spans="1:9" s="198" customFormat="1" x14ac:dyDescent="0.25">
      <c r="A3" s="199">
        <v>1</v>
      </c>
      <c r="B3" s="200">
        <v>34897.119236130602</v>
      </c>
      <c r="C3" s="200">
        <v>33288.618818190698</v>
      </c>
      <c r="D3" s="201">
        <f t="shared" ref="D3:D66" si="0">SUM(B3:C3)</f>
        <v>68185.738054321293</v>
      </c>
    </row>
    <row r="4" spans="1:9" s="198" customFormat="1" x14ac:dyDescent="0.25">
      <c r="A4" s="199">
        <v>2</v>
      </c>
      <c r="B4" s="200">
        <v>34959.9965681256</v>
      </c>
      <c r="C4" s="200">
        <v>33288.484881885597</v>
      </c>
      <c r="D4" s="201">
        <f t="shared" si="0"/>
        <v>68248.481450011197</v>
      </c>
    </row>
    <row r="5" spans="1:9" s="198" customFormat="1" x14ac:dyDescent="0.25">
      <c r="A5" s="199">
        <v>3</v>
      </c>
      <c r="B5" s="200">
        <v>34992.3900719581</v>
      </c>
      <c r="C5" s="200">
        <v>33256.259419745598</v>
      </c>
      <c r="D5" s="201">
        <f t="shared" si="0"/>
        <v>68248.649491703691</v>
      </c>
    </row>
    <row r="6" spans="1:9" s="198" customFormat="1" x14ac:dyDescent="0.25">
      <c r="A6" s="199">
        <v>4</v>
      </c>
      <c r="B6" s="200">
        <v>34512.212120931799</v>
      </c>
      <c r="C6" s="200">
        <v>32674.553118759301</v>
      </c>
      <c r="D6" s="201">
        <f t="shared" si="0"/>
        <v>67186.7652396911</v>
      </c>
    </row>
    <row r="7" spans="1:9" s="198" customFormat="1" x14ac:dyDescent="0.25">
      <c r="A7" s="199">
        <v>5</v>
      </c>
      <c r="B7" s="200">
        <v>35385.257038694603</v>
      </c>
      <c r="C7" s="200">
        <v>33462.903750525198</v>
      </c>
      <c r="D7" s="201">
        <f t="shared" si="0"/>
        <v>68848.160789219808</v>
      </c>
      <c r="G7" s="198" t="s">
        <v>24</v>
      </c>
      <c r="H7" s="198" t="s">
        <v>2</v>
      </c>
      <c r="I7" s="198" t="s">
        <v>3</v>
      </c>
    </row>
    <row r="8" spans="1:9" s="198" customFormat="1" x14ac:dyDescent="0.25">
      <c r="A8" s="199">
        <v>6</v>
      </c>
      <c r="B8" s="200">
        <v>36514.234840835597</v>
      </c>
      <c r="C8" s="200">
        <v>34610.675001827403</v>
      </c>
      <c r="D8" s="201">
        <f t="shared" si="0"/>
        <v>71124.909842663008</v>
      </c>
      <c r="G8" s="198" t="s">
        <v>193</v>
      </c>
      <c r="H8" s="198">
        <f>139362+34997</f>
        <v>174359</v>
      </c>
      <c r="I8" s="198">
        <f>33407+171997</f>
        <v>205404</v>
      </c>
    </row>
    <row r="9" spans="1:9" s="198" customFormat="1" x14ac:dyDescent="0.25">
      <c r="A9" s="199">
        <v>7</v>
      </c>
      <c r="B9" s="200">
        <v>36376.923679845298</v>
      </c>
      <c r="C9" s="200">
        <v>34549.2616082694</v>
      </c>
      <c r="D9" s="201">
        <f t="shared" si="0"/>
        <v>70926.185288114706</v>
      </c>
      <c r="G9" s="198" t="s">
        <v>115</v>
      </c>
      <c r="H9" s="202">
        <v>181122.53592614277</v>
      </c>
      <c r="I9" s="202">
        <v>171997.36119711981</v>
      </c>
    </row>
    <row r="10" spans="1:9" s="198" customFormat="1" x14ac:dyDescent="0.25">
      <c r="A10" s="199">
        <v>8</v>
      </c>
      <c r="B10" s="200">
        <v>36477.305860602602</v>
      </c>
      <c r="C10" s="200">
        <v>34714.785166932597</v>
      </c>
      <c r="D10" s="201">
        <f t="shared" si="0"/>
        <v>71192.091027535207</v>
      </c>
      <c r="G10" s="198" t="s">
        <v>116</v>
      </c>
      <c r="H10" s="202">
        <v>177307.5017278025</v>
      </c>
      <c r="I10" s="202">
        <v>169948.73406793241</v>
      </c>
    </row>
    <row r="11" spans="1:9" s="198" customFormat="1" x14ac:dyDescent="0.25">
      <c r="A11" s="199">
        <v>9</v>
      </c>
      <c r="B11" s="200">
        <v>36368.814506164701</v>
      </c>
      <c r="C11" s="200">
        <v>34659.735669565198</v>
      </c>
      <c r="D11" s="201">
        <f t="shared" si="0"/>
        <v>71028.550175729906</v>
      </c>
      <c r="G11" s="198" t="s">
        <v>117</v>
      </c>
      <c r="H11" s="202">
        <v>168567.0616269935</v>
      </c>
      <c r="I11" s="202">
        <v>165701.7219742031</v>
      </c>
    </row>
    <row r="12" spans="1:9" s="198" customFormat="1" x14ac:dyDescent="0.25">
      <c r="A12" s="199">
        <v>10</v>
      </c>
      <c r="B12" s="200">
        <v>36076.661916432</v>
      </c>
      <c r="C12" s="200">
        <v>34432.356066823399</v>
      </c>
      <c r="D12" s="201">
        <f t="shared" si="0"/>
        <v>70509.017983255399</v>
      </c>
      <c r="G12" s="198" t="s">
        <v>118</v>
      </c>
      <c r="H12" s="202">
        <v>155502.66865950701</v>
      </c>
      <c r="I12" s="202">
        <v>159116.8266314076</v>
      </c>
    </row>
    <row r="13" spans="1:9" s="198" customFormat="1" x14ac:dyDescent="0.25">
      <c r="A13" s="199">
        <v>11</v>
      </c>
      <c r="B13" s="200">
        <v>35777.959133430697</v>
      </c>
      <c r="C13" s="200">
        <v>34211.6058281726</v>
      </c>
      <c r="D13" s="201">
        <f t="shared" si="0"/>
        <v>69989.56496160329</v>
      </c>
      <c r="G13" s="198" t="s">
        <v>120</v>
      </c>
      <c r="H13" s="202">
        <v>139274.8984355228</v>
      </c>
      <c r="I13" s="202">
        <v>146019.98976789092</v>
      </c>
    </row>
    <row r="14" spans="1:9" s="198" customFormat="1" x14ac:dyDescent="0.25">
      <c r="A14" s="199">
        <v>12</v>
      </c>
      <c r="B14" s="200">
        <v>35474.960817214996</v>
      </c>
      <c r="C14" s="200">
        <v>34000.026528769202</v>
      </c>
      <c r="D14" s="201">
        <f t="shared" si="0"/>
        <v>69474.987345984206</v>
      </c>
      <c r="G14" s="198" t="s">
        <v>121</v>
      </c>
      <c r="H14" s="202">
        <v>131175.15081091871</v>
      </c>
      <c r="I14" s="202">
        <v>140496.06552070621</v>
      </c>
    </row>
    <row r="15" spans="1:9" s="198" customFormat="1" x14ac:dyDescent="0.25">
      <c r="A15" s="199">
        <v>13</v>
      </c>
      <c r="B15" s="200">
        <v>35147.569311445499</v>
      </c>
      <c r="C15" s="200">
        <v>33757.798540785901</v>
      </c>
      <c r="D15" s="201">
        <f t="shared" si="0"/>
        <v>68905.3678522314</v>
      </c>
      <c r="G15" s="198" t="s">
        <v>122</v>
      </c>
      <c r="H15" s="202">
        <v>129698.77172659361</v>
      </c>
      <c r="I15" s="202">
        <v>139673.27720826142</v>
      </c>
    </row>
    <row r="16" spans="1:9" s="198" customFormat="1" x14ac:dyDescent="0.25">
      <c r="A16" s="199">
        <v>14</v>
      </c>
      <c r="B16" s="200">
        <v>34830.350549279297</v>
      </c>
      <c r="C16" s="200">
        <v>33546.947103381302</v>
      </c>
      <c r="D16" s="201">
        <f t="shared" si="0"/>
        <v>68377.297652660607</v>
      </c>
      <c r="G16" s="198" t="s">
        <v>123</v>
      </c>
      <c r="H16" s="202">
        <v>125660.1735106441</v>
      </c>
      <c r="I16" s="202">
        <v>135038.7698381872</v>
      </c>
    </row>
    <row r="17" spans="1:9" s="198" customFormat="1" x14ac:dyDescent="0.25">
      <c r="A17" s="199">
        <v>15</v>
      </c>
      <c r="B17" s="200">
        <v>34500.110166016697</v>
      </c>
      <c r="C17" s="200">
        <v>33416.474454748197</v>
      </c>
      <c r="D17" s="201">
        <f t="shared" si="0"/>
        <v>67916.584620764886</v>
      </c>
      <c r="G17" s="198" t="s">
        <v>126</v>
      </c>
      <c r="H17" s="202">
        <v>113608.69635259471</v>
      </c>
      <c r="I17" s="202">
        <v>121341.90614958591</v>
      </c>
    </row>
    <row r="18" spans="1:9" s="198" customFormat="1" x14ac:dyDescent="0.25">
      <c r="A18" s="199">
        <v>16</v>
      </c>
      <c r="B18" s="200">
        <v>34121.960626001201</v>
      </c>
      <c r="C18" s="200">
        <v>33286.835675141701</v>
      </c>
      <c r="D18" s="201">
        <f t="shared" si="0"/>
        <v>67408.796301142895</v>
      </c>
      <c r="G18" s="198" t="s">
        <v>127</v>
      </c>
      <c r="H18" s="202">
        <v>92904.620099017295</v>
      </c>
      <c r="I18" s="202">
        <v>99645.090996316896</v>
      </c>
    </row>
    <row r="19" spans="1:9" s="198" customFormat="1" x14ac:dyDescent="0.25">
      <c r="A19" s="199">
        <v>17</v>
      </c>
      <c r="B19" s="200">
        <v>33727.974465507497</v>
      </c>
      <c r="C19" s="200">
        <v>33139.215338947797</v>
      </c>
      <c r="D19" s="201">
        <f t="shared" si="0"/>
        <v>66867.189804455295</v>
      </c>
      <c r="G19" s="198" t="s">
        <v>128</v>
      </c>
      <c r="H19" s="202">
        <v>72031.794815745496</v>
      </c>
      <c r="I19" s="202">
        <v>78733.245542376899</v>
      </c>
    </row>
    <row r="20" spans="1:9" s="198" customFormat="1" x14ac:dyDescent="0.25">
      <c r="A20" s="199">
        <v>18</v>
      </c>
      <c r="B20" s="200">
        <v>33353.551381839898</v>
      </c>
      <c r="C20" s="200">
        <v>33026.4840936935</v>
      </c>
      <c r="D20" s="201">
        <f t="shared" si="0"/>
        <v>66380.035475533397</v>
      </c>
      <c r="G20" s="198" t="s">
        <v>129</v>
      </c>
      <c r="H20" s="202">
        <v>53707.839911892763</v>
      </c>
      <c r="I20" s="202">
        <v>59810.916124149197</v>
      </c>
    </row>
    <row r="21" spans="1:9" s="198" customFormat="1" x14ac:dyDescent="0.25">
      <c r="A21" s="199">
        <v>19</v>
      </c>
      <c r="B21" s="200">
        <v>32863.464987628198</v>
      </c>
      <c r="C21" s="200">
        <v>32832.712411671899</v>
      </c>
      <c r="D21" s="201">
        <f t="shared" si="0"/>
        <v>65696.177399300097</v>
      </c>
      <c r="G21" s="198" t="s">
        <v>130</v>
      </c>
      <c r="H21" s="202">
        <v>39690.280191404396</v>
      </c>
      <c r="I21" s="202">
        <v>44881.449951228402</v>
      </c>
    </row>
    <row r="22" spans="1:9" s="198" customFormat="1" x14ac:dyDescent="0.25">
      <c r="A22" s="199">
        <v>20</v>
      </c>
      <c r="B22" s="200">
        <v>32365.568085752901</v>
      </c>
      <c r="C22" s="200">
        <v>32641.1445949648</v>
      </c>
      <c r="D22" s="201">
        <f t="shared" si="0"/>
        <v>65006.712680717697</v>
      </c>
      <c r="G22" s="198" t="s">
        <v>131</v>
      </c>
      <c r="H22" s="202">
        <v>29387.641458923128</v>
      </c>
      <c r="I22" s="202">
        <v>33559.45176459878</v>
      </c>
    </row>
    <row r="23" spans="1:9" s="198" customFormat="1" x14ac:dyDescent="0.25">
      <c r="A23" s="199">
        <v>21</v>
      </c>
      <c r="B23" s="200">
        <v>31826.535192810799</v>
      </c>
      <c r="C23" s="200">
        <v>32368.819752264</v>
      </c>
      <c r="D23" s="201">
        <f t="shared" si="0"/>
        <v>64195.354945074796</v>
      </c>
      <c r="G23" s="198" t="s">
        <v>132</v>
      </c>
      <c r="H23" s="202">
        <v>20571.56704506775</v>
      </c>
      <c r="I23" s="202">
        <v>23630.528800309825</v>
      </c>
    </row>
    <row r="24" spans="1:9" s="198" customFormat="1" x14ac:dyDescent="0.25">
      <c r="A24" s="199">
        <v>22</v>
      </c>
      <c r="B24" s="200">
        <v>31056.978806310799</v>
      </c>
      <c r="C24" s="200">
        <v>31824.408750850602</v>
      </c>
      <c r="D24" s="201">
        <f t="shared" si="0"/>
        <v>62881.387557161404</v>
      </c>
      <c r="G24" s="198" t="s">
        <v>133</v>
      </c>
      <c r="H24" s="202">
        <v>12618.816683058842</v>
      </c>
      <c r="I24" s="202">
        <v>14966.412209288032</v>
      </c>
    </row>
    <row r="25" spans="1:9" s="198" customFormat="1" x14ac:dyDescent="0.25">
      <c r="A25" s="199">
        <v>23</v>
      </c>
      <c r="B25" s="200">
        <v>30391.4149941744</v>
      </c>
      <c r="C25" s="200">
        <v>31340.3081040004</v>
      </c>
      <c r="D25" s="201">
        <f t="shared" si="0"/>
        <v>61731.7230981748</v>
      </c>
      <c r="G25" s="198" t="s">
        <v>134</v>
      </c>
      <c r="H25" s="202">
        <v>6340.7571197572979</v>
      </c>
      <c r="I25" s="202">
        <v>8092.1426057386398</v>
      </c>
    </row>
    <row r="26" spans="1:9" s="198" customFormat="1" x14ac:dyDescent="0.25">
      <c r="A26" s="199">
        <v>24</v>
      </c>
      <c r="B26" s="200">
        <v>29862.1715804581</v>
      </c>
      <c r="C26" s="200">
        <v>30942.1454293278</v>
      </c>
      <c r="D26" s="201">
        <f t="shared" si="0"/>
        <v>60804.317009785897</v>
      </c>
      <c r="G26" s="198" t="s">
        <v>135</v>
      </c>
      <c r="H26" s="202">
        <v>2442.2260886888812</v>
      </c>
      <c r="I26" s="202">
        <v>3426.2234686881311</v>
      </c>
    </row>
    <row r="27" spans="1:9" s="198" customFormat="1" x14ac:dyDescent="0.25">
      <c r="A27" s="199">
        <v>25</v>
      </c>
      <c r="B27" s="200">
        <v>29206.6042497118</v>
      </c>
      <c r="C27" s="200">
        <v>30379.123232112201</v>
      </c>
      <c r="D27" s="201">
        <f t="shared" si="0"/>
        <v>59585.727481823997</v>
      </c>
      <c r="G27" s="198" t="s">
        <v>136</v>
      </c>
      <c r="H27" s="202">
        <v>695.17299404937944</v>
      </c>
      <c r="I27" s="202">
        <v>1065.0617992678958</v>
      </c>
    </row>
    <row r="28" spans="1:9" s="198" customFormat="1" x14ac:dyDescent="0.25">
      <c r="A28" s="199">
        <v>26</v>
      </c>
      <c r="B28" s="200">
        <v>28367.724783110702</v>
      </c>
      <c r="C28" s="200">
        <v>29571.4507184547</v>
      </c>
      <c r="D28" s="201">
        <f t="shared" si="0"/>
        <v>57939.175501565405</v>
      </c>
      <c r="G28" s="198" t="s">
        <v>137</v>
      </c>
      <c r="H28" s="202">
        <v>149.90892075636538</v>
      </c>
      <c r="I28" s="202">
        <v>252.63335452839846</v>
      </c>
    </row>
    <row r="29" spans="1:9" s="198" customFormat="1" x14ac:dyDescent="0.25">
      <c r="A29" s="199">
        <v>27</v>
      </c>
      <c r="B29" s="200">
        <v>27658.4312436951</v>
      </c>
      <c r="C29" s="200">
        <v>28939.2154577859</v>
      </c>
      <c r="D29" s="201">
        <f t="shared" si="0"/>
        <v>56597.646701481004</v>
      </c>
      <c r="H29" s="202"/>
      <c r="I29" s="202"/>
    </row>
    <row r="30" spans="1:9" s="198" customFormat="1" x14ac:dyDescent="0.25">
      <c r="A30" s="199">
        <v>28</v>
      </c>
      <c r="B30" s="200">
        <v>27218.039646367499</v>
      </c>
      <c r="C30" s="200">
        <v>28693.448648962902</v>
      </c>
      <c r="D30" s="201">
        <f t="shared" si="0"/>
        <v>55911.488295330404</v>
      </c>
      <c r="H30" s="202"/>
      <c r="I30" s="202"/>
    </row>
    <row r="31" spans="1:9" s="198" customFormat="1" x14ac:dyDescent="0.25">
      <c r="A31" s="199">
        <v>29</v>
      </c>
      <c r="B31" s="200">
        <v>26824.098512637702</v>
      </c>
      <c r="C31" s="200">
        <v>28436.751710575201</v>
      </c>
      <c r="D31" s="201">
        <f t="shared" si="0"/>
        <v>55260.850223212903</v>
      </c>
      <c r="H31" s="202"/>
      <c r="I31" s="202"/>
    </row>
    <row r="32" spans="1:9" s="198" customFormat="1" x14ac:dyDescent="0.25">
      <c r="A32" s="199">
        <v>30</v>
      </c>
      <c r="B32" s="200">
        <v>26534.268842338799</v>
      </c>
      <c r="C32" s="200">
        <v>28224.1389581451</v>
      </c>
      <c r="D32" s="201">
        <f t="shared" si="0"/>
        <v>54758.407800483896</v>
      </c>
    </row>
    <row r="33" spans="1:4" s="198" customFormat="1" x14ac:dyDescent="0.25">
      <c r="A33" s="199">
        <v>31</v>
      </c>
      <c r="B33" s="200">
        <v>26337.826830349</v>
      </c>
      <c r="C33" s="200">
        <v>28132.596832734602</v>
      </c>
      <c r="D33" s="201">
        <f t="shared" si="0"/>
        <v>54470.423663083602</v>
      </c>
    </row>
    <row r="34" spans="1:4" s="198" customFormat="1" x14ac:dyDescent="0.25">
      <c r="A34" s="199">
        <v>32</v>
      </c>
      <c r="B34" s="200">
        <v>26167.504348540999</v>
      </c>
      <c r="C34" s="200">
        <v>28061.374122427598</v>
      </c>
      <c r="D34" s="201">
        <f t="shared" si="0"/>
        <v>54228.878470968601</v>
      </c>
    </row>
    <row r="35" spans="1:4" s="198" customFormat="1" x14ac:dyDescent="0.25">
      <c r="A35" s="199">
        <v>33</v>
      </c>
      <c r="B35" s="200">
        <v>26077.366781177101</v>
      </c>
      <c r="C35" s="200">
        <v>28038.287039025301</v>
      </c>
      <c r="D35" s="201">
        <f t="shared" si="0"/>
        <v>54115.653820202402</v>
      </c>
    </row>
    <row r="36" spans="1:4" s="198" customFormat="1" x14ac:dyDescent="0.25">
      <c r="A36" s="199">
        <v>34</v>
      </c>
      <c r="B36" s="200">
        <v>26058.184008512799</v>
      </c>
      <c r="C36" s="200">
        <v>28039.6685683736</v>
      </c>
      <c r="D36" s="201">
        <f t="shared" si="0"/>
        <v>54097.852576886398</v>
      </c>
    </row>
    <row r="37" spans="1:4" s="198" customFormat="1" x14ac:dyDescent="0.25">
      <c r="A37" s="199">
        <v>35</v>
      </c>
      <c r="B37" s="200">
        <v>26066.013662578702</v>
      </c>
      <c r="C37" s="200">
        <v>28046.200253063402</v>
      </c>
      <c r="D37" s="201">
        <f t="shared" si="0"/>
        <v>54112.213915642104</v>
      </c>
    </row>
    <row r="38" spans="1:4" s="198" customFormat="1" x14ac:dyDescent="0.25">
      <c r="A38" s="199">
        <v>36</v>
      </c>
      <c r="B38" s="200">
        <v>26055.7282846419</v>
      </c>
      <c r="C38" s="200">
        <v>28043.750647557499</v>
      </c>
      <c r="D38" s="201">
        <f t="shared" si="0"/>
        <v>54099.478932199403</v>
      </c>
    </row>
    <row r="39" spans="1:4" s="198" customFormat="1" x14ac:dyDescent="0.25">
      <c r="A39" s="199">
        <v>37</v>
      </c>
      <c r="B39" s="200">
        <v>25990.781899542599</v>
      </c>
      <c r="C39" s="200">
        <v>27991.461147409002</v>
      </c>
      <c r="D39" s="201">
        <f t="shared" si="0"/>
        <v>53982.243046951597</v>
      </c>
    </row>
    <row r="40" spans="1:4" s="198" customFormat="1" x14ac:dyDescent="0.25">
      <c r="A40" s="199">
        <v>38</v>
      </c>
      <c r="B40" s="200">
        <v>25867.887383366698</v>
      </c>
      <c r="C40" s="200">
        <v>27873.978073598999</v>
      </c>
      <c r="D40" s="201">
        <f t="shared" si="0"/>
        <v>53741.865456965694</v>
      </c>
    </row>
    <row r="41" spans="1:4" s="198" customFormat="1" x14ac:dyDescent="0.25">
      <c r="A41" s="199">
        <v>39</v>
      </c>
      <c r="B41" s="200">
        <v>25718.360496463702</v>
      </c>
      <c r="C41" s="200">
        <v>27717.887086632501</v>
      </c>
      <c r="D41" s="201">
        <f t="shared" si="0"/>
        <v>53436.247583096207</v>
      </c>
    </row>
    <row r="42" spans="1:4" s="198" customFormat="1" x14ac:dyDescent="0.25">
      <c r="A42" s="199">
        <v>40</v>
      </c>
      <c r="B42" s="200">
        <v>25562.9238474392</v>
      </c>
      <c r="C42" s="200">
        <v>27538.9423147901</v>
      </c>
      <c r="D42" s="201">
        <f t="shared" si="0"/>
        <v>53101.8661622293</v>
      </c>
    </row>
    <row r="43" spans="1:4" s="198" customFormat="1" x14ac:dyDescent="0.25">
      <c r="A43" s="199">
        <v>41</v>
      </c>
      <c r="B43" s="200">
        <v>25396.934767189799</v>
      </c>
      <c r="C43" s="200">
        <v>27333.164532932398</v>
      </c>
      <c r="D43" s="201">
        <f t="shared" si="0"/>
        <v>52730.099300122194</v>
      </c>
    </row>
    <row r="44" spans="1:4" s="198" customFormat="1" x14ac:dyDescent="0.25">
      <c r="A44" s="199">
        <v>42</v>
      </c>
      <c r="B44" s="200">
        <v>25204.147550418202</v>
      </c>
      <c r="C44" s="200">
        <v>27086.551627598099</v>
      </c>
      <c r="D44" s="201">
        <f t="shared" si="0"/>
        <v>52290.699178016301</v>
      </c>
    </row>
    <row r="45" spans="1:4" s="198" customFormat="1" x14ac:dyDescent="0.25">
      <c r="A45" s="199">
        <v>43</v>
      </c>
      <c r="B45" s="200">
        <v>24936.999778720299</v>
      </c>
      <c r="C45" s="200">
        <v>26759.5964169156</v>
      </c>
      <c r="D45" s="201">
        <f t="shared" si="0"/>
        <v>51696.596195635895</v>
      </c>
    </row>
    <row r="46" spans="1:4" s="198" customFormat="1" x14ac:dyDescent="0.25">
      <c r="A46" s="199">
        <v>44</v>
      </c>
      <c r="B46" s="200">
        <v>24559.1675668766</v>
      </c>
      <c r="C46" s="200">
        <v>26320.514945950999</v>
      </c>
      <c r="D46" s="201">
        <f t="shared" si="0"/>
        <v>50879.682512827596</v>
      </c>
    </row>
    <row r="47" spans="1:4" s="198" customFormat="1" x14ac:dyDescent="0.25">
      <c r="A47" s="199">
        <v>45</v>
      </c>
      <c r="B47" s="200">
        <v>24074.746770843001</v>
      </c>
      <c r="C47" s="200">
        <v>25766.1888449002</v>
      </c>
      <c r="D47" s="201">
        <f t="shared" si="0"/>
        <v>49840.935615743205</v>
      </c>
    </row>
    <row r="48" spans="1:4" s="198" customFormat="1" x14ac:dyDescent="0.25">
      <c r="A48" s="199">
        <v>46</v>
      </c>
      <c r="B48" s="200">
        <v>23486.120039557401</v>
      </c>
      <c r="C48" s="200">
        <v>25100.116870376201</v>
      </c>
      <c r="D48" s="201">
        <f t="shared" si="0"/>
        <v>48586.236909933607</v>
      </c>
    </row>
    <row r="49" spans="1:4" s="198" customFormat="1" x14ac:dyDescent="0.25">
      <c r="A49" s="199">
        <v>47</v>
      </c>
      <c r="B49" s="200">
        <v>22798.839455679699</v>
      </c>
      <c r="C49" s="200">
        <v>24338.451310053399</v>
      </c>
      <c r="D49" s="201">
        <f t="shared" si="0"/>
        <v>47137.290765733094</v>
      </c>
    </row>
    <row r="50" spans="1:4" s="198" customFormat="1" x14ac:dyDescent="0.25">
      <c r="A50" s="199">
        <v>48</v>
      </c>
      <c r="B50" s="200">
        <v>22034.717339386902</v>
      </c>
      <c r="C50" s="200">
        <v>23507.9328809242</v>
      </c>
      <c r="D50" s="201">
        <f t="shared" si="0"/>
        <v>45542.650220311101</v>
      </c>
    </row>
    <row r="51" spans="1:4" s="198" customFormat="1" x14ac:dyDescent="0.25">
      <c r="A51" s="199">
        <v>49</v>
      </c>
      <c r="B51" s="200">
        <v>21214.272747127699</v>
      </c>
      <c r="C51" s="200">
        <v>22629.216243331899</v>
      </c>
      <c r="D51" s="201">
        <f t="shared" si="0"/>
        <v>43843.488990459598</v>
      </c>
    </row>
    <row r="52" spans="1:4" s="198" customFormat="1" x14ac:dyDescent="0.25">
      <c r="A52" s="199">
        <v>50</v>
      </c>
      <c r="B52" s="200">
        <v>20352.4393316764</v>
      </c>
      <c r="C52" s="200">
        <v>21720.4442633461</v>
      </c>
      <c r="D52" s="201">
        <f t="shared" si="0"/>
        <v>42072.883595022504</v>
      </c>
    </row>
    <row r="53" spans="1:4" s="198" customFormat="1" x14ac:dyDescent="0.25">
      <c r="A53" s="199">
        <v>51</v>
      </c>
      <c r="B53" s="200">
        <v>19464.113473870701</v>
      </c>
      <c r="C53" s="200">
        <v>20804.104571944099</v>
      </c>
      <c r="D53" s="201">
        <f t="shared" si="0"/>
        <v>40268.2180458148</v>
      </c>
    </row>
    <row r="54" spans="1:4" s="198" customFormat="1" x14ac:dyDescent="0.25">
      <c r="A54" s="199">
        <v>52</v>
      </c>
      <c r="B54" s="200">
        <v>18569.625944574698</v>
      </c>
      <c r="C54" s="200">
        <v>19902.758979198599</v>
      </c>
      <c r="D54" s="201">
        <f t="shared" si="0"/>
        <v>38472.384923773294</v>
      </c>
    </row>
    <row r="55" spans="1:4" s="198" customFormat="1" x14ac:dyDescent="0.25">
      <c r="A55" s="199">
        <v>53</v>
      </c>
      <c r="B55" s="200">
        <v>17688.171388270799</v>
      </c>
      <c r="C55" s="200">
        <v>19030.420566677702</v>
      </c>
      <c r="D55" s="201">
        <f t="shared" si="0"/>
        <v>36718.591954948497</v>
      </c>
    </row>
    <row r="56" spans="1:4" s="198" customFormat="1" x14ac:dyDescent="0.25">
      <c r="A56" s="199">
        <v>54</v>
      </c>
      <c r="B56" s="200">
        <v>16830.269960624701</v>
      </c>
      <c r="C56" s="200">
        <v>18187.3626151504</v>
      </c>
      <c r="D56" s="201">
        <f t="shared" si="0"/>
        <v>35017.632575775104</v>
      </c>
    </row>
    <row r="57" spans="1:4" s="198" customFormat="1" x14ac:dyDescent="0.25">
      <c r="A57" s="199">
        <v>55</v>
      </c>
      <c r="B57" s="200">
        <v>15998.343478764</v>
      </c>
      <c r="C57" s="200">
        <v>17362.707957443101</v>
      </c>
      <c r="D57" s="201">
        <f t="shared" si="0"/>
        <v>33361.051436207097</v>
      </c>
    </row>
    <row r="58" spans="1:4" s="198" customFormat="1" x14ac:dyDescent="0.25">
      <c r="A58" s="199">
        <v>56</v>
      </c>
      <c r="B58" s="200">
        <v>15188.2102350492</v>
      </c>
      <c r="C58" s="200">
        <v>16547.115712335999</v>
      </c>
      <c r="D58" s="201">
        <f t="shared" si="0"/>
        <v>31735.325947385201</v>
      </c>
    </row>
    <row r="59" spans="1:4" s="198" customFormat="1" x14ac:dyDescent="0.25">
      <c r="A59" s="199">
        <v>57</v>
      </c>
      <c r="B59" s="200">
        <v>14393.8650534564</v>
      </c>
      <c r="C59" s="200">
        <v>15738.3770484374</v>
      </c>
      <c r="D59" s="201">
        <f t="shared" si="0"/>
        <v>30132.2421018938</v>
      </c>
    </row>
    <row r="60" spans="1:4" s="198" customFormat="1" x14ac:dyDescent="0.25">
      <c r="A60" s="199">
        <v>58</v>
      </c>
      <c r="B60" s="200">
        <v>13610.5102285269</v>
      </c>
      <c r="C60" s="200">
        <v>14937.295803403</v>
      </c>
      <c r="D60" s="201">
        <f t="shared" si="0"/>
        <v>28547.8060319299</v>
      </c>
    </row>
    <row r="61" spans="1:4" s="198" customFormat="1" x14ac:dyDescent="0.25">
      <c r="A61" s="199">
        <v>59</v>
      </c>
      <c r="B61" s="200">
        <v>12840.865819949</v>
      </c>
      <c r="C61" s="200">
        <v>14147.749020757399</v>
      </c>
      <c r="D61" s="201">
        <f t="shared" si="0"/>
        <v>26988.614840706399</v>
      </c>
    </row>
    <row r="62" spans="1:4" s="198" customFormat="1" x14ac:dyDescent="0.25">
      <c r="A62" s="199">
        <v>60</v>
      </c>
      <c r="B62" s="200">
        <v>12095.4373044689</v>
      </c>
      <c r="C62" s="200">
        <v>13379.293072325299</v>
      </c>
      <c r="D62" s="201">
        <f t="shared" si="0"/>
        <v>25474.730376794199</v>
      </c>
    </row>
    <row r="63" spans="1:4" s="198" customFormat="1" x14ac:dyDescent="0.25">
      <c r="A63" s="199">
        <v>61</v>
      </c>
      <c r="B63" s="200">
        <v>11382.5570454463</v>
      </c>
      <c r="C63" s="200">
        <v>12639.306548090801</v>
      </c>
      <c r="D63" s="201">
        <f t="shared" si="0"/>
        <v>24021.863593537098</v>
      </c>
    </row>
    <row r="64" spans="1:4" s="198" customFormat="1" x14ac:dyDescent="0.25">
      <c r="A64" s="199">
        <v>62</v>
      </c>
      <c r="B64" s="200">
        <v>10704.625330061101</v>
      </c>
      <c r="C64" s="200">
        <v>11928.6932253946</v>
      </c>
      <c r="D64" s="201">
        <f t="shared" si="0"/>
        <v>22633.318555455699</v>
      </c>
    </row>
    <row r="65" spans="1:4" s="198" customFormat="1" x14ac:dyDescent="0.25">
      <c r="A65" s="199">
        <v>63</v>
      </c>
      <c r="B65" s="200">
        <v>10063.1730951728</v>
      </c>
      <c r="C65" s="200">
        <v>11251.021759490601</v>
      </c>
      <c r="D65" s="201">
        <f t="shared" si="0"/>
        <v>21314.194854663401</v>
      </c>
    </row>
    <row r="66" spans="1:4" s="198" customFormat="1" x14ac:dyDescent="0.25">
      <c r="A66" s="199">
        <v>64</v>
      </c>
      <c r="B66" s="200">
        <v>9462.0471367436603</v>
      </c>
      <c r="C66" s="200">
        <v>10612.6015188479</v>
      </c>
      <c r="D66" s="201">
        <f t="shared" si="0"/>
        <v>20074.648655591562</v>
      </c>
    </row>
    <row r="67" spans="1:4" s="198" customFormat="1" x14ac:dyDescent="0.25">
      <c r="A67" s="199">
        <v>65</v>
      </c>
      <c r="B67" s="200">
        <v>8901.56078229591</v>
      </c>
      <c r="C67" s="200">
        <v>10016.188641115999</v>
      </c>
      <c r="D67" s="201">
        <f t="shared" ref="D67:D111" si="1">SUM(B67:C67)</f>
        <v>18917.749423411908</v>
      </c>
    </row>
    <row r="68" spans="1:4" s="198" customFormat="1" x14ac:dyDescent="0.25">
      <c r="A68" s="199">
        <v>66</v>
      </c>
      <c r="B68" s="200">
        <v>8380.5797967332692</v>
      </c>
      <c r="C68" s="200">
        <v>9460.6032662453508</v>
      </c>
      <c r="D68" s="201">
        <f t="shared" si="1"/>
        <v>17841.18306297862</v>
      </c>
    </row>
    <row r="69" spans="1:4" s="198" customFormat="1" x14ac:dyDescent="0.25">
      <c r="A69" s="199">
        <v>67</v>
      </c>
      <c r="B69" s="200">
        <v>7900.3406599029204</v>
      </c>
      <c r="C69" s="200">
        <v>8943.3251790970608</v>
      </c>
      <c r="D69" s="201">
        <f t="shared" si="1"/>
        <v>16843.665838999979</v>
      </c>
    </row>
    <row r="70" spans="1:4" s="198" customFormat="1" x14ac:dyDescent="0.25">
      <c r="A70" s="199">
        <v>68</v>
      </c>
      <c r="B70" s="200">
        <v>7463.2261073312202</v>
      </c>
      <c r="C70" s="200">
        <v>8459.8805686628202</v>
      </c>
      <c r="D70" s="201">
        <f t="shared" si="1"/>
        <v>15923.10667599404</v>
      </c>
    </row>
    <row r="71" spans="1:4" s="198" customFormat="1" x14ac:dyDescent="0.25">
      <c r="A71" s="199">
        <v>69</v>
      </c>
      <c r="B71" s="200">
        <v>7044.5728451410796</v>
      </c>
      <c r="C71" s="200">
        <v>8001.4522961071698</v>
      </c>
      <c r="D71" s="201">
        <f t="shared" si="1"/>
        <v>15046.02514124825</v>
      </c>
    </row>
    <row r="72" spans="1:4" s="198" customFormat="1" x14ac:dyDescent="0.25">
      <c r="A72" s="199">
        <v>70</v>
      </c>
      <c r="B72" s="200">
        <v>6629.4679701037403</v>
      </c>
      <c r="C72" s="200">
        <v>7558.5453603534497</v>
      </c>
      <c r="D72" s="201">
        <f t="shared" si="1"/>
        <v>14188.01333045719</v>
      </c>
    </row>
    <row r="73" spans="1:4" s="198" customFormat="1" x14ac:dyDescent="0.25">
      <c r="A73" s="199">
        <v>71</v>
      </c>
      <c r="B73" s="200">
        <v>6240.0493869718402</v>
      </c>
      <c r="C73" s="200">
        <v>7126.2763870287099</v>
      </c>
      <c r="D73" s="201">
        <f t="shared" si="1"/>
        <v>13366.32577400055</v>
      </c>
    </row>
    <row r="74" spans="1:4" s="198" customFormat="1" x14ac:dyDescent="0.25">
      <c r="A74" s="199">
        <v>72</v>
      </c>
      <c r="B74" s="200">
        <v>5869.2212331805504</v>
      </c>
      <c r="C74" s="200">
        <v>6703.1114461754796</v>
      </c>
      <c r="D74" s="201">
        <f t="shared" si="1"/>
        <v>12572.33267935603</v>
      </c>
    </row>
    <row r="75" spans="1:4" s="198" customFormat="1" x14ac:dyDescent="0.25">
      <c r="A75" s="199">
        <v>73</v>
      </c>
      <c r="B75" s="200">
        <v>5503.1174402525903</v>
      </c>
      <c r="C75" s="200">
        <v>6288.3404995441997</v>
      </c>
      <c r="D75" s="201">
        <f t="shared" si="1"/>
        <v>11791.45793979679</v>
      </c>
    </row>
    <row r="76" spans="1:4" s="198" customFormat="1" x14ac:dyDescent="0.25">
      <c r="A76" s="199">
        <v>74</v>
      </c>
      <c r="B76" s="200">
        <v>5145.7854284144096</v>
      </c>
      <c r="C76" s="200">
        <v>5883.17807149694</v>
      </c>
      <c r="D76" s="201">
        <f t="shared" si="1"/>
        <v>11028.96349991135</v>
      </c>
    </row>
    <row r="77" spans="1:4" s="198" customFormat="1" x14ac:dyDescent="0.25">
      <c r="A77" s="199">
        <v>75</v>
      </c>
      <c r="B77" s="200">
        <v>4796.3446210145703</v>
      </c>
      <c r="C77" s="200">
        <v>5487.4734941384304</v>
      </c>
      <c r="D77" s="201">
        <f t="shared" si="1"/>
        <v>10283.818115153001</v>
      </c>
    </row>
    <row r="78" spans="1:4" s="198" customFormat="1" x14ac:dyDescent="0.25">
      <c r="A78" s="199">
        <v>76</v>
      </c>
      <c r="B78" s="200">
        <v>4452.0945287293698</v>
      </c>
      <c r="C78" s="200">
        <v>5098.8994417202903</v>
      </c>
      <c r="D78" s="201">
        <f t="shared" si="1"/>
        <v>9550.993970449661</v>
      </c>
    </row>
    <row r="79" spans="1:4" s="198" customFormat="1" x14ac:dyDescent="0.25">
      <c r="A79" s="199">
        <v>77</v>
      </c>
      <c r="B79" s="200">
        <v>4110.9550239706296</v>
      </c>
      <c r="C79" s="200">
        <v>4717.3242425809403</v>
      </c>
      <c r="D79" s="201">
        <f t="shared" si="1"/>
        <v>8828.2792665515699</v>
      </c>
    </row>
    <row r="80" spans="1:4" s="198" customFormat="1" x14ac:dyDescent="0.25">
      <c r="A80" s="199">
        <v>78</v>
      </c>
      <c r="B80" s="200">
        <v>3772.4394688858201</v>
      </c>
      <c r="C80" s="200">
        <v>4344.5546590079502</v>
      </c>
      <c r="D80" s="201">
        <f t="shared" si="1"/>
        <v>8116.9941278937704</v>
      </c>
    </row>
    <row r="81" spans="1:4" s="198" customFormat="1" x14ac:dyDescent="0.25">
      <c r="A81" s="199">
        <v>79</v>
      </c>
      <c r="B81" s="200">
        <v>3439.7334024673601</v>
      </c>
      <c r="C81" s="200">
        <v>3982.27696286221</v>
      </c>
      <c r="D81" s="201">
        <f t="shared" si="1"/>
        <v>7422.01036532957</v>
      </c>
    </row>
    <row r="82" spans="1:4" s="198" customFormat="1" x14ac:dyDescent="0.25">
      <c r="A82" s="199">
        <v>80</v>
      </c>
      <c r="B82" s="200">
        <v>3117.2464050143099</v>
      </c>
      <c r="C82" s="200">
        <v>3632.1477004220601</v>
      </c>
      <c r="D82" s="201">
        <f t="shared" si="1"/>
        <v>6749.3941054363695</v>
      </c>
    </row>
    <row r="83" spans="1:4" s="198" customFormat="1" x14ac:dyDescent="0.25">
      <c r="A83" s="199">
        <v>81</v>
      </c>
      <c r="B83" s="200">
        <v>2807.15760628826</v>
      </c>
      <c r="C83" s="200">
        <v>3296.3594945446698</v>
      </c>
      <c r="D83" s="201">
        <f t="shared" si="1"/>
        <v>6103.5171008329298</v>
      </c>
    </row>
    <row r="84" spans="1:4" s="198" customFormat="1" x14ac:dyDescent="0.25">
      <c r="A84" s="199">
        <v>82</v>
      </c>
      <c r="B84" s="200">
        <v>2510.6399415215701</v>
      </c>
      <c r="C84" s="200">
        <v>2977.4992904297401</v>
      </c>
      <c r="D84" s="201">
        <f t="shared" si="1"/>
        <v>5488.1392319513106</v>
      </c>
    </row>
    <row r="85" spans="1:4" s="198" customFormat="1" x14ac:dyDescent="0.25">
      <c r="A85" s="199">
        <v>83</v>
      </c>
      <c r="B85" s="200">
        <v>2226.1232067135002</v>
      </c>
      <c r="C85" s="200">
        <v>2674.7243463443201</v>
      </c>
      <c r="D85" s="201">
        <f t="shared" si="1"/>
        <v>4900.8475530578198</v>
      </c>
    </row>
    <row r="86" spans="1:4" s="198" customFormat="1" x14ac:dyDescent="0.25">
      <c r="A86" s="199">
        <v>84</v>
      </c>
      <c r="B86" s="200">
        <v>1957.6495235212001</v>
      </c>
      <c r="C86" s="200">
        <v>2385.6813775472401</v>
      </c>
      <c r="D86" s="201">
        <f t="shared" si="1"/>
        <v>4343.3309010684407</v>
      </c>
    </row>
    <row r="87" spans="1:4" s="198" customFormat="1" x14ac:dyDescent="0.25">
      <c r="A87" s="199">
        <v>85</v>
      </c>
      <c r="B87" s="200">
        <v>1703.51994872562</v>
      </c>
      <c r="C87" s="200">
        <v>2108.5582013045801</v>
      </c>
      <c r="D87" s="201">
        <f t="shared" si="1"/>
        <v>3812.0781500302</v>
      </c>
    </row>
    <row r="88" spans="1:4" s="198" customFormat="1" x14ac:dyDescent="0.25">
      <c r="A88" s="199">
        <v>86</v>
      </c>
      <c r="B88" s="200">
        <v>1465.8827624729699</v>
      </c>
      <c r="C88" s="200">
        <v>1846.4745167985</v>
      </c>
      <c r="D88" s="201">
        <f t="shared" si="1"/>
        <v>3312.3572792714699</v>
      </c>
    </row>
    <row r="89" spans="1:4" s="198" customFormat="1" x14ac:dyDescent="0.25">
      <c r="A89" s="199">
        <v>87</v>
      </c>
      <c r="B89" s="200">
        <v>1247.72987794043</v>
      </c>
      <c r="C89" s="200">
        <v>1600.7574639888701</v>
      </c>
      <c r="D89" s="201">
        <f t="shared" si="1"/>
        <v>2848.4873419292999</v>
      </c>
    </row>
    <row r="90" spans="1:4" s="198" customFormat="1" x14ac:dyDescent="0.25">
      <c r="A90" s="199">
        <v>88</v>
      </c>
      <c r="B90" s="200">
        <v>1050.54092217124</v>
      </c>
      <c r="C90" s="200">
        <v>1373.0136464157699</v>
      </c>
      <c r="D90" s="201">
        <f t="shared" si="1"/>
        <v>2423.5545685870102</v>
      </c>
    </row>
    <row r="91" spans="1:4" s="198" customFormat="1" x14ac:dyDescent="0.25">
      <c r="A91" s="199">
        <v>89</v>
      </c>
      <c r="B91" s="200">
        <v>873.08360844703805</v>
      </c>
      <c r="C91" s="200">
        <v>1163.33877723092</v>
      </c>
      <c r="D91" s="201">
        <f t="shared" si="1"/>
        <v>2036.4223856779581</v>
      </c>
    </row>
    <row r="92" spans="1:4" s="198" customFormat="1" x14ac:dyDescent="0.25">
      <c r="A92" s="199">
        <v>90</v>
      </c>
      <c r="B92" s="200">
        <v>718.74562590560595</v>
      </c>
      <c r="C92" s="200">
        <v>976.95575527945198</v>
      </c>
      <c r="D92" s="201">
        <f t="shared" si="1"/>
        <v>1695.7013811850579</v>
      </c>
    </row>
    <row r="93" spans="1:4" s="198" customFormat="1" x14ac:dyDescent="0.25">
      <c r="A93" s="199">
        <v>91</v>
      </c>
      <c r="B93" s="200">
        <v>584.80373940364905</v>
      </c>
      <c r="C93" s="200">
        <v>811.48425907891499</v>
      </c>
      <c r="D93" s="201">
        <f t="shared" si="1"/>
        <v>1396.287998482564</v>
      </c>
    </row>
    <row r="94" spans="1:4" s="198" customFormat="1" x14ac:dyDescent="0.25">
      <c r="A94" s="199">
        <v>92</v>
      </c>
      <c r="B94" s="200">
        <v>470.42474369821502</v>
      </c>
      <c r="C94" s="200">
        <v>666.200078028353</v>
      </c>
      <c r="D94" s="201">
        <f t="shared" si="1"/>
        <v>1136.6248217265679</v>
      </c>
    </row>
    <row r="95" spans="1:4" s="198" customFormat="1" x14ac:dyDescent="0.25">
      <c r="A95" s="199">
        <v>93</v>
      </c>
      <c r="B95" s="200">
        <v>374.26269005851401</v>
      </c>
      <c r="C95" s="200">
        <v>539.89713337845706</v>
      </c>
      <c r="D95" s="201">
        <f t="shared" si="1"/>
        <v>914.15982343697101</v>
      </c>
    </row>
    <row r="96" spans="1:4" s="198" customFormat="1" x14ac:dyDescent="0.25">
      <c r="A96" s="199">
        <v>94</v>
      </c>
      <c r="B96" s="200">
        <v>293.98928962289699</v>
      </c>
      <c r="C96" s="200">
        <v>431.68624292295402</v>
      </c>
      <c r="D96" s="201">
        <f t="shared" si="1"/>
        <v>725.67553254585096</v>
      </c>
    </row>
    <row r="97" spans="1:4" s="198" customFormat="1" x14ac:dyDescent="0.25">
      <c r="A97" s="199">
        <v>95</v>
      </c>
      <c r="B97" s="200">
        <v>227.566237999951</v>
      </c>
      <c r="C97" s="200">
        <v>340.10934087894202</v>
      </c>
      <c r="D97" s="201">
        <f t="shared" si="1"/>
        <v>567.67557887889302</v>
      </c>
    </row>
    <row r="98" spans="1:4" s="198" customFormat="1" x14ac:dyDescent="0.25">
      <c r="A98" s="199">
        <v>96</v>
      </c>
      <c r="B98" s="200">
        <v>173.432499022266</v>
      </c>
      <c r="C98" s="200">
        <v>263.58497137435398</v>
      </c>
      <c r="D98" s="201">
        <f t="shared" si="1"/>
        <v>437.01747039661996</v>
      </c>
    </row>
    <row r="99" spans="1:4" s="198" customFormat="1" x14ac:dyDescent="0.25">
      <c r="A99" s="199">
        <v>97</v>
      </c>
      <c r="B99" s="200">
        <v>129.923160757007</v>
      </c>
      <c r="C99" s="200">
        <v>200.801674640768</v>
      </c>
      <c r="D99" s="201">
        <f t="shared" si="1"/>
        <v>330.724835397775</v>
      </c>
    </row>
    <row r="100" spans="1:4" s="198" customFormat="1" x14ac:dyDescent="0.25">
      <c r="A100" s="199">
        <v>98</v>
      </c>
      <c r="B100" s="200">
        <v>95.462324730299002</v>
      </c>
      <c r="C100" s="200">
        <v>150.215175515011</v>
      </c>
      <c r="D100" s="201">
        <f t="shared" si="1"/>
        <v>245.67750024531</v>
      </c>
    </row>
    <row r="101" spans="1:4" s="198" customFormat="1" x14ac:dyDescent="0.25">
      <c r="A101" s="199">
        <v>99</v>
      </c>
      <c r="B101" s="200">
        <v>68.788771539856398</v>
      </c>
      <c r="C101" s="200">
        <v>110.35063685882101</v>
      </c>
      <c r="D101" s="201">
        <f t="shared" si="1"/>
        <v>179.1394083986774</v>
      </c>
    </row>
    <row r="102" spans="1:4" s="198" customFormat="1" x14ac:dyDescent="0.25">
      <c r="A102" s="199">
        <v>100</v>
      </c>
      <c r="B102" s="200">
        <v>48.7900988316838</v>
      </c>
      <c r="C102" s="200">
        <v>79.762387827736902</v>
      </c>
      <c r="D102" s="201">
        <f t="shared" si="1"/>
        <v>128.55248665942071</v>
      </c>
    </row>
    <row r="103" spans="1:4" s="198" customFormat="1" x14ac:dyDescent="0.25">
      <c r="A103" s="199">
        <v>101</v>
      </c>
      <c r="B103" s="200">
        <v>34.154645370267097</v>
      </c>
      <c r="C103" s="200">
        <v>56.830252562857901</v>
      </c>
      <c r="D103" s="201">
        <f t="shared" si="1"/>
        <v>90.984897933124998</v>
      </c>
    </row>
    <row r="104" spans="1:4" s="198" customFormat="1" x14ac:dyDescent="0.25">
      <c r="A104" s="199">
        <v>102</v>
      </c>
      <c r="B104" s="200">
        <v>23.586889967660099</v>
      </c>
      <c r="C104" s="200">
        <v>39.929555734079102</v>
      </c>
      <c r="D104" s="201">
        <f t="shared" si="1"/>
        <v>63.516445701739201</v>
      </c>
    </row>
    <row r="105" spans="1:4" s="198" customFormat="1" x14ac:dyDescent="0.25">
      <c r="A105" s="199">
        <v>103</v>
      </c>
      <c r="B105" s="200">
        <v>16.0595747852587</v>
      </c>
      <c r="C105" s="200">
        <v>27.644850375565699</v>
      </c>
      <c r="D105" s="201">
        <f t="shared" si="1"/>
        <v>43.7044251608244</v>
      </c>
    </row>
    <row r="106" spans="1:4" s="198" customFormat="1" x14ac:dyDescent="0.25">
      <c r="A106" s="199">
        <v>104</v>
      </c>
      <c r="B106" s="200">
        <v>10.7403066650723</v>
      </c>
      <c r="C106" s="200">
        <v>18.807107728672001</v>
      </c>
      <c r="D106" s="201">
        <f t="shared" si="1"/>
        <v>29.547414393744301</v>
      </c>
    </row>
    <row r="107" spans="1:4" s="198" customFormat="1" x14ac:dyDescent="0.25">
      <c r="A107" s="199">
        <v>105</v>
      </c>
      <c r="B107" s="200">
        <v>7.0156128640417501</v>
      </c>
      <c r="C107" s="200">
        <v>12.475339505655599</v>
      </c>
      <c r="D107" s="201">
        <f t="shared" si="1"/>
        <v>19.49095236969735</v>
      </c>
    </row>
    <row r="108" spans="1:4" s="198" customFormat="1" x14ac:dyDescent="0.25">
      <c r="A108" s="199">
        <v>106</v>
      </c>
      <c r="B108" s="200">
        <v>4.4550045501958602</v>
      </c>
      <c r="C108" s="200">
        <v>7.9921185637869296</v>
      </c>
      <c r="D108" s="201">
        <f t="shared" si="1"/>
        <v>12.447123113982791</v>
      </c>
    </row>
    <row r="109" spans="1:4" s="198" customFormat="1" x14ac:dyDescent="0.25">
      <c r="A109" s="199">
        <v>107</v>
      </c>
      <c r="B109" s="200">
        <v>2.7822073960339901</v>
      </c>
      <c r="C109" s="200">
        <v>5.0029496152119597</v>
      </c>
      <c r="D109" s="201">
        <f t="shared" si="1"/>
        <v>7.7851570112459498</v>
      </c>
    </row>
    <row r="110" spans="1:4" s="198" customFormat="1" x14ac:dyDescent="0.25">
      <c r="A110" s="199">
        <v>108</v>
      </c>
      <c r="B110" s="200">
        <v>1.71253532699267</v>
      </c>
      <c r="C110" s="200">
        <v>3.0814178033413202</v>
      </c>
      <c r="D110" s="201">
        <f t="shared" si="1"/>
        <v>4.79395313033399</v>
      </c>
    </row>
    <row r="111" spans="1:4" s="198" customFormat="1" x14ac:dyDescent="0.25">
      <c r="A111" s="199">
        <v>109</v>
      </c>
      <c r="B111" s="200">
        <v>0.61204499915911803</v>
      </c>
      <c r="C111" s="200">
        <v>1.10737481149108</v>
      </c>
      <c r="D111" s="201">
        <f t="shared" si="1"/>
        <v>1.7194198106501979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39997558519241921"/>
  </sheetPr>
  <dimension ref="B1:L23"/>
  <sheetViews>
    <sheetView zoomScale="75" zoomScaleNormal="75" workbookViewId="0">
      <selection activeCell="D9" sqref="D9"/>
    </sheetView>
  </sheetViews>
  <sheetFormatPr baseColWidth="10" defaultColWidth="8.85546875" defaultRowHeight="15" x14ac:dyDescent="0.25"/>
  <cols>
    <col min="1" max="1025" width="10.42578125"/>
  </cols>
  <sheetData>
    <row r="1" spans="2:12" ht="14.45" customHeight="1" x14ac:dyDescent="0.25">
      <c r="B1" s="225" t="s">
        <v>21</v>
      </c>
      <c r="C1" s="225"/>
      <c r="D1" s="225"/>
    </row>
    <row r="2" spans="2:12" x14ac:dyDescent="0.25">
      <c r="B2" s="225"/>
      <c r="C2" s="225"/>
      <c r="D2" s="225"/>
    </row>
    <row r="3" spans="2:12" x14ac:dyDescent="0.25">
      <c r="B3" s="225"/>
      <c r="C3" s="225"/>
      <c r="D3" s="225"/>
    </row>
    <row r="5" spans="2:12" x14ac:dyDescent="0.25">
      <c r="B5" s="1"/>
      <c r="C5" s="1"/>
      <c r="D5" s="1"/>
      <c r="E5" s="1"/>
      <c r="F5" s="226" t="s">
        <v>22</v>
      </c>
      <c r="G5" s="226"/>
      <c r="H5" s="226"/>
      <c r="I5" s="1"/>
      <c r="J5" s="226" t="s">
        <v>23</v>
      </c>
      <c r="K5" s="226"/>
      <c r="L5" s="226"/>
    </row>
    <row r="6" spans="2:12" x14ac:dyDescent="0.25">
      <c r="B6" s="2" t="s">
        <v>24</v>
      </c>
      <c r="C6" s="3" t="s">
        <v>2</v>
      </c>
      <c r="D6" s="4" t="s">
        <v>3</v>
      </c>
      <c r="E6" s="1"/>
      <c r="F6" s="5" t="s">
        <v>24</v>
      </c>
      <c r="G6" s="6" t="s">
        <v>2</v>
      </c>
      <c r="H6" s="7" t="s">
        <v>3</v>
      </c>
      <c r="I6" s="1"/>
      <c r="J6" s="5" t="s">
        <v>24</v>
      </c>
      <c r="K6" s="6" t="s">
        <v>2</v>
      </c>
      <c r="L6" s="7" t="s">
        <v>3</v>
      </c>
    </row>
    <row r="7" spans="2:12" ht="24" x14ac:dyDescent="0.25">
      <c r="B7" s="8" t="s">
        <v>25</v>
      </c>
      <c r="C7" s="9">
        <v>158272</v>
      </c>
      <c r="D7" s="10">
        <v>157054</v>
      </c>
      <c r="E7" s="11"/>
      <c r="F7" s="12" t="s">
        <v>25</v>
      </c>
      <c r="G7" s="13">
        <f t="shared" ref="G7:G22" si="0">C7/SUM($C$7:$C$22)*$C$23+C7</f>
        <v>158341.03742425825</v>
      </c>
      <c r="H7" s="14">
        <f t="shared" ref="H7:H22" si="1">D7/SUM($D$7:$D$22)*$D$23+D7</f>
        <v>157120.70427655053</v>
      </c>
      <c r="I7" s="11"/>
      <c r="J7" s="15" t="s">
        <v>25</v>
      </c>
      <c r="K7" s="16">
        <f t="shared" ref="K7:K22" si="2">-G7/SUM($G$7:$H$22)</f>
        <v>-4.4520664387767063E-2</v>
      </c>
      <c r="L7" s="17">
        <f t="shared" ref="L7:L22" si="3">H7/SUM($G$7:$H$22)</f>
        <v>4.4177543972528203E-2</v>
      </c>
    </row>
    <row r="8" spans="2:12" ht="24" x14ac:dyDescent="0.25">
      <c r="B8" s="18" t="s">
        <v>26</v>
      </c>
      <c r="C8" s="19">
        <v>173303</v>
      </c>
      <c r="D8" s="20">
        <v>167383</v>
      </c>
      <c r="E8" s="11"/>
      <c r="F8" s="21" t="s">
        <v>26</v>
      </c>
      <c r="G8" s="13">
        <f t="shared" si="0"/>
        <v>173378.59386837992</v>
      </c>
      <c r="H8" s="14">
        <f t="shared" si="1"/>
        <v>167454.09122927056</v>
      </c>
      <c r="I8" s="11"/>
      <c r="J8" s="18" t="s">
        <v>26</v>
      </c>
      <c r="K8" s="16">
        <f t="shared" si="2"/>
        <v>-4.8748766050806171E-2</v>
      </c>
      <c r="L8" s="17">
        <f t="shared" si="3"/>
        <v>4.7082976828057156E-2</v>
      </c>
    </row>
    <row r="9" spans="2:12" ht="24" x14ac:dyDescent="0.25">
      <c r="B9" s="18" t="s">
        <v>27</v>
      </c>
      <c r="C9" s="19">
        <v>175531</v>
      </c>
      <c r="D9" s="20">
        <v>168895</v>
      </c>
      <c r="E9" s="11"/>
      <c r="F9" s="21" t="s">
        <v>27</v>
      </c>
      <c r="G9" s="13">
        <f t="shared" si="0"/>
        <v>175607.5657104066</v>
      </c>
      <c r="H9" s="14">
        <f t="shared" si="1"/>
        <v>168966.73340881482</v>
      </c>
      <c r="I9" s="11"/>
      <c r="J9" s="18" t="s">
        <v>27</v>
      </c>
      <c r="K9" s="16">
        <f t="shared" si="2"/>
        <v>-4.9375484865605668E-2</v>
      </c>
      <c r="L9" s="17">
        <f t="shared" si="3"/>
        <v>4.7508285616667846E-2</v>
      </c>
    </row>
    <row r="10" spans="2:12" ht="24" x14ac:dyDescent="0.25">
      <c r="B10" s="18" t="s">
        <v>28</v>
      </c>
      <c r="C10" s="19">
        <v>160672</v>
      </c>
      <c r="D10" s="20">
        <v>160007</v>
      </c>
      <c r="E10" s="11"/>
      <c r="F10" s="21" t="s">
        <v>28</v>
      </c>
      <c r="G10" s="13">
        <f t="shared" si="0"/>
        <v>160742.08429179149</v>
      </c>
      <c r="H10" s="14">
        <f t="shared" si="1"/>
        <v>160074.95848038266</v>
      </c>
      <c r="I10" s="11"/>
      <c r="J10" s="18" t="s">
        <v>28</v>
      </c>
      <c r="K10" s="16">
        <f t="shared" si="2"/>
        <v>-4.5195765445001701E-2</v>
      </c>
      <c r="L10" s="17">
        <f t="shared" si="3"/>
        <v>4.5008190039173279E-2</v>
      </c>
    </row>
    <row r="11" spans="2:12" ht="24" x14ac:dyDescent="0.25">
      <c r="B11" s="18" t="s">
        <v>29</v>
      </c>
      <c r="C11" s="19">
        <v>154375</v>
      </c>
      <c r="D11" s="20">
        <v>156363</v>
      </c>
      <c r="E11" s="11"/>
      <c r="F11" s="21" t="s">
        <v>29</v>
      </c>
      <c r="G11" s="13">
        <f t="shared" si="0"/>
        <v>154442.33757310116</v>
      </c>
      <c r="H11" s="14">
        <f t="shared" si="1"/>
        <v>156429.41079370325</v>
      </c>
      <c r="I11" s="11"/>
      <c r="J11" s="18" t="s">
        <v>29</v>
      </c>
      <c r="K11" s="16">
        <f t="shared" si="2"/>
        <v>-4.3424469046082312E-2</v>
      </c>
      <c r="L11" s="17">
        <f t="shared" si="3"/>
        <v>4.3983173355511024E-2</v>
      </c>
    </row>
    <row r="12" spans="2:12" ht="24" x14ac:dyDescent="0.25">
      <c r="B12" s="18" t="s">
        <v>30</v>
      </c>
      <c r="C12" s="19">
        <v>131676</v>
      </c>
      <c r="D12" s="20">
        <v>137489</v>
      </c>
      <c r="E12" s="11"/>
      <c r="F12" s="21" t="s">
        <v>30</v>
      </c>
      <c r="G12" s="13">
        <f t="shared" si="0"/>
        <v>131733.43638721082</v>
      </c>
      <c r="H12" s="14">
        <f t="shared" si="1"/>
        <v>137547.39459216993</v>
      </c>
      <c r="I12" s="11"/>
      <c r="J12" s="18" t="s">
        <v>30</v>
      </c>
      <c r="K12" s="16">
        <f t="shared" si="2"/>
        <v>-3.7039419505178528E-2</v>
      </c>
      <c r="L12" s="17">
        <f t="shared" si="3"/>
        <v>3.8674127008792712E-2</v>
      </c>
    </row>
    <row r="13" spans="2:12" ht="24" x14ac:dyDescent="0.25">
      <c r="B13" s="18" t="s">
        <v>31</v>
      </c>
      <c r="C13" s="19">
        <v>125898</v>
      </c>
      <c r="D13" s="20">
        <v>133113</v>
      </c>
      <c r="E13" s="11"/>
      <c r="F13" s="21" t="s">
        <v>31</v>
      </c>
      <c r="G13" s="13">
        <f t="shared" si="0"/>
        <v>125952.91605362456</v>
      </c>
      <c r="H13" s="14">
        <f t="shared" si="1"/>
        <v>133169.53600904447</v>
      </c>
      <c r="I13" s="11"/>
      <c r="J13" s="18" t="s">
        <v>31</v>
      </c>
      <c r="K13" s="16">
        <f t="shared" si="2"/>
        <v>-3.5414113709886133E-2</v>
      </c>
      <c r="L13" s="17">
        <f t="shared" si="3"/>
        <v>3.744320686397766E-2</v>
      </c>
    </row>
    <row r="14" spans="2:12" ht="24" x14ac:dyDescent="0.25">
      <c r="B14" s="18" t="s">
        <v>32</v>
      </c>
      <c r="C14" s="19">
        <v>123952</v>
      </c>
      <c r="D14" s="20">
        <v>131505</v>
      </c>
      <c r="E14" s="11"/>
      <c r="F14" s="21" t="s">
        <v>32</v>
      </c>
      <c r="G14" s="13">
        <f t="shared" si="0"/>
        <v>124006.06721853303</v>
      </c>
      <c r="H14" s="14">
        <f t="shared" si="1"/>
        <v>131560.8530561958</v>
      </c>
      <c r="I14" s="11"/>
      <c r="J14" s="18" t="s">
        <v>32</v>
      </c>
      <c r="K14" s="16">
        <f t="shared" si="2"/>
        <v>-3.4866719269311709E-2</v>
      </c>
      <c r="L14" s="17">
        <f t="shared" si="3"/>
        <v>3.6990894342756764E-2</v>
      </c>
    </row>
    <row r="15" spans="2:12" ht="24" x14ac:dyDescent="0.25">
      <c r="B15" s="18" t="s">
        <v>33</v>
      </c>
      <c r="C15" s="19">
        <v>123035</v>
      </c>
      <c r="D15" s="20">
        <v>129608</v>
      </c>
      <c r="E15" s="11"/>
      <c r="F15" s="21" t="s">
        <v>33</v>
      </c>
      <c r="G15" s="13">
        <f t="shared" si="0"/>
        <v>123088.66722789637</v>
      </c>
      <c r="H15" s="14">
        <f t="shared" si="1"/>
        <v>129663.04735871204</v>
      </c>
      <c r="I15" s="11"/>
      <c r="J15" s="18" t="s">
        <v>33</v>
      </c>
      <c r="K15" s="16">
        <f t="shared" si="2"/>
        <v>-3.4608774407026643E-2</v>
      </c>
      <c r="L15" s="17">
        <f t="shared" si="3"/>
        <v>3.6457289334823915E-2</v>
      </c>
    </row>
    <row r="16" spans="2:12" ht="24" x14ac:dyDescent="0.25">
      <c r="B16" s="18" t="s">
        <v>34</v>
      </c>
      <c r="C16" s="19">
        <v>106462</v>
      </c>
      <c r="D16" s="20">
        <v>111970</v>
      </c>
      <c r="E16" s="11"/>
      <c r="F16" s="21" t="s">
        <v>34</v>
      </c>
      <c r="G16" s="13">
        <f t="shared" si="0"/>
        <v>106508.43817138459</v>
      </c>
      <c r="H16" s="14">
        <f t="shared" si="1"/>
        <v>112017.55611347283</v>
      </c>
      <c r="I16" s="11"/>
      <c r="J16" s="18" t="s">
        <v>34</v>
      </c>
      <c r="K16" s="16">
        <f t="shared" si="2"/>
        <v>-2.994692031471427E-2</v>
      </c>
      <c r="L16" s="17">
        <f t="shared" si="3"/>
        <v>3.1495916045461959E-2</v>
      </c>
    </row>
    <row r="17" spans="2:12" ht="24" x14ac:dyDescent="0.25">
      <c r="B17" s="18" t="s">
        <v>35</v>
      </c>
      <c r="C17" s="19">
        <v>88215</v>
      </c>
      <c r="D17" s="20">
        <v>95024</v>
      </c>
      <c r="E17" s="11"/>
      <c r="F17" s="21" t="s">
        <v>35</v>
      </c>
      <c r="G17" s="13">
        <f t="shared" si="0"/>
        <v>88253.47892476838</v>
      </c>
      <c r="H17" s="14">
        <f t="shared" si="1"/>
        <v>95064.35877580283</v>
      </c>
      <c r="I17" s="11"/>
      <c r="J17" s="18" t="s">
        <v>35</v>
      </c>
      <c r="K17" s="16">
        <f t="shared" si="2"/>
        <v>-2.4814183234980736E-2</v>
      </c>
      <c r="L17" s="17">
        <f t="shared" si="3"/>
        <v>2.6729194661998551E-2</v>
      </c>
    </row>
    <row r="18" spans="2:12" ht="24" x14ac:dyDescent="0.25">
      <c r="B18" s="18" t="s">
        <v>36</v>
      </c>
      <c r="C18" s="19">
        <v>68707</v>
      </c>
      <c r="D18" s="20">
        <v>74582</v>
      </c>
      <c r="E18" s="11"/>
      <c r="F18" s="21" t="s">
        <v>36</v>
      </c>
      <c r="G18" s="13">
        <f t="shared" si="0"/>
        <v>68736.969636502428</v>
      </c>
      <c r="H18" s="14">
        <f t="shared" si="1"/>
        <v>74613.676610297684</v>
      </c>
      <c r="I18" s="11"/>
      <c r="J18" s="18" t="s">
        <v>36</v>
      </c>
      <c r="K18" s="16">
        <f t="shared" si="2"/>
        <v>-1.9326736808091841E-2</v>
      </c>
      <c r="L18" s="17">
        <f t="shared" si="3"/>
        <v>2.0979087349313603E-2</v>
      </c>
    </row>
    <row r="19" spans="2:12" ht="24" x14ac:dyDescent="0.25">
      <c r="B19" s="18" t="s">
        <v>37</v>
      </c>
      <c r="C19" s="19">
        <v>52790</v>
      </c>
      <c r="D19" s="20">
        <v>57380</v>
      </c>
      <c r="E19" s="11"/>
      <c r="F19" s="21" t="s">
        <v>37</v>
      </c>
      <c r="G19" s="13">
        <f t="shared" si="0"/>
        <v>52813.026723783063</v>
      </c>
      <c r="H19" s="14">
        <f t="shared" si="1"/>
        <v>57404.370543815945</v>
      </c>
      <c r="I19" s="11"/>
      <c r="J19" s="18" t="s">
        <v>37</v>
      </c>
      <c r="K19" s="16">
        <f t="shared" si="2"/>
        <v>-1.484941033809027E-2</v>
      </c>
      <c r="L19" s="17">
        <f t="shared" si="3"/>
        <v>1.6140356012222985E-2</v>
      </c>
    </row>
    <row r="20" spans="2:12" ht="24" x14ac:dyDescent="0.25">
      <c r="B20" s="18" t="s">
        <v>38</v>
      </c>
      <c r="C20" s="19">
        <v>40073</v>
      </c>
      <c r="D20" s="20">
        <v>45708</v>
      </c>
      <c r="E20" s="11"/>
      <c r="F20" s="21" t="s">
        <v>38</v>
      </c>
      <c r="G20" s="13">
        <f t="shared" si="0"/>
        <v>40090.479634441348</v>
      </c>
      <c r="H20" s="14">
        <f t="shared" si="1"/>
        <v>45727.413189556275</v>
      </c>
      <c r="I20" s="11"/>
      <c r="J20" s="18" t="s">
        <v>38</v>
      </c>
      <c r="K20" s="16">
        <f t="shared" si="2"/>
        <v>-1.1272218611068221E-2</v>
      </c>
      <c r="L20" s="17">
        <f t="shared" si="3"/>
        <v>1.2857152189032557E-2</v>
      </c>
    </row>
    <row r="21" spans="2:12" ht="24" x14ac:dyDescent="0.25">
      <c r="B21" s="18" t="s">
        <v>39</v>
      </c>
      <c r="C21" s="19">
        <v>29831</v>
      </c>
      <c r="D21" s="20">
        <v>33651</v>
      </c>
      <c r="E21" s="11"/>
      <c r="F21" s="21" t="s">
        <v>39</v>
      </c>
      <c r="G21" s="13">
        <f t="shared" si="0"/>
        <v>29844.012127243277</v>
      </c>
      <c r="H21" s="14">
        <f t="shared" si="1"/>
        <v>33665.292317357096</v>
      </c>
      <c r="I21" s="11"/>
      <c r="J21" s="18" t="s">
        <v>39</v>
      </c>
      <c r="K21" s="16">
        <f t="shared" si="2"/>
        <v>-8.3912248493193953E-3</v>
      </c>
      <c r="L21" s="17">
        <f t="shared" si="3"/>
        <v>9.4656521465199643E-3</v>
      </c>
    </row>
    <row r="22" spans="2:12" x14ac:dyDescent="0.25">
      <c r="B22" s="18" t="s">
        <v>40</v>
      </c>
      <c r="C22" s="19">
        <v>38719</v>
      </c>
      <c r="D22" s="20">
        <v>43801</v>
      </c>
      <c r="E22" s="11"/>
      <c r="F22" s="21" t="s">
        <v>40</v>
      </c>
      <c r="G22" s="13">
        <f t="shared" si="0"/>
        <v>38735.889026674682</v>
      </c>
      <c r="H22" s="14">
        <f t="shared" si="1"/>
        <v>43819.603244853293</v>
      </c>
      <c r="I22" s="11"/>
      <c r="J22" s="18" t="s">
        <v>40</v>
      </c>
      <c r="K22" s="16">
        <f t="shared" si="2"/>
        <v>-1.0891349097945011E-2</v>
      </c>
      <c r="L22" s="17">
        <f t="shared" si="3"/>
        <v>1.2320734292286141E-2</v>
      </c>
    </row>
    <row r="23" spans="2:12" ht="24" x14ac:dyDescent="0.25">
      <c r="B23" s="22" t="s">
        <v>20</v>
      </c>
      <c r="C23" s="23">
        <v>764</v>
      </c>
      <c r="D23" s="24">
        <v>766</v>
      </c>
      <c r="E23" s="1"/>
      <c r="F23" s="1"/>
      <c r="G23" s="1"/>
      <c r="H23" s="1"/>
      <c r="I23" s="1"/>
      <c r="J23" s="1"/>
      <c r="K23" s="1"/>
      <c r="L23" s="1"/>
    </row>
  </sheetData>
  <mergeCells count="3">
    <mergeCell ref="B1:D3"/>
    <mergeCell ref="F5:H5"/>
    <mergeCell ref="J5:L5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CFF"/>
  </sheetPr>
  <dimension ref="A1:Z41"/>
  <sheetViews>
    <sheetView topLeftCell="F1" zoomScale="75" zoomScaleNormal="75" workbookViewId="0">
      <selection activeCell="G43" sqref="G43:G44"/>
    </sheetView>
  </sheetViews>
  <sheetFormatPr baseColWidth="10" defaultColWidth="8.85546875" defaultRowHeight="15" x14ac:dyDescent="0.25"/>
  <cols>
    <col min="1" max="1025" width="10.42578125"/>
  </cols>
  <sheetData>
    <row r="1" spans="1:26" x14ac:dyDescent="0.25">
      <c r="A1" s="25" t="s">
        <v>41</v>
      </c>
      <c r="B1" s="26"/>
      <c r="C1" s="26"/>
      <c r="D1" s="26"/>
      <c r="E1" s="26"/>
      <c r="F1" s="26"/>
    </row>
    <row r="2" spans="1:26" x14ac:dyDescent="0.25">
      <c r="A2" s="27" t="s">
        <v>42</v>
      </c>
      <c r="B2" s="26"/>
      <c r="C2" s="26"/>
      <c r="D2" s="26"/>
      <c r="E2" s="26"/>
      <c r="F2" s="26"/>
    </row>
    <row r="3" spans="1:26" x14ac:dyDescent="0.25">
      <c r="A3" s="27"/>
      <c r="B3" s="26"/>
      <c r="C3" s="26"/>
      <c r="D3" s="26"/>
      <c r="E3" s="26"/>
      <c r="F3" s="26"/>
    </row>
    <row r="4" spans="1:26" ht="14.45" customHeight="1" x14ac:dyDescent="0.25">
      <c r="A4" s="229" t="s">
        <v>43</v>
      </c>
      <c r="B4" s="227" t="s">
        <v>44</v>
      </c>
      <c r="C4" s="227"/>
      <c r="D4" s="227"/>
      <c r="E4" s="227"/>
      <c r="F4" s="227"/>
    </row>
    <row r="5" spans="1:26" x14ac:dyDescent="0.25">
      <c r="A5" s="229"/>
      <c r="B5" s="28" t="s">
        <v>45</v>
      </c>
      <c r="C5" s="28" t="s">
        <v>46</v>
      </c>
      <c r="D5" s="28" t="s">
        <v>47</v>
      </c>
      <c r="E5" s="28" t="s">
        <v>48</v>
      </c>
      <c r="F5" s="29" t="s">
        <v>49</v>
      </c>
    </row>
    <row r="6" spans="1:26" x14ac:dyDescent="0.25">
      <c r="A6" s="229"/>
      <c r="B6" s="227" t="s">
        <v>50</v>
      </c>
      <c r="C6" s="227"/>
      <c r="D6" s="227"/>
      <c r="E6" s="227"/>
      <c r="F6" s="227"/>
      <c r="H6" s="2" t="s">
        <v>24</v>
      </c>
      <c r="I6" s="3" t="s">
        <v>2</v>
      </c>
      <c r="J6" s="4" t="s">
        <v>3</v>
      </c>
      <c r="K6" s="30" t="s">
        <v>51</v>
      </c>
      <c r="N6" s="31" t="s">
        <v>24</v>
      </c>
      <c r="O6" s="32" t="s">
        <v>52</v>
      </c>
      <c r="Q6" s="31" t="s">
        <v>24</v>
      </c>
      <c r="R6" s="32" t="s">
        <v>52</v>
      </c>
      <c r="T6" s="31" t="s">
        <v>24</v>
      </c>
      <c r="U6" s="32" t="s">
        <v>52</v>
      </c>
    </row>
    <row r="7" spans="1:26" x14ac:dyDescent="0.25">
      <c r="A7" s="33" t="s">
        <v>53</v>
      </c>
      <c r="B7" s="34">
        <v>0.33329999999999999</v>
      </c>
      <c r="C7" s="35">
        <v>-0.1636</v>
      </c>
      <c r="D7" s="35">
        <v>-2.1000000000000001E-2</v>
      </c>
      <c r="E7" s="35">
        <v>7.9600000000000004E-2</v>
      </c>
      <c r="F7" s="36">
        <v>-2.8299999999999999E-2</v>
      </c>
      <c r="H7" s="37" t="s">
        <v>25</v>
      </c>
      <c r="I7" s="38">
        <v>158341.03742425799</v>
      </c>
      <c r="J7" s="39">
        <v>157120.704276551</v>
      </c>
      <c r="K7" s="40">
        <f t="shared" ref="K7:K22" si="0">I7+J7</f>
        <v>315461.74170080898</v>
      </c>
      <c r="N7" s="41">
        <v>0</v>
      </c>
      <c r="O7" s="42">
        <f t="array" ref="O7:O11">MMULT($B$7:$F$11,K7:K11)</f>
        <v>58886.477071284782</v>
      </c>
      <c r="P7" s="43">
        <f>SUM(O7:O11)</f>
        <v>315461.74170080898</v>
      </c>
      <c r="Q7" s="41">
        <v>35</v>
      </c>
      <c r="R7" s="42">
        <f t="array" ref="R7:R11">MMULT($B$19:$F$23,K12:$K$16)</f>
        <v>51218.737396821743</v>
      </c>
      <c r="S7" s="43">
        <f>SUM(R7:R11)</f>
        <v>255566.92027472903</v>
      </c>
      <c r="T7" s="41">
        <v>70</v>
      </c>
      <c r="U7" s="42">
        <f t="array" ref="U7:U11">MMULT(B31:F35,K17:K21)</f>
        <v>14438.312175191008</v>
      </c>
      <c r="V7" s="43">
        <f>SUM(U7:U11)</f>
        <v>63509.304444600406</v>
      </c>
    </row>
    <row r="8" spans="1:26" x14ac:dyDescent="0.25">
      <c r="A8" s="44" t="s">
        <v>54</v>
      </c>
      <c r="B8" s="45">
        <v>0.25950000000000001</v>
      </c>
      <c r="C8" s="46">
        <v>-7.8E-2</v>
      </c>
      <c r="D8" s="46">
        <v>1.2999999999999999E-2</v>
      </c>
      <c r="E8" s="46">
        <v>0.01</v>
      </c>
      <c r="F8" s="47">
        <v>-4.4999999999999997E-3</v>
      </c>
      <c r="H8" s="21" t="s">
        <v>26</v>
      </c>
      <c r="I8" s="48">
        <v>173378.59386838001</v>
      </c>
      <c r="J8" s="49">
        <v>167454.091229271</v>
      </c>
      <c r="K8" s="50">
        <f t="shared" si="0"/>
        <v>340832.68509765097</v>
      </c>
      <c r="N8" s="51">
        <v>1</v>
      </c>
      <c r="O8" s="52">
        <v>61566.08598236418</v>
      </c>
      <c r="P8" s="43"/>
      <c r="Q8" s="51">
        <v>36</v>
      </c>
      <c r="R8" s="52">
        <v>51033.207413729157</v>
      </c>
      <c r="S8" s="43"/>
      <c r="T8" s="51">
        <v>71</v>
      </c>
      <c r="U8" s="52">
        <v>13540.107760229119</v>
      </c>
      <c r="V8" s="43"/>
    </row>
    <row r="9" spans="1:26" x14ac:dyDescent="0.25">
      <c r="A9" s="44" t="s">
        <v>55</v>
      </c>
      <c r="B9" s="45">
        <v>0.19239999999999999</v>
      </c>
      <c r="C9" s="46">
        <v>6.4000000000000003E-3</v>
      </c>
      <c r="D9" s="46">
        <v>1.84E-2</v>
      </c>
      <c r="E9" s="46">
        <v>-2.5600000000000001E-2</v>
      </c>
      <c r="F9" s="47">
        <v>8.3999999999999995E-3</v>
      </c>
      <c r="H9" s="21" t="s">
        <v>27</v>
      </c>
      <c r="I9" s="48">
        <v>175607.56571040701</v>
      </c>
      <c r="J9" s="49">
        <v>168966.73340881499</v>
      </c>
      <c r="K9" s="50">
        <f t="shared" si="0"/>
        <v>344574.29911922198</v>
      </c>
      <c r="N9" s="51">
        <v>2</v>
      </c>
      <c r="O9" s="52">
        <v>63614.741782967802</v>
      </c>
      <c r="P9" s="43"/>
      <c r="Q9" s="41">
        <v>37</v>
      </c>
      <c r="R9" s="52">
        <v>50976.019847724783</v>
      </c>
      <c r="S9" s="43"/>
      <c r="T9" s="41">
        <v>72</v>
      </c>
      <c r="U9" s="52">
        <v>12666.51809170524</v>
      </c>
      <c r="V9" s="43"/>
    </row>
    <row r="10" spans="1:26" x14ac:dyDescent="0.25">
      <c r="A10" s="44" t="s">
        <v>56</v>
      </c>
      <c r="B10" s="45">
        <v>0.13289999999999999</v>
      </c>
      <c r="C10" s="46">
        <v>8.4400000000000003E-2</v>
      </c>
      <c r="D10" s="46">
        <v>5.4000000000000003E-3</v>
      </c>
      <c r="E10" s="46">
        <v>-3.56E-2</v>
      </c>
      <c r="F10" s="47">
        <v>1.29E-2</v>
      </c>
      <c r="H10" s="21" t="s">
        <v>28</v>
      </c>
      <c r="I10" s="48">
        <v>160742.08429179099</v>
      </c>
      <c r="J10" s="49">
        <v>160074.95848038301</v>
      </c>
      <c r="K10" s="50">
        <f t="shared" si="0"/>
        <v>320817.042772174</v>
      </c>
      <c r="N10" s="51">
        <v>3</v>
      </c>
      <c r="O10" s="52">
        <v>65141.004140765435</v>
      </c>
      <c r="P10" s="43"/>
      <c r="Q10" s="51">
        <v>38</v>
      </c>
      <c r="R10" s="52">
        <v>51082.48480862593</v>
      </c>
      <c r="S10" s="43"/>
      <c r="T10" s="51">
        <v>73</v>
      </c>
      <c r="U10" s="52">
        <v>11828.271220396204</v>
      </c>
      <c r="V10" s="43"/>
    </row>
    <row r="11" spans="1:26" x14ac:dyDescent="0.25">
      <c r="A11" s="44" t="s">
        <v>57</v>
      </c>
      <c r="B11" s="53">
        <v>8.1900000000000001E-2</v>
      </c>
      <c r="C11" s="54">
        <v>0.15079999999999999</v>
      </c>
      <c r="D11" s="54">
        <v>-1.5800000000000002E-2</v>
      </c>
      <c r="E11" s="54">
        <v>-2.8400000000000002E-2</v>
      </c>
      <c r="F11" s="55">
        <v>1.15E-2</v>
      </c>
      <c r="H11" s="21" t="s">
        <v>29</v>
      </c>
      <c r="I11" s="48">
        <v>154442.33757310099</v>
      </c>
      <c r="J11" s="49">
        <v>156429.41079370299</v>
      </c>
      <c r="K11" s="50">
        <f t="shared" si="0"/>
        <v>310871.74836680398</v>
      </c>
      <c r="N11" s="51">
        <v>4</v>
      </c>
      <c r="O11" s="52">
        <v>66253.432723426813</v>
      </c>
      <c r="P11" s="43"/>
      <c r="Q11" s="41">
        <v>39</v>
      </c>
      <c r="R11" s="52">
        <v>51256.470807827427</v>
      </c>
      <c r="S11" s="43"/>
      <c r="T11" s="41">
        <v>74</v>
      </c>
      <c r="U11" s="52">
        <v>11036.095197078834</v>
      </c>
      <c r="V11" s="43"/>
    </row>
    <row r="12" spans="1:26" x14ac:dyDescent="0.25">
      <c r="A12" s="44"/>
      <c r="B12" s="227" t="s">
        <v>58</v>
      </c>
      <c r="C12" s="227"/>
      <c r="D12" s="227"/>
      <c r="E12" s="227"/>
      <c r="F12" s="227"/>
      <c r="H12" s="21" t="s">
        <v>30</v>
      </c>
      <c r="I12" s="48">
        <v>131733.436387211</v>
      </c>
      <c r="J12" s="49">
        <v>137547.39459216999</v>
      </c>
      <c r="K12" s="50">
        <f t="shared" si="0"/>
        <v>269280.83097938099</v>
      </c>
      <c r="N12" s="51">
        <v>5</v>
      </c>
      <c r="O12" s="42">
        <f t="array" ref="O12:O16">MMULT($B$13:$F$17,K7:K11)</f>
        <v>67065.305235952081</v>
      </c>
      <c r="P12" s="43">
        <f>SUM(O12:O16)</f>
        <v>340832.68509765097</v>
      </c>
      <c r="Q12" s="51">
        <v>40</v>
      </c>
      <c r="R12" s="42">
        <f t="array" ref="R12:R16">MMULT($B$19:$F$23,$K$13:$K$17)</f>
        <v>51486.686815154011</v>
      </c>
      <c r="S12" s="43">
        <f>SUM(R12:R16)</f>
        <v>252751.714586608</v>
      </c>
      <c r="T12" s="56" t="s">
        <v>59</v>
      </c>
      <c r="U12" s="57">
        <f>K22</f>
        <v>82555.492271527997</v>
      </c>
      <c r="V12" s="43">
        <f>U12</f>
        <v>82555.492271527997</v>
      </c>
    </row>
    <row r="13" spans="1:26" x14ac:dyDescent="0.25">
      <c r="A13" s="44" t="s">
        <v>60</v>
      </c>
      <c r="B13" s="58">
        <v>4.0399999999999998E-2</v>
      </c>
      <c r="C13" s="59">
        <v>0.2</v>
      </c>
      <c r="D13" s="59">
        <v>-3.44E-2</v>
      </c>
      <c r="E13" s="59">
        <v>-1.2800000000000001E-2</v>
      </c>
      <c r="F13" s="60">
        <v>6.7999999999999996E-3</v>
      </c>
      <c r="H13" s="21" t="s">
        <v>31</v>
      </c>
      <c r="I13" s="48">
        <v>125952.916053625</v>
      </c>
      <c r="J13" s="49">
        <v>133169.53600904401</v>
      </c>
      <c r="K13" s="50">
        <f t="shared" si="0"/>
        <v>259122.45206266901</v>
      </c>
      <c r="N13" s="51">
        <v>6</v>
      </c>
      <c r="O13" s="52">
        <v>67685.18134601097</v>
      </c>
      <c r="P13" s="43"/>
      <c r="Q13" s="41">
        <v>41</v>
      </c>
      <c r="R13" s="52">
        <v>51535.070284133202</v>
      </c>
      <c r="S13" s="43"/>
      <c r="T13" s="61"/>
      <c r="U13" s="62"/>
      <c r="V13" s="43"/>
    </row>
    <row r="14" spans="1:26" x14ac:dyDescent="0.25">
      <c r="A14" s="44" t="s">
        <v>61</v>
      </c>
      <c r="B14" s="63">
        <v>9.2999999999999992E-3</v>
      </c>
      <c r="C14" s="64">
        <v>0.2268</v>
      </c>
      <c r="D14" s="64">
        <v>-4.02E-2</v>
      </c>
      <c r="E14" s="64">
        <v>2.8E-3</v>
      </c>
      <c r="F14" s="65">
        <v>1.2999999999999999E-3</v>
      </c>
      <c r="H14" s="21" t="s">
        <v>32</v>
      </c>
      <c r="I14" s="48">
        <v>124006.067218533</v>
      </c>
      <c r="J14" s="49">
        <v>131560.85305619601</v>
      </c>
      <c r="K14" s="50">
        <f t="shared" si="0"/>
        <v>255566.92027472903</v>
      </c>
      <c r="N14" s="51">
        <v>7</v>
      </c>
      <c r="O14" s="52">
        <v>68207.466609282157</v>
      </c>
      <c r="P14" s="43"/>
      <c r="Q14" s="51">
        <v>42</v>
      </c>
      <c r="R14" s="52">
        <v>51114.521629453331</v>
      </c>
      <c r="S14" s="43"/>
      <c r="T14" s="61"/>
      <c r="U14" s="62"/>
      <c r="V14" s="43"/>
    </row>
    <row r="15" spans="1:26" ht="14.45" customHeight="1" x14ac:dyDescent="0.25">
      <c r="A15" s="44" t="s">
        <v>62</v>
      </c>
      <c r="B15" s="63">
        <v>-1.0800000000000001E-2</v>
      </c>
      <c r="C15" s="64">
        <v>0.22720000000000001</v>
      </c>
      <c r="D15" s="64">
        <v>-2.4799999999999999E-2</v>
      </c>
      <c r="E15" s="64">
        <v>1.12E-2</v>
      </c>
      <c r="F15" s="65">
        <v>-2.8E-3</v>
      </c>
      <c r="H15" s="21" t="s">
        <v>33</v>
      </c>
      <c r="I15" s="48">
        <v>123088.667227896</v>
      </c>
      <c r="J15" s="49">
        <v>129663.04735871201</v>
      </c>
      <c r="K15" s="50">
        <f t="shared" si="0"/>
        <v>252751.714586608</v>
      </c>
      <c r="N15" s="51">
        <v>8</v>
      </c>
      <c r="O15" s="52">
        <v>68702.97639479248</v>
      </c>
      <c r="P15" s="43"/>
      <c r="Q15" s="41">
        <v>43</v>
      </c>
      <c r="R15" s="52">
        <v>50067.215343597192</v>
      </c>
      <c r="S15" s="43"/>
      <c r="T15" s="61"/>
      <c r="U15" s="196"/>
      <c r="V15" s="195"/>
      <c r="W15" s="195"/>
      <c r="X15" s="195"/>
      <c r="Y15" s="195"/>
      <c r="Z15" s="195"/>
    </row>
    <row r="16" spans="1:26" x14ac:dyDescent="0.25">
      <c r="A16" s="44" t="s">
        <v>63</v>
      </c>
      <c r="B16" s="63">
        <v>-1.9800000000000002E-2</v>
      </c>
      <c r="C16" s="64">
        <v>0.19919999999999999</v>
      </c>
      <c r="D16" s="64">
        <v>1.72E-2</v>
      </c>
      <c r="E16" s="64">
        <v>7.1999999999999998E-3</v>
      </c>
      <c r="F16" s="65">
        <v>-3.8E-3</v>
      </c>
      <c r="H16" s="21" t="s">
        <v>34</v>
      </c>
      <c r="I16" s="48">
        <v>106508.438171385</v>
      </c>
      <c r="J16" s="49">
        <v>112017.55611347299</v>
      </c>
      <c r="K16" s="50">
        <f t="shared" si="0"/>
        <v>218525.994284858</v>
      </c>
      <c r="N16" s="51">
        <v>9</v>
      </c>
      <c r="O16" s="52">
        <v>69171.755511613301</v>
      </c>
      <c r="P16" s="43"/>
      <c r="Q16" s="51">
        <v>44</v>
      </c>
      <c r="R16" s="52">
        <v>48548.220514270259</v>
      </c>
      <c r="S16" s="43"/>
      <c r="T16" s="61"/>
      <c r="U16" s="195"/>
      <c r="V16" s="195"/>
      <c r="W16" s="195"/>
      <c r="X16" s="195"/>
      <c r="Y16" s="195"/>
      <c r="Z16" s="195"/>
    </row>
    <row r="17" spans="1:26" x14ac:dyDescent="0.25">
      <c r="A17" s="44" t="s">
        <v>64</v>
      </c>
      <c r="B17" s="66">
        <v>-1.9099999999999999E-2</v>
      </c>
      <c r="C17" s="67">
        <v>0.14680000000000001</v>
      </c>
      <c r="D17" s="67">
        <v>8.2199999999999995E-2</v>
      </c>
      <c r="E17" s="67">
        <v>-8.3999999999999995E-3</v>
      </c>
      <c r="F17" s="68">
        <v>-1.5E-3</v>
      </c>
      <c r="H17" s="21" t="s">
        <v>35</v>
      </c>
      <c r="I17" s="48">
        <v>88253.478924768395</v>
      </c>
      <c r="J17" s="49">
        <v>95064.358775802801</v>
      </c>
      <c r="K17" s="50">
        <f t="shared" si="0"/>
        <v>183317.8377005712</v>
      </c>
      <c r="N17" s="51">
        <v>10</v>
      </c>
      <c r="O17" s="42">
        <f t="array" ref="O17:O21">MMULT($B$19:$F$23,$K$7:$K$11)</f>
        <v>69538.360171530148</v>
      </c>
      <c r="P17" s="43">
        <f>SUM(O17:O21)</f>
        <v>344574.29911922204</v>
      </c>
      <c r="Q17" s="41">
        <v>45</v>
      </c>
      <c r="R17" s="42">
        <f t="array" ref="R17:R21">MMULT($B$19:$F$23,$K$14:$K$18)</f>
        <v>46820.506142441795</v>
      </c>
      <c r="S17" s="43">
        <f>SUM(R17:R21)</f>
        <v>218525.994284858</v>
      </c>
      <c r="U17" s="195"/>
      <c r="V17" s="195"/>
      <c r="W17" s="195"/>
      <c r="X17" s="195"/>
      <c r="Y17" s="195"/>
      <c r="Z17" s="195"/>
    </row>
    <row r="18" spans="1:26" x14ac:dyDescent="0.25">
      <c r="A18" s="44"/>
      <c r="B18" s="227" t="s">
        <v>65</v>
      </c>
      <c r="C18" s="227"/>
      <c r="D18" s="227"/>
      <c r="E18" s="227"/>
      <c r="F18" s="227"/>
      <c r="H18" s="21" t="s">
        <v>36</v>
      </c>
      <c r="I18" s="48">
        <v>68736.969636502399</v>
      </c>
      <c r="J18" s="49">
        <v>74613.676610297698</v>
      </c>
      <c r="K18" s="50">
        <f t="shared" si="0"/>
        <v>143350.64624680008</v>
      </c>
      <c r="N18" s="51">
        <v>11</v>
      </c>
      <c r="O18" s="52">
        <v>69661.294063703506</v>
      </c>
      <c r="P18" s="43"/>
      <c r="Q18" s="51">
        <v>46</v>
      </c>
      <c r="R18" s="52">
        <v>45136.002704962986</v>
      </c>
      <c r="S18" s="43"/>
      <c r="U18" s="195"/>
      <c r="V18" s="195"/>
      <c r="W18" s="195"/>
      <c r="X18" s="195"/>
      <c r="Y18" s="195"/>
      <c r="Z18" s="195"/>
    </row>
    <row r="19" spans="1:26" x14ac:dyDescent="0.25">
      <c r="A19" s="44" t="s">
        <v>66</v>
      </c>
      <c r="B19" s="58">
        <v>-1.17E-2</v>
      </c>
      <c r="C19" s="59">
        <v>8.0399999999999999E-2</v>
      </c>
      <c r="D19" s="59">
        <v>0.157</v>
      </c>
      <c r="E19" s="59">
        <v>-2.8400000000000002E-2</v>
      </c>
      <c r="F19" s="60">
        <v>2.7000000000000001E-3</v>
      </c>
      <c r="H19" s="21" t="s">
        <v>37</v>
      </c>
      <c r="I19" s="48">
        <v>52813.026723783099</v>
      </c>
      <c r="J19" s="49">
        <v>57404.370543815901</v>
      </c>
      <c r="K19" s="50">
        <f t="shared" si="0"/>
        <v>110217.39726759901</v>
      </c>
      <c r="N19" s="51">
        <v>12</v>
      </c>
      <c r="O19" s="52">
        <v>69370.752653311574</v>
      </c>
      <c r="P19" s="43"/>
      <c r="Q19" s="41">
        <v>47</v>
      </c>
      <c r="R19" s="52">
        <v>43542.034962641686</v>
      </c>
      <c r="S19" s="43"/>
    </row>
    <row r="20" spans="1:26" x14ac:dyDescent="0.25">
      <c r="A20" s="44" t="s">
        <v>67</v>
      </c>
      <c r="B20" s="63">
        <v>-2E-3</v>
      </c>
      <c r="C20" s="64">
        <v>1.6E-2</v>
      </c>
      <c r="D20" s="64">
        <v>0.22</v>
      </c>
      <c r="E20" s="64">
        <v>-0.04</v>
      </c>
      <c r="F20" s="65">
        <v>6.0000000000000001E-3</v>
      </c>
      <c r="H20" s="21" t="s">
        <v>38</v>
      </c>
      <c r="I20" s="48">
        <v>40090.479634441399</v>
      </c>
      <c r="J20" s="49">
        <v>45727.413189556297</v>
      </c>
      <c r="K20" s="50">
        <f t="shared" si="0"/>
        <v>85817.892823997696</v>
      </c>
      <c r="N20" s="51">
        <v>13</v>
      </c>
      <c r="O20" s="52">
        <v>68577.138040148842</v>
      </c>
      <c r="P20" s="43"/>
      <c r="Q20" s="51">
        <v>48</v>
      </c>
      <c r="R20" s="52">
        <v>42145.43579156835</v>
      </c>
      <c r="S20" s="43"/>
    </row>
    <row r="21" spans="1:26" x14ac:dyDescent="0.25">
      <c r="A21" s="44" t="s">
        <v>68</v>
      </c>
      <c r="B21" s="63">
        <v>5.0000000000000001E-3</v>
      </c>
      <c r="C21" s="64">
        <v>-2.8000000000000001E-2</v>
      </c>
      <c r="D21" s="64">
        <v>0.246</v>
      </c>
      <c r="E21" s="64">
        <v>-2.8000000000000001E-2</v>
      </c>
      <c r="F21" s="65">
        <v>5.0000000000000001E-3</v>
      </c>
      <c r="H21" s="21" t="s">
        <v>39</v>
      </c>
      <c r="I21" s="48">
        <v>29844.012127243299</v>
      </c>
      <c r="J21" s="49">
        <v>33665.292317357103</v>
      </c>
      <c r="K21" s="50">
        <f t="shared" si="0"/>
        <v>63509.304444600406</v>
      </c>
      <c r="N21" s="51">
        <v>14</v>
      </c>
      <c r="O21" s="52">
        <v>67426.754190527936</v>
      </c>
      <c r="P21" s="43"/>
      <c r="Q21" s="41">
        <v>49</v>
      </c>
      <c r="R21" s="52">
        <v>40882.014683243164</v>
      </c>
      <c r="S21" s="43"/>
      <c r="V21" s="111"/>
      <c r="W21" s="111"/>
      <c r="X21" s="111"/>
      <c r="Y21" s="111"/>
      <c r="Z21" s="111"/>
    </row>
    <row r="22" spans="1:26" ht="15.75" thickBot="1" x14ac:dyDescent="0.3">
      <c r="A22" s="44" t="s">
        <v>69</v>
      </c>
      <c r="B22" s="63">
        <v>6.0000000000000001E-3</v>
      </c>
      <c r="C22" s="64">
        <v>-0.04</v>
      </c>
      <c r="D22" s="64">
        <v>0.22</v>
      </c>
      <c r="E22" s="64">
        <v>1.6E-2</v>
      </c>
      <c r="F22" s="65">
        <v>-2E-3</v>
      </c>
      <c r="H22" s="69" t="s">
        <v>40</v>
      </c>
      <c r="I22" s="70">
        <v>38735.889026674697</v>
      </c>
      <c r="J22" s="71">
        <v>43819.603244853301</v>
      </c>
      <c r="K22" s="72">
        <f t="shared" si="0"/>
        <v>82555.492271527997</v>
      </c>
      <c r="N22" s="51">
        <v>15</v>
      </c>
      <c r="O22" s="42">
        <f t="array" ref="O22:O26">MMULT($B$19:$F$23,$K$8:$K$12)</f>
        <v>65982.607538801356</v>
      </c>
      <c r="P22" s="43">
        <f>SUM(O22:O26)</f>
        <v>320817.042772174</v>
      </c>
      <c r="Q22" s="51">
        <v>50</v>
      </c>
      <c r="R22" s="42">
        <f t="array" ref="R22:R26">MMULT($B$19:$F$23,$K$15:$K$19)</f>
        <v>39619.624018042334</v>
      </c>
      <c r="S22" s="43">
        <f>SUM(R22:R26)</f>
        <v>183317.83770057117</v>
      </c>
      <c r="V22" s="111"/>
      <c r="W22" s="112"/>
      <c r="X22" s="112"/>
      <c r="Y22" s="112"/>
      <c r="Z22" s="111"/>
    </row>
    <row r="23" spans="1:26" x14ac:dyDescent="0.25">
      <c r="A23" s="44" t="s">
        <v>70</v>
      </c>
      <c r="B23" s="66">
        <v>2.7000000000000001E-3</v>
      </c>
      <c r="C23" s="67">
        <v>-2.8400000000000002E-2</v>
      </c>
      <c r="D23" s="67">
        <v>0.157</v>
      </c>
      <c r="E23" s="67">
        <v>8.0399999999999999E-2</v>
      </c>
      <c r="F23" s="68">
        <v>-1.17E-2</v>
      </c>
      <c r="N23" s="51">
        <v>16</v>
      </c>
      <c r="O23" s="52">
        <v>64592.087876794656</v>
      </c>
      <c r="P23" s="43"/>
      <c r="Q23" s="41">
        <v>51</v>
      </c>
      <c r="R23" s="52">
        <v>38248.115307243766</v>
      </c>
      <c r="S23" s="43"/>
      <c r="V23" s="197"/>
      <c r="W23" s="113"/>
      <c r="X23" s="113"/>
      <c r="Y23" s="113"/>
      <c r="Z23" s="111"/>
    </row>
    <row r="24" spans="1:26" x14ac:dyDescent="0.25">
      <c r="A24" s="44"/>
      <c r="B24" s="227" t="s">
        <v>71</v>
      </c>
      <c r="C24" s="227"/>
      <c r="D24" s="227"/>
      <c r="E24" s="227"/>
      <c r="F24" s="227"/>
      <c r="N24" s="51">
        <v>17</v>
      </c>
      <c r="O24" s="52">
        <v>63619.07077273124</v>
      </c>
      <c r="P24" s="43"/>
      <c r="Q24" s="51">
        <v>52</v>
      </c>
      <c r="R24" s="52">
        <v>36778.487698725119</v>
      </c>
      <c r="S24" s="43"/>
      <c r="V24" s="111"/>
      <c r="W24" s="113"/>
      <c r="X24" s="113"/>
      <c r="Y24" s="113"/>
      <c r="Z24" s="111"/>
    </row>
    <row r="25" spans="1:26" x14ac:dyDescent="0.25">
      <c r="A25" s="44" t="s">
        <v>72</v>
      </c>
      <c r="B25" s="58">
        <v>-1.5E-3</v>
      </c>
      <c r="C25" s="59">
        <v>-8.3999999999999995E-3</v>
      </c>
      <c r="D25" s="59">
        <v>8.2199999999999995E-2</v>
      </c>
      <c r="E25" s="59">
        <v>0.14680000000000001</v>
      </c>
      <c r="F25" s="60">
        <v>-1.9099999999999999E-2</v>
      </c>
      <c r="N25" s="51">
        <v>18</v>
      </c>
      <c r="O25" s="52">
        <v>63277.159867605405</v>
      </c>
      <c r="P25" s="43"/>
      <c r="Q25" s="41">
        <v>53</v>
      </c>
      <c r="R25" s="52">
        <v>35178.570355664589</v>
      </c>
      <c r="S25" s="43"/>
      <c r="V25" s="111"/>
      <c r="W25" s="113"/>
      <c r="X25" s="113"/>
      <c r="Y25" s="113"/>
      <c r="Z25" s="111"/>
    </row>
    <row r="26" spans="1:26" x14ac:dyDescent="0.25">
      <c r="A26" s="44" t="s">
        <v>73</v>
      </c>
      <c r="B26" s="63">
        <v>-3.8E-3</v>
      </c>
      <c r="C26" s="64">
        <v>7.1999999999999998E-3</v>
      </c>
      <c r="D26" s="64">
        <v>1.72E-2</v>
      </c>
      <c r="E26" s="64">
        <v>0.19919999999999999</v>
      </c>
      <c r="F26" s="65">
        <v>-1.9800000000000002E-2</v>
      </c>
      <c r="N26" s="51">
        <v>19</v>
      </c>
      <c r="O26" s="52">
        <v>63346.116716241355</v>
      </c>
      <c r="P26" s="43"/>
      <c r="Q26" s="51">
        <v>54</v>
      </c>
      <c r="R26" s="52">
        <v>33493.040320895365</v>
      </c>
      <c r="S26" s="43"/>
      <c r="V26" s="111"/>
      <c r="W26" s="111"/>
      <c r="X26" s="111"/>
      <c r="Y26" s="111"/>
      <c r="Z26" s="111"/>
    </row>
    <row r="27" spans="1:26" x14ac:dyDescent="0.25">
      <c r="A27" s="44" t="s">
        <v>74</v>
      </c>
      <c r="B27" s="63">
        <v>-2.8E-3</v>
      </c>
      <c r="C27" s="64">
        <v>1.12E-2</v>
      </c>
      <c r="D27" s="64">
        <v>-2.4799999999999999E-2</v>
      </c>
      <c r="E27" s="64">
        <v>0.22720000000000001</v>
      </c>
      <c r="F27" s="65">
        <v>-1.0800000000000001E-2</v>
      </c>
      <c r="N27" s="51">
        <v>20</v>
      </c>
      <c r="O27" s="42">
        <f t="array" ref="O27:O31">MMULT($B$19:$F$23,$K$9:$K$13)</f>
        <v>63621.090453530902</v>
      </c>
      <c r="P27" s="43">
        <f>SUM(O27:O31)</f>
        <v>310871.74836680398</v>
      </c>
      <c r="Q27" s="41">
        <v>55</v>
      </c>
      <c r="R27" s="42">
        <f t="array" ref="R27:R31">MMULT($B$19:$F$23,$K$16:$K$20)</f>
        <v>31789.585706965685</v>
      </c>
      <c r="S27" s="43">
        <f>SUM(R27:R31)</f>
        <v>143350.64624680008</v>
      </c>
      <c r="V27" s="111"/>
      <c r="W27" s="111"/>
      <c r="X27" s="111"/>
      <c r="Y27" s="111"/>
      <c r="Z27" s="111"/>
    </row>
    <row r="28" spans="1:26" x14ac:dyDescent="0.25">
      <c r="A28" s="44" t="s">
        <v>75</v>
      </c>
      <c r="B28" s="63">
        <v>1.2999999999999999E-3</v>
      </c>
      <c r="C28" s="64">
        <v>2.8E-3</v>
      </c>
      <c r="D28" s="64">
        <v>-4.02E-2</v>
      </c>
      <c r="E28" s="64">
        <v>0.2268</v>
      </c>
      <c r="F28" s="65">
        <v>9.2999999999999992E-3</v>
      </c>
      <c r="N28" s="51">
        <v>21</v>
      </c>
      <c r="O28" s="52">
        <v>63619.210200013986</v>
      </c>
      <c r="P28" s="43"/>
      <c r="Q28" s="51">
        <v>56</v>
      </c>
      <c r="R28" s="52">
        <v>30139.387055175466</v>
      </c>
      <c r="S28" s="43"/>
      <c r="V28" s="111"/>
      <c r="W28" s="111"/>
      <c r="X28" s="111"/>
      <c r="Y28" s="111"/>
      <c r="Z28" s="111"/>
    </row>
    <row r="29" spans="1:26" x14ac:dyDescent="0.25">
      <c r="A29" s="44" t="s">
        <v>76</v>
      </c>
      <c r="B29" s="66">
        <v>6.7999999999999996E-3</v>
      </c>
      <c r="C29" s="67">
        <v>-1.2800000000000001E-2</v>
      </c>
      <c r="D29" s="67">
        <v>-3.44E-2</v>
      </c>
      <c r="E29" s="67">
        <v>0.2</v>
      </c>
      <c r="F29" s="68">
        <v>4.0399999999999998E-2</v>
      </c>
      <c r="N29" s="51">
        <v>22</v>
      </c>
      <c r="O29" s="52">
        <v>62970.193389099695</v>
      </c>
      <c r="P29" s="43"/>
      <c r="Q29" s="41">
        <v>57</v>
      </c>
      <c r="R29" s="52">
        <v>28566.991833148335</v>
      </c>
      <c r="S29" s="43"/>
    </row>
    <row r="30" spans="1:26" x14ac:dyDescent="0.25">
      <c r="A30" s="44"/>
      <c r="B30" s="227" t="s">
        <v>77</v>
      </c>
      <c r="C30" s="227"/>
      <c r="D30" s="227"/>
      <c r="E30" s="227"/>
      <c r="F30" s="227"/>
      <c r="N30" s="51">
        <v>23</v>
      </c>
      <c r="O30" s="52">
        <v>61416.797116070004</v>
      </c>
      <c r="P30" s="43"/>
      <c r="Q30" s="51">
        <v>58</v>
      </c>
      <c r="R30" s="52">
        <v>27107.427202615905</v>
      </c>
      <c r="S30" s="43"/>
    </row>
    <row r="31" spans="1:26" x14ac:dyDescent="0.25">
      <c r="A31" s="44" t="s">
        <v>78</v>
      </c>
      <c r="B31" s="58">
        <v>1.15E-2</v>
      </c>
      <c r="C31" s="59">
        <v>-2.8400000000000002E-2</v>
      </c>
      <c r="D31" s="59">
        <v>-1.5800000000000002E-2</v>
      </c>
      <c r="E31" s="59">
        <v>0.15079999999999999</v>
      </c>
      <c r="F31" s="60">
        <v>8.1900000000000001E-2</v>
      </c>
      <c r="N31" s="51">
        <v>24</v>
      </c>
      <c r="O31" s="52">
        <v>59244.457208089392</v>
      </c>
      <c r="P31" s="43"/>
      <c r="Q31" s="41">
        <v>59</v>
      </c>
      <c r="R31" s="52">
        <v>25747.254448894695</v>
      </c>
      <c r="S31" s="43"/>
    </row>
    <row r="32" spans="1:26" x14ac:dyDescent="0.25">
      <c r="A32" s="44" t="s">
        <v>79</v>
      </c>
      <c r="B32" s="63">
        <v>1.29E-2</v>
      </c>
      <c r="C32" s="64">
        <v>-3.56E-2</v>
      </c>
      <c r="D32" s="64">
        <v>5.4000000000000003E-3</v>
      </c>
      <c r="E32" s="64">
        <v>8.4400000000000003E-2</v>
      </c>
      <c r="F32" s="65">
        <v>0.13289999999999999</v>
      </c>
      <c r="N32" s="51">
        <v>25</v>
      </c>
      <c r="O32" s="42">
        <f t="array" ref="O32:O36">MMULT($B$19:$F$23,$K$10:$K$14)</f>
        <v>56848.572678181394</v>
      </c>
      <c r="P32" s="43">
        <f>SUM(O32:O36)</f>
        <v>269280.83097938099</v>
      </c>
      <c r="Q32" s="51">
        <v>60</v>
      </c>
      <c r="R32" s="42">
        <f t="array" ref="R32:R36">MMULT($B$19:$F$23,$K$17:$K$21)</f>
        <v>24418.951593957976</v>
      </c>
      <c r="S32" s="43">
        <f>SUM(R32:R36)</f>
        <v>110217.39726759901</v>
      </c>
    </row>
    <row r="33" spans="1:19" x14ac:dyDescent="0.25">
      <c r="A33" s="44" t="s">
        <v>80</v>
      </c>
      <c r="B33" s="63">
        <v>8.3999999999999995E-3</v>
      </c>
      <c r="C33" s="64">
        <v>-2.5600000000000001E-2</v>
      </c>
      <c r="D33" s="64">
        <v>1.84E-2</v>
      </c>
      <c r="E33" s="64">
        <v>6.4000000000000003E-3</v>
      </c>
      <c r="F33" s="65">
        <v>0.19239999999999999</v>
      </c>
      <c r="N33" s="51">
        <v>26</v>
      </c>
      <c r="O33" s="52">
        <v>54742.60014292995</v>
      </c>
      <c r="P33" s="43"/>
      <c r="Q33" s="41">
        <v>61</v>
      </c>
      <c r="R33" s="52">
        <v>23123.142177127134</v>
      </c>
      <c r="S33" s="43"/>
    </row>
    <row r="34" spans="1:19" x14ac:dyDescent="0.25">
      <c r="A34" s="44" t="s">
        <v>81</v>
      </c>
      <c r="B34" s="63">
        <v>-4.4999999999999997E-3</v>
      </c>
      <c r="C34" s="64">
        <v>0.01</v>
      </c>
      <c r="D34" s="64">
        <v>1.2999999999999999E-2</v>
      </c>
      <c r="E34" s="64">
        <v>-7.8E-2</v>
      </c>
      <c r="F34" s="65">
        <v>0.25950000000000001</v>
      </c>
      <c r="N34" s="51">
        <v>27</v>
      </c>
      <c r="O34" s="52">
        <v>53165.166624136997</v>
      </c>
      <c r="P34" s="43"/>
      <c r="Q34" s="51">
        <v>62</v>
      </c>
      <c r="R34" s="52">
        <v>21930.896344572877</v>
      </c>
      <c r="S34" s="43"/>
    </row>
    <row r="35" spans="1:19" x14ac:dyDescent="0.25">
      <c r="A35" s="73" t="s">
        <v>82</v>
      </c>
      <c r="B35" s="66">
        <v>-2.8299999999999999E-2</v>
      </c>
      <c r="C35" s="67">
        <v>7.9600000000000004E-2</v>
      </c>
      <c r="D35" s="67">
        <v>-2.1000000000000001E-2</v>
      </c>
      <c r="E35" s="67">
        <v>-0.1636</v>
      </c>
      <c r="F35" s="68">
        <v>0.33329999999999999</v>
      </c>
      <c r="N35" s="51">
        <v>28</v>
      </c>
      <c r="O35" s="52">
        <v>52366.640529877943</v>
      </c>
      <c r="P35" s="43"/>
      <c r="Q35" s="41">
        <v>63</v>
      </c>
      <c r="R35" s="52">
        <v>20859.776251497969</v>
      </c>
      <c r="S35" s="43"/>
    </row>
    <row r="36" spans="1:19" ht="14.45" customHeight="1" x14ac:dyDescent="0.25">
      <c r="A36" s="228" t="s">
        <v>83</v>
      </c>
      <c r="B36" s="228"/>
      <c r="C36" s="228"/>
      <c r="D36" s="228"/>
      <c r="E36" s="228"/>
      <c r="F36" s="228"/>
      <c r="N36" s="51">
        <v>29</v>
      </c>
      <c r="O36" s="52">
        <v>52157.851004254713</v>
      </c>
      <c r="P36" s="43"/>
      <c r="Q36" s="51">
        <v>64</v>
      </c>
      <c r="R36" s="52">
        <v>19884.630900443055</v>
      </c>
      <c r="S36" s="43"/>
    </row>
    <row r="37" spans="1:19" x14ac:dyDescent="0.25">
      <c r="A37" s="228"/>
      <c r="B37" s="228"/>
      <c r="C37" s="228"/>
      <c r="D37" s="228"/>
      <c r="E37" s="228"/>
      <c r="F37" s="228"/>
      <c r="N37" s="51">
        <v>30</v>
      </c>
      <c r="O37" s="42">
        <f t="array" ref="O37:O41">MMULT($B$19:$F$23,$K$11:$K$15)</f>
        <v>52119.533422271197</v>
      </c>
      <c r="P37" s="43">
        <f>SUM(O37:O41)</f>
        <v>259122.45206266898</v>
      </c>
      <c r="Q37" s="41">
        <v>65</v>
      </c>
      <c r="R37" s="42">
        <f t="array" ref="R37:R41">MMULT($B$25:$F$29,$K$17:$K$21)</f>
        <v>18965.786822043654</v>
      </c>
      <c r="S37" s="43">
        <f>SUM(R37:R41)</f>
        <v>85817.892823997696</v>
      </c>
    </row>
    <row r="38" spans="1:19" x14ac:dyDescent="0.25">
      <c r="A38" s="228"/>
      <c r="B38" s="228"/>
      <c r="C38" s="228"/>
      <c r="D38" s="228"/>
      <c r="E38" s="228"/>
      <c r="F38" s="228"/>
      <c r="N38" s="51">
        <v>31</v>
      </c>
      <c r="O38" s="52">
        <v>51987.522729254153</v>
      </c>
      <c r="Q38" s="51">
        <v>66</v>
      </c>
      <c r="R38" s="52">
        <v>18068.696125254744</v>
      </c>
    </row>
    <row r="39" spans="1:19" x14ac:dyDescent="0.25">
      <c r="A39" s="228"/>
      <c r="B39" s="228"/>
      <c r="C39" s="228"/>
      <c r="D39" s="228"/>
      <c r="E39" s="228"/>
      <c r="F39" s="228"/>
      <c r="N39" s="51">
        <v>32</v>
      </c>
      <c r="O39" s="52">
        <v>51866.503487068549</v>
      </c>
      <c r="Q39" s="41">
        <v>67</v>
      </c>
      <c r="R39" s="52">
        <v>17170.770601776698</v>
      </c>
    </row>
    <row r="40" spans="1:19" x14ac:dyDescent="0.25">
      <c r="N40" s="51">
        <v>33</v>
      </c>
      <c r="O40" s="52">
        <v>51684.504000035216</v>
      </c>
      <c r="Q40" s="51">
        <v>68</v>
      </c>
      <c r="R40" s="52">
        <v>16263.090252161763</v>
      </c>
    </row>
    <row r="41" spans="1:19" x14ac:dyDescent="0.25">
      <c r="N41" s="56">
        <v>34</v>
      </c>
      <c r="O41" s="52">
        <v>51464.388424039884</v>
      </c>
      <c r="Q41" s="74">
        <v>69</v>
      </c>
      <c r="R41" s="75">
        <v>15349.549022760833</v>
      </c>
    </row>
  </sheetData>
  <mergeCells count="8">
    <mergeCell ref="B24:F24"/>
    <mergeCell ref="B30:F30"/>
    <mergeCell ref="A36:F39"/>
    <mergeCell ref="A4:A6"/>
    <mergeCell ref="B4:F4"/>
    <mergeCell ref="B6:F6"/>
    <mergeCell ref="B12:F12"/>
    <mergeCell ref="B18:F18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E7FF"/>
  </sheetPr>
  <dimension ref="A1:Z108"/>
  <sheetViews>
    <sheetView workbookViewId="0">
      <selection activeCell="N34" sqref="N34"/>
    </sheetView>
  </sheetViews>
  <sheetFormatPr baseColWidth="10" defaultColWidth="8.85546875" defaultRowHeight="15" x14ac:dyDescent="0.25"/>
  <cols>
    <col min="8" max="8" width="12.85546875" customWidth="1"/>
    <col min="21" max="21" width="9.85546875" customWidth="1"/>
    <col min="24" max="25" width="12.28515625" style="204" customWidth="1"/>
  </cols>
  <sheetData>
    <row r="1" spans="1:26" x14ac:dyDescent="0.25">
      <c r="A1" s="25" t="s">
        <v>41</v>
      </c>
      <c r="B1" s="26"/>
      <c r="C1" s="26"/>
      <c r="D1" s="26"/>
      <c r="E1" s="26"/>
      <c r="F1" s="26"/>
      <c r="X1" s="203"/>
    </row>
    <row r="2" spans="1:26" x14ac:dyDescent="0.25">
      <c r="A2" s="27" t="s">
        <v>42</v>
      </c>
      <c r="B2" s="26"/>
      <c r="C2" s="26"/>
      <c r="D2" s="26"/>
      <c r="E2" s="26"/>
      <c r="F2" s="26"/>
    </row>
    <row r="3" spans="1:26" x14ac:dyDescent="0.25">
      <c r="A3" s="27"/>
      <c r="B3" s="26"/>
      <c r="C3" s="26"/>
      <c r="D3" s="26"/>
      <c r="E3" s="26"/>
      <c r="F3" s="26"/>
    </row>
    <row r="4" spans="1:26" ht="14.45" customHeight="1" x14ac:dyDescent="0.25">
      <c r="A4" s="229" t="s">
        <v>43</v>
      </c>
      <c r="B4" s="227" t="s">
        <v>44</v>
      </c>
      <c r="C4" s="227"/>
      <c r="D4" s="227"/>
      <c r="E4" s="227"/>
      <c r="F4" s="227"/>
    </row>
    <row r="5" spans="1:26" ht="15.75" thickBot="1" x14ac:dyDescent="0.3">
      <c r="A5" s="229"/>
      <c r="B5" s="28" t="s">
        <v>45</v>
      </c>
      <c r="C5" s="28" t="s">
        <v>46</v>
      </c>
      <c r="D5" s="28" t="s">
        <v>47</v>
      </c>
      <c r="E5" s="28" t="s">
        <v>48</v>
      </c>
      <c r="F5" s="29" t="s">
        <v>49</v>
      </c>
    </row>
    <row r="6" spans="1:26" ht="15.75" thickBot="1" x14ac:dyDescent="0.3">
      <c r="A6" s="229"/>
      <c r="B6" s="227" t="s">
        <v>50</v>
      </c>
      <c r="C6" s="227"/>
      <c r="D6" s="227"/>
      <c r="E6" s="227"/>
      <c r="F6" s="227"/>
      <c r="H6" s="2" t="s">
        <v>24</v>
      </c>
      <c r="I6" s="3" t="s">
        <v>2</v>
      </c>
      <c r="J6" s="4" t="s">
        <v>3</v>
      </c>
      <c r="K6" s="205" t="s">
        <v>51</v>
      </c>
      <c r="N6" s="31" t="s">
        <v>24</v>
      </c>
      <c r="O6" s="32" t="s">
        <v>52</v>
      </c>
      <c r="Q6" s="31" t="s">
        <v>24</v>
      </c>
      <c r="R6" s="32" t="s">
        <v>52</v>
      </c>
      <c r="T6" s="206" t="s">
        <v>24</v>
      </c>
      <c r="U6" s="207" t="s">
        <v>52</v>
      </c>
      <c r="X6" s="208" t="s">
        <v>194</v>
      </c>
      <c r="Y6" s="208" t="s">
        <v>195</v>
      </c>
      <c r="Z6" t="s">
        <v>196</v>
      </c>
    </row>
    <row r="7" spans="1:26" x14ac:dyDescent="0.25">
      <c r="A7" s="33" t="s">
        <v>53</v>
      </c>
      <c r="B7" s="34">
        <v>0.33329999999999999</v>
      </c>
      <c r="C7" s="35">
        <v>-0.1636</v>
      </c>
      <c r="D7" s="35">
        <v>-2.1000000000000001E-2</v>
      </c>
      <c r="E7" s="35">
        <v>7.9600000000000004E-2</v>
      </c>
      <c r="F7" s="36">
        <v>-2.8299999999999999E-2</v>
      </c>
      <c r="H7" s="37" t="s">
        <v>25</v>
      </c>
      <c r="I7" s="38">
        <v>174359</v>
      </c>
      <c r="J7" s="39">
        <v>205404</v>
      </c>
      <c r="K7" s="40">
        <f t="shared" ref="K7:K27" si="0">I7+J7</f>
        <v>379763</v>
      </c>
      <c r="N7" s="41">
        <v>0</v>
      </c>
      <c r="O7" s="42">
        <f t="array" ref="O7:O11">MMULT($B$7:$F$11,K7:K11)</f>
        <v>79216.275236846166</v>
      </c>
      <c r="P7" s="43">
        <f>SUM(O7:O11)</f>
        <v>379763</v>
      </c>
      <c r="Q7" s="41">
        <v>35</v>
      </c>
      <c r="R7" s="42">
        <f t="array" ref="R7:R11">MMULT($B$19:$F$23,K12:$K$16)</f>
        <v>54026.343919504012</v>
      </c>
      <c r="S7" s="43">
        <f>SUM(R7:R11)</f>
        <v>269372.04893485503</v>
      </c>
      <c r="T7" s="209">
        <v>70</v>
      </c>
      <c r="U7" s="210">
        <f t="array" ref="U7:U11">MMULT(B19:F23,K19:K23)</f>
        <v>14173.231889939538</v>
      </c>
      <c r="V7" s="43">
        <f>SUM(U7:U11)</f>
        <v>62947.093223521908</v>
      </c>
      <c r="X7" s="204">
        <v>68403.51020177381</v>
      </c>
      <c r="Y7" s="204">
        <v>79216.275236846166</v>
      </c>
      <c r="Z7">
        <f>(X7-Y7)^2</f>
        <v>116915887.70368329</v>
      </c>
    </row>
    <row r="8" spans="1:26" x14ac:dyDescent="0.25">
      <c r="A8" s="44" t="s">
        <v>54</v>
      </c>
      <c r="B8" s="45">
        <v>0.25950000000000001</v>
      </c>
      <c r="C8" s="46">
        <v>-7.8E-2</v>
      </c>
      <c r="D8" s="46">
        <v>1.2999999999999999E-2</v>
      </c>
      <c r="E8" s="46">
        <v>0.01</v>
      </c>
      <c r="F8" s="47">
        <v>-4.4999999999999997E-3</v>
      </c>
      <c r="H8" s="21" t="s">
        <v>26</v>
      </c>
      <c r="I8" s="48">
        <v>181122.53592614277</v>
      </c>
      <c r="J8" s="49">
        <v>171997.36119711981</v>
      </c>
      <c r="K8" s="50">
        <f t="shared" si="0"/>
        <v>353119.89712326258</v>
      </c>
      <c r="N8" s="51">
        <v>1</v>
      </c>
      <c r="O8" s="52">
        <v>77446.377696932934</v>
      </c>
      <c r="P8" s="43"/>
      <c r="Q8" s="51">
        <v>36</v>
      </c>
      <c r="R8" s="52">
        <v>54019.74633162711</v>
      </c>
      <c r="S8" s="43"/>
      <c r="T8" s="51">
        <v>71</v>
      </c>
      <c r="U8" s="52">
        <v>13371.89821892384</v>
      </c>
      <c r="V8" s="43"/>
      <c r="X8" s="204">
        <v>68185.738054321293</v>
      </c>
      <c r="Y8" s="204">
        <v>77446.377696932934</v>
      </c>
      <c r="Z8">
        <f t="shared" ref="Z8:Z71" si="1">(X8-Y8)^2</f>
        <v>85759446.590310261</v>
      </c>
    </row>
    <row r="9" spans="1:26" x14ac:dyDescent="0.25">
      <c r="A9" s="44" t="s">
        <v>55</v>
      </c>
      <c r="B9" s="45">
        <v>0.19239999999999999</v>
      </c>
      <c r="C9" s="46">
        <v>6.4000000000000003E-3</v>
      </c>
      <c r="D9" s="46">
        <v>1.84E-2</v>
      </c>
      <c r="E9" s="46">
        <v>-2.5600000000000001E-2</v>
      </c>
      <c r="F9" s="47">
        <v>8.3999999999999995E-3</v>
      </c>
      <c r="H9" s="21" t="s">
        <v>27</v>
      </c>
      <c r="I9" s="48">
        <v>177307.5017278025</v>
      </c>
      <c r="J9" s="49">
        <v>169948.73406793241</v>
      </c>
      <c r="K9" s="50">
        <f t="shared" si="0"/>
        <v>347256.23579573492</v>
      </c>
      <c r="N9" s="51">
        <v>2</v>
      </c>
      <c r="O9" s="52">
        <v>75801.406180483449</v>
      </c>
      <c r="P9" s="43"/>
      <c r="Q9" s="41">
        <v>37</v>
      </c>
      <c r="R9" s="52">
        <v>53960.387020449532</v>
      </c>
      <c r="S9" s="43"/>
      <c r="T9" s="51">
        <v>72</v>
      </c>
      <c r="U9" s="52">
        <v>12584.837729964043</v>
      </c>
      <c r="V9" s="43"/>
      <c r="X9" s="204">
        <v>68248.481450011197</v>
      </c>
      <c r="Y9" s="204">
        <v>75801.406180483449</v>
      </c>
      <c r="Z9">
        <f t="shared" si="1"/>
        <v>57046671.98417934</v>
      </c>
    </row>
    <row r="10" spans="1:26" x14ac:dyDescent="0.25">
      <c r="A10" s="44" t="s">
        <v>56</v>
      </c>
      <c r="B10" s="45">
        <v>0.13289999999999999</v>
      </c>
      <c r="C10" s="46">
        <v>8.4400000000000003E-2</v>
      </c>
      <c r="D10" s="46">
        <v>5.4000000000000003E-3</v>
      </c>
      <c r="E10" s="46">
        <v>-3.56E-2</v>
      </c>
      <c r="F10" s="47">
        <v>1.29E-2</v>
      </c>
      <c r="H10" s="21" t="s">
        <v>28</v>
      </c>
      <c r="I10" s="48">
        <v>168567.0616269935</v>
      </c>
      <c r="J10" s="49">
        <v>165701.7219742031</v>
      </c>
      <c r="K10" s="50">
        <f t="shared" si="0"/>
        <v>334268.7836011966</v>
      </c>
      <c r="N10" s="51">
        <v>3</v>
      </c>
      <c r="O10" s="52">
        <v>74307.628483550521</v>
      </c>
      <c r="P10" s="43"/>
      <c r="Q10" s="51">
        <v>38</v>
      </c>
      <c r="R10" s="52">
        <v>53808.053330200542</v>
      </c>
      <c r="S10" s="43"/>
      <c r="T10" s="51">
        <v>73</v>
      </c>
      <c r="U10" s="52">
        <v>11798.666915427106</v>
      </c>
      <c r="V10" s="43"/>
      <c r="X10" s="204">
        <v>68248.649491703691</v>
      </c>
      <c r="Y10" s="204">
        <v>74307.628483550521</v>
      </c>
      <c r="Z10">
        <f t="shared" si="1"/>
        <v>36711226.423641235</v>
      </c>
    </row>
    <row r="11" spans="1:26" x14ac:dyDescent="0.25">
      <c r="A11" s="44" t="s">
        <v>57</v>
      </c>
      <c r="B11" s="53">
        <v>8.1900000000000001E-2</v>
      </c>
      <c r="C11" s="54">
        <v>0.15079999999999999</v>
      </c>
      <c r="D11" s="54">
        <v>-1.5800000000000002E-2</v>
      </c>
      <c r="E11" s="54">
        <v>-2.8400000000000002E-2</v>
      </c>
      <c r="F11" s="55">
        <v>1.15E-2</v>
      </c>
      <c r="H11" s="21" t="s">
        <v>29</v>
      </c>
      <c r="I11" s="48">
        <v>155502.66865950701</v>
      </c>
      <c r="J11" s="49">
        <v>159116.8266314076</v>
      </c>
      <c r="K11" s="50">
        <f t="shared" si="0"/>
        <v>314619.49529091461</v>
      </c>
      <c r="N11" s="51">
        <v>4</v>
      </c>
      <c r="O11" s="52">
        <v>72991.312402186915</v>
      </c>
      <c r="P11" s="43"/>
      <c r="Q11" s="41">
        <v>39</v>
      </c>
      <c r="R11" s="52">
        <v>53557.518333073836</v>
      </c>
      <c r="S11" s="43"/>
      <c r="T11" s="51">
        <v>74</v>
      </c>
      <c r="U11" s="52">
        <v>11018.458469267382</v>
      </c>
      <c r="V11" s="43"/>
      <c r="X11" s="204">
        <v>67186.7652396911</v>
      </c>
      <c r="Y11" s="204">
        <v>72991.312402186915</v>
      </c>
      <c r="Z11">
        <f t="shared" si="1"/>
        <v>33692767.761638224</v>
      </c>
    </row>
    <row r="12" spans="1:26" x14ac:dyDescent="0.25">
      <c r="A12" s="44"/>
      <c r="B12" s="227" t="s">
        <v>58</v>
      </c>
      <c r="C12" s="227"/>
      <c r="D12" s="227"/>
      <c r="E12" s="227"/>
      <c r="F12" s="227"/>
      <c r="H12" s="21" t="s">
        <v>30</v>
      </c>
      <c r="I12" s="48">
        <v>139274.8984355228</v>
      </c>
      <c r="J12" s="49">
        <v>146019.98976789092</v>
      </c>
      <c r="K12" s="50">
        <f t="shared" si="0"/>
        <v>285294.88820341369</v>
      </c>
      <c r="N12" s="51">
        <v>5</v>
      </c>
      <c r="O12" s="42">
        <f t="array" ref="O12:O16">MMULT($B$13:$F$17,K7:K11)</f>
        <v>71881.562251162133</v>
      </c>
      <c r="P12" s="43">
        <f>SUM(O12:O16)</f>
        <v>353119.89712326258</v>
      </c>
      <c r="Q12" s="51">
        <v>40</v>
      </c>
      <c r="R12" s="42">
        <f t="array" ref="R12:R16">MMULT($B$19:$F$23,$K$13:$K$17)</f>
        <v>53255.980717944323</v>
      </c>
      <c r="S12" s="43">
        <f>SUM(R12:R16)</f>
        <v>260698.94334883132</v>
      </c>
      <c r="T12" s="51">
        <v>75</v>
      </c>
      <c r="U12" s="52">
        <f t="array" ref="U12:U16">MMULT(B19:F23,K20:K24)</f>
        <v>10266.734428942826</v>
      </c>
      <c r="V12" s="43">
        <f>SUM(U12:U16)</f>
        <v>44202.095845377575</v>
      </c>
      <c r="X12" s="204">
        <v>68848.160789219808</v>
      </c>
      <c r="Y12" s="204">
        <v>71881.562251162133</v>
      </c>
      <c r="Z12">
        <f t="shared" si="1"/>
        <v>9201524.4293138348</v>
      </c>
    </row>
    <row r="13" spans="1:26" x14ac:dyDescent="0.25">
      <c r="A13" s="44" t="s">
        <v>60</v>
      </c>
      <c r="B13" s="58">
        <v>4.0399999999999998E-2</v>
      </c>
      <c r="C13" s="59">
        <v>0.2</v>
      </c>
      <c r="D13" s="59">
        <v>-3.44E-2</v>
      </c>
      <c r="E13" s="59">
        <v>-1.2800000000000001E-2</v>
      </c>
      <c r="F13" s="60">
        <v>6.7999999999999996E-3</v>
      </c>
      <c r="H13" s="21" t="s">
        <v>31</v>
      </c>
      <c r="I13" s="48">
        <v>131175.15081091871</v>
      </c>
      <c r="J13" s="49">
        <v>140496.06552070621</v>
      </c>
      <c r="K13" s="50">
        <f t="shared" si="0"/>
        <v>271671.21633162489</v>
      </c>
      <c r="N13" s="51">
        <v>6</v>
      </c>
      <c r="O13" s="52">
        <v>71004.64582652894</v>
      </c>
      <c r="P13" s="43"/>
      <c r="Q13" s="41">
        <v>41</v>
      </c>
      <c r="R13" s="52">
        <v>52877.652053522099</v>
      </c>
      <c r="S13" s="43"/>
      <c r="T13" s="51">
        <v>76</v>
      </c>
      <c r="U13" s="52">
        <v>9545.6593599332518</v>
      </c>
      <c r="V13" s="43"/>
      <c r="X13" s="204">
        <v>71124.909842663008</v>
      </c>
      <c r="Y13" s="204">
        <v>71004.64582652894</v>
      </c>
      <c r="Z13">
        <f t="shared" si="1"/>
        <v>14463.433576695317</v>
      </c>
    </row>
    <row r="14" spans="1:26" x14ac:dyDescent="0.25">
      <c r="A14" s="44" t="s">
        <v>61</v>
      </c>
      <c r="B14" s="63">
        <v>9.2999999999999992E-3</v>
      </c>
      <c r="C14" s="64">
        <v>0.2268</v>
      </c>
      <c r="D14" s="64">
        <v>-4.02E-2</v>
      </c>
      <c r="E14" s="64">
        <v>2.8E-3</v>
      </c>
      <c r="F14" s="65">
        <v>1.2999999999999999E-3</v>
      </c>
      <c r="H14" s="21" t="s">
        <v>32</v>
      </c>
      <c r="I14" s="48">
        <v>129698.77172659361</v>
      </c>
      <c r="J14" s="49">
        <v>139673.27720826142</v>
      </c>
      <c r="K14" s="50">
        <f t="shared" si="0"/>
        <v>269372.04893485503</v>
      </c>
      <c r="N14" s="51">
        <v>7</v>
      </c>
      <c r="O14" s="52">
        <v>70378.321368189878</v>
      </c>
      <c r="P14" s="43"/>
      <c r="Q14" s="51">
        <v>42</v>
      </c>
      <c r="R14" s="52">
        <v>52332.010460710306</v>
      </c>
      <c r="S14" s="43"/>
      <c r="T14" s="51">
        <v>77</v>
      </c>
      <c r="U14" s="52">
        <v>8833.8337080592009</v>
      </c>
      <c r="V14" s="43"/>
      <c r="X14" s="204">
        <v>70926.185288114706</v>
      </c>
      <c r="Y14" s="204">
        <v>70378.321368189878</v>
      </c>
      <c r="Z14">
        <f t="shared" si="1"/>
        <v>300154.8747553986</v>
      </c>
    </row>
    <row r="15" spans="1:26" ht="14.45" customHeight="1" x14ac:dyDescent="0.25">
      <c r="A15" s="44" t="s">
        <v>62</v>
      </c>
      <c r="B15" s="63">
        <v>-1.0800000000000001E-2</v>
      </c>
      <c r="C15" s="64">
        <v>0.22720000000000001</v>
      </c>
      <c r="D15" s="64">
        <v>-2.4799999999999999E-2</v>
      </c>
      <c r="E15" s="64">
        <v>1.12E-2</v>
      </c>
      <c r="F15" s="65">
        <v>-2.8E-3</v>
      </c>
      <c r="H15" s="21" t="s">
        <v>33</v>
      </c>
      <c r="I15" s="48">
        <v>125660.1735106441</v>
      </c>
      <c r="J15" s="49">
        <v>135038.7698381872</v>
      </c>
      <c r="K15" s="50">
        <f t="shared" si="0"/>
        <v>260698.94334883132</v>
      </c>
      <c r="N15" s="51">
        <v>8</v>
      </c>
      <c r="O15" s="52">
        <v>70006.164522463689</v>
      </c>
      <c r="P15" s="43"/>
      <c r="Q15" s="41">
        <v>43</v>
      </c>
      <c r="R15" s="52">
        <v>51583.02309518266</v>
      </c>
      <c r="S15" s="43"/>
      <c r="T15" s="51">
        <v>78</v>
      </c>
      <c r="U15" s="52">
        <v>8126.5056007245448</v>
      </c>
      <c r="V15" s="195"/>
      <c r="W15" s="195"/>
      <c r="X15" s="211">
        <v>71192.091027535207</v>
      </c>
      <c r="Y15" s="211">
        <v>70006.164522463689</v>
      </c>
      <c r="Z15">
        <f t="shared" si="1"/>
        <v>1406421.6754311463</v>
      </c>
    </row>
    <row r="16" spans="1:26" x14ac:dyDescent="0.25">
      <c r="A16" s="44" t="s">
        <v>63</v>
      </c>
      <c r="B16" s="63">
        <v>-1.9800000000000002E-2</v>
      </c>
      <c r="C16" s="64">
        <v>0.19919999999999999</v>
      </c>
      <c r="D16" s="64">
        <v>1.72E-2</v>
      </c>
      <c r="E16" s="64">
        <v>7.1999999999999998E-3</v>
      </c>
      <c r="F16" s="65">
        <v>-3.8E-3</v>
      </c>
      <c r="H16" s="21" t="s">
        <v>34</v>
      </c>
      <c r="I16" s="48">
        <v>113608.69635259471</v>
      </c>
      <c r="J16" s="49">
        <v>121341.90614958591</v>
      </c>
      <c r="K16" s="50">
        <f t="shared" si="0"/>
        <v>234950.60250218061</v>
      </c>
      <c r="N16" s="51">
        <v>9</v>
      </c>
      <c r="O16" s="52">
        <v>69849.203154917937</v>
      </c>
      <c r="P16" s="43"/>
      <c r="Q16" s="51">
        <v>44</v>
      </c>
      <c r="R16" s="52">
        <v>50650.277021471928</v>
      </c>
      <c r="S16" s="43"/>
      <c r="T16" s="51">
        <v>79</v>
      </c>
      <c r="U16" s="52">
        <v>7429.3627477177524</v>
      </c>
      <c r="V16" s="195"/>
      <c r="W16" s="195"/>
      <c r="X16" s="211">
        <v>71028.550175729906</v>
      </c>
      <c r="Y16" s="211">
        <v>69849.203154917937</v>
      </c>
      <c r="Z16">
        <f t="shared" si="1"/>
        <v>1390859.3954980664</v>
      </c>
    </row>
    <row r="17" spans="1:26" x14ac:dyDescent="0.25">
      <c r="A17" s="44" t="s">
        <v>64</v>
      </c>
      <c r="B17" s="66">
        <v>-1.9099999999999999E-2</v>
      </c>
      <c r="C17" s="67">
        <v>0.14680000000000001</v>
      </c>
      <c r="D17" s="67">
        <v>8.2199999999999995E-2</v>
      </c>
      <c r="E17" s="67">
        <v>-8.3999999999999995E-3</v>
      </c>
      <c r="F17" s="68">
        <v>-1.5E-3</v>
      </c>
      <c r="H17" s="21" t="s">
        <v>35</v>
      </c>
      <c r="I17" s="48">
        <v>92904.620099017295</v>
      </c>
      <c r="J17" s="49">
        <v>99645.090996316896</v>
      </c>
      <c r="K17" s="50">
        <f t="shared" si="0"/>
        <v>192549.71109533421</v>
      </c>
      <c r="N17" s="51">
        <v>10</v>
      </c>
      <c r="O17" s="42">
        <f t="array" ref="O17:O21">MMULT($B$19:$F$23,$K$7:$K$11)</f>
        <v>69823.080831652172</v>
      </c>
      <c r="P17" s="43">
        <f>SUM(O17:O21)</f>
        <v>347256.23579573492</v>
      </c>
      <c r="Q17" s="41">
        <v>45</v>
      </c>
      <c r="R17" s="42">
        <f t="array" ref="R17:R21">MMULT($B$19:$F$23,$K$14:$K$18)</f>
        <v>49634.440479410019</v>
      </c>
      <c r="S17" s="43">
        <f>SUM(R17:R21)</f>
        <v>234950.60250218061</v>
      </c>
      <c r="T17" s="51">
        <v>80</v>
      </c>
      <c r="U17" s="52">
        <f t="array" ref="U17:U21">MMULT(B19:F23,K21:K25)</f>
        <v>6754.1989129524436</v>
      </c>
      <c r="V17" s="43">
        <f>SUM(U17:U21)</f>
        <v>27585.228892346877</v>
      </c>
      <c r="W17" s="195"/>
      <c r="X17" s="211">
        <v>70509.017983255399</v>
      </c>
      <c r="Y17" s="211">
        <v>69823.080831652172</v>
      </c>
      <c r="Z17">
        <f t="shared" si="1"/>
        <v>470509.77594954718</v>
      </c>
    </row>
    <row r="18" spans="1:26" x14ac:dyDescent="0.25">
      <c r="A18" s="44"/>
      <c r="B18" s="227" t="s">
        <v>65</v>
      </c>
      <c r="C18" s="227"/>
      <c r="D18" s="227"/>
      <c r="E18" s="227"/>
      <c r="F18" s="227"/>
      <c r="H18" s="21" t="s">
        <v>36</v>
      </c>
      <c r="I18" s="48">
        <v>72031.794815745496</v>
      </c>
      <c r="J18" s="49">
        <v>78733.245542376899</v>
      </c>
      <c r="K18" s="50">
        <f t="shared" si="0"/>
        <v>150765.04035812238</v>
      </c>
      <c r="N18" s="51">
        <v>11</v>
      </c>
      <c r="O18" s="52">
        <v>69803.729856731501</v>
      </c>
      <c r="P18" s="43"/>
      <c r="Q18" s="51">
        <v>46</v>
      </c>
      <c r="R18" s="52">
        <v>48524.173344526695</v>
      </c>
      <c r="S18" s="43"/>
      <c r="T18" s="51">
        <v>81</v>
      </c>
      <c r="U18" s="52">
        <v>6107.9844117197345</v>
      </c>
      <c r="V18" s="195"/>
      <c r="W18" s="195"/>
      <c r="X18" s="211">
        <v>69989.56496160329</v>
      </c>
      <c r="Y18" s="211">
        <v>69803.729856731501</v>
      </c>
      <c r="Z18">
        <f t="shared" si="1"/>
        <v>34534.686202708683</v>
      </c>
    </row>
    <row r="19" spans="1:26" x14ac:dyDescent="0.25">
      <c r="A19" s="44" t="s">
        <v>66</v>
      </c>
      <c r="B19" s="58">
        <v>-1.17E-2</v>
      </c>
      <c r="C19" s="59">
        <v>8.0399999999999999E-2</v>
      </c>
      <c r="D19" s="59">
        <v>0.157</v>
      </c>
      <c r="E19" s="59">
        <v>-2.8400000000000002E-2</v>
      </c>
      <c r="F19" s="60">
        <v>2.7000000000000001E-3</v>
      </c>
      <c r="H19" s="21" t="s">
        <v>37</v>
      </c>
      <c r="I19" s="48">
        <v>53707.839911892763</v>
      </c>
      <c r="J19" s="49">
        <v>59810.916124149197</v>
      </c>
      <c r="K19" s="50">
        <f t="shared" si="0"/>
        <v>113518.75603604196</v>
      </c>
      <c r="N19" s="51">
        <v>12</v>
      </c>
      <c r="O19" s="52">
        <v>69650.063421920495</v>
      </c>
      <c r="P19" s="43"/>
      <c r="Q19" s="41">
        <v>47</v>
      </c>
      <c r="R19" s="52">
        <v>47207.571337564688</v>
      </c>
      <c r="S19" s="43"/>
      <c r="T19" s="51">
        <v>82</v>
      </c>
      <c r="U19" s="52">
        <v>5488.264145437367</v>
      </c>
      <c r="X19" s="204">
        <v>69474.987345984206</v>
      </c>
      <c r="Y19" s="204">
        <v>69650.063421920495</v>
      </c>
      <c r="Z19">
        <f t="shared" si="1"/>
        <v>30651.632365249327</v>
      </c>
    </row>
    <row r="20" spans="1:26" x14ac:dyDescent="0.25">
      <c r="A20" s="44" t="s">
        <v>67</v>
      </c>
      <c r="B20" s="63">
        <v>-2E-3</v>
      </c>
      <c r="C20" s="64">
        <v>1.6E-2</v>
      </c>
      <c r="D20" s="64">
        <v>0.22</v>
      </c>
      <c r="E20" s="64">
        <v>-0.04</v>
      </c>
      <c r="F20" s="65">
        <v>6.0000000000000001E-3</v>
      </c>
      <c r="H20" s="21" t="s">
        <v>38</v>
      </c>
      <c r="I20" s="48">
        <v>39690.280191404396</v>
      </c>
      <c r="J20" s="49">
        <v>44881.449951228402</v>
      </c>
      <c r="K20" s="50">
        <f t="shared" si="0"/>
        <v>84571.73014263279</v>
      </c>
      <c r="N20" s="51">
        <v>13</v>
      </c>
      <c r="O20" s="52">
        <v>69269.215537168493</v>
      </c>
      <c r="P20" s="43"/>
      <c r="Q20" s="51">
        <v>48</v>
      </c>
      <c r="R20" s="52">
        <v>45656.672406944715</v>
      </c>
      <c r="S20" s="43"/>
      <c r="T20" s="51">
        <v>83</v>
      </c>
      <c r="U20" s="52">
        <v>4897.5385783355214</v>
      </c>
      <c r="X20" s="204">
        <v>68905.3678522314</v>
      </c>
      <c r="Y20" s="204">
        <v>69269.215537168493</v>
      </c>
      <c r="Z20">
        <f t="shared" si="1"/>
        <v>132385.13783408189</v>
      </c>
    </row>
    <row r="21" spans="1:26" x14ac:dyDescent="0.25">
      <c r="A21" s="44" t="s">
        <v>68</v>
      </c>
      <c r="B21" s="63">
        <v>5.0000000000000001E-3</v>
      </c>
      <c r="C21" s="64">
        <v>-2.8000000000000001E-2</v>
      </c>
      <c r="D21" s="64">
        <v>0.246</v>
      </c>
      <c r="E21" s="64">
        <v>-2.8000000000000001E-2</v>
      </c>
      <c r="F21" s="65">
        <v>5.0000000000000001E-3</v>
      </c>
      <c r="H21" s="21" t="s">
        <v>39</v>
      </c>
      <c r="I21" s="48">
        <v>29387.641458923128</v>
      </c>
      <c r="J21" s="49">
        <v>33559.45176459878</v>
      </c>
      <c r="K21" s="50">
        <f t="shared" si="0"/>
        <v>62947.093223521908</v>
      </c>
      <c r="N21" s="51">
        <v>14</v>
      </c>
      <c r="O21" s="52">
        <v>68710.146148262225</v>
      </c>
      <c r="P21" s="43"/>
      <c r="Q21" s="41">
        <v>49</v>
      </c>
      <c r="R21" s="52">
        <v>43927.744933734488</v>
      </c>
      <c r="S21" s="43"/>
      <c r="T21" s="51">
        <v>84</v>
      </c>
      <c r="U21" s="52">
        <v>4337.2428439018076</v>
      </c>
      <c r="V21" s="111"/>
      <c r="W21" s="111"/>
      <c r="X21" s="212">
        <v>68377.297652660607</v>
      </c>
      <c r="Y21" s="212">
        <v>68710.146148262225</v>
      </c>
      <c r="Z21">
        <f t="shared" si="1"/>
        <v>110788.12102426044</v>
      </c>
    </row>
    <row r="22" spans="1:26" x14ac:dyDescent="0.25">
      <c r="A22" s="44" t="s">
        <v>69</v>
      </c>
      <c r="B22" s="63">
        <v>6.0000000000000001E-3</v>
      </c>
      <c r="C22" s="64">
        <v>-0.04</v>
      </c>
      <c r="D22" s="64">
        <v>0.22</v>
      </c>
      <c r="E22" s="64">
        <v>1.6E-2</v>
      </c>
      <c r="F22" s="65">
        <v>-2E-3</v>
      </c>
      <c r="H22" s="21" t="s">
        <v>109</v>
      </c>
      <c r="I22" s="48">
        <v>20571.56704506775</v>
      </c>
      <c r="J22" s="49">
        <v>23630.528800309825</v>
      </c>
      <c r="K22" s="50">
        <f t="shared" si="0"/>
        <v>44202.095845377575</v>
      </c>
      <c r="N22" s="51">
        <v>15</v>
      </c>
      <c r="O22" s="42">
        <f t="array" ref="O22:O26">MMULT($B$19:$F$23,$K$8:$K$12)</f>
        <v>68103.200118910027</v>
      </c>
      <c r="P22" s="43">
        <f>SUM(O22:O26)</f>
        <v>334268.78360119666</v>
      </c>
      <c r="Q22" s="51">
        <v>50</v>
      </c>
      <c r="R22" s="42">
        <f t="array" ref="R22:R26">MMULT($B$19:$F$23,$K$15:$K$19)</f>
        <v>42094.928941088103</v>
      </c>
      <c r="S22" s="43">
        <f>SUM(R22:R26)</f>
        <v>192549.71109533421</v>
      </c>
      <c r="T22" s="51">
        <v>85</v>
      </c>
      <c r="U22" s="52">
        <f t="array" ref="U22:U26">MMULT(B19:F23,K22:K26)</f>
        <v>3804.7418049690823</v>
      </c>
      <c r="V22" s="43">
        <f>SUM(U22:U26)</f>
        <v>14432.899725495936</v>
      </c>
      <c r="W22" s="112"/>
      <c r="X22" s="213">
        <v>67916.584620764886</v>
      </c>
      <c r="Y22" s="213">
        <v>68103.200118910027</v>
      </c>
      <c r="Z22">
        <f t="shared" si="1"/>
        <v>34825.344147958756</v>
      </c>
    </row>
    <row r="23" spans="1:26" x14ac:dyDescent="0.25">
      <c r="A23" s="44" t="s">
        <v>70</v>
      </c>
      <c r="B23" s="66">
        <v>2.7000000000000001E-3</v>
      </c>
      <c r="C23" s="67">
        <v>-2.8400000000000002E-2</v>
      </c>
      <c r="D23" s="67">
        <v>0.157</v>
      </c>
      <c r="E23" s="67">
        <v>8.0399999999999999E-2</v>
      </c>
      <c r="F23" s="68">
        <v>-1.17E-2</v>
      </c>
      <c r="H23" s="21" t="s">
        <v>111</v>
      </c>
      <c r="I23" s="214">
        <v>12618.816683058842</v>
      </c>
      <c r="J23" s="214">
        <v>14966.412209288032</v>
      </c>
      <c r="K23" s="50">
        <f t="shared" si="0"/>
        <v>27585.228892346873</v>
      </c>
      <c r="N23" s="51">
        <v>16</v>
      </c>
      <c r="O23" s="52">
        <v>67515.981888332375</v>
      </c>
      <c r="P23" s="43"/>
      <c r="Q23" s="41">
        <v>51</v>
      </c>
      <c r="R23" s="52">
        <v>40249.259116202113</v>
      </c>
      <c r="S23" s="43"/>
      <c r="T23" s="51">
        <v>86</v>
      </c>
      <c r="U23" s="52">
        <v>3304.0208366607244</v>
      </c>
      <c r="V23" s="197"/>
      <c r="W23" s="113"/>
      <c r="X23" s="212">
        <v>67408.796301142895</v>
      </c>
      <c r="Y23" s="212">
        <v>67515.981888332375</v>
      </c>
      <c r="Z23">
        <f t="shared" si="1"/>
        <v>11488.750101153712</v>
      </c>
    </row>
    <row r="24" spans="1:26" x14ac:dyDescent="0.25">
      <c r="A24" s="44"/>
      <c r="B24" s="227" t="s">
        <v>71</v>
      </c>
      <c r="C24" s="227"/>
      <c r="D24" s="227"/>
      <c r="E24" s="227"/>
      <c r="F24" s="227"/>
      <c r="H24" s="21" t="s">
        <v>112</v>
      </c>
      <c r="I24" s="214">
        <v>6340.7571197572979</v>
      </c>
      <c r="J24" s="214">
        <v>8092.1426057386398</v>
      </c>
      <c r="K24" s="50">
        <f t="shared" si="0"/>
        <v>14432.899725495938</v>
      </c>
      <c r="N24" s="51">
        <v>17</v>
      </c>
      <c r="O24" s="52">
        <v>66889.674222101559</v>
      </c>
      <c r="P24" s="43"/>
      <c r="Q24" s="51">
        <v>52</v>
      </c>
      <c r="R24" s="52">
        <v>38438.279426288093</v>
      </c>
      <c r="S24" s="43"/>
      <c r="T24" s="51">
        <v>87</v>
      </c>
      <c r="U24" s="52">
        <v>2843.6019890732055</v>
      </c>
      <c r="V24" s="111"/>
      <c r="W24" s="113"/>
      <c r="X24" s="212">
        <v>66867.189804455295</v>
      </c>
      <c r="Y24" s="212">
        <v>66889.674222101559</v>
      </c>
      <c r="Z24">
        <f t="shared" si="1"/>
        <v>505.54903689166275</v>
      </c>
    </row>
    <row r="25" spans="1:26" x14ac:dyDescent="0.25">
      <c r="A25" s="44" t="s">
        <v>72</v>
      </c>
      <c r="B25" s="58">
        <v>-1.5E-3</v>
      </c>
      <c r="C25" s="59">
        <v>-8.3999999999999995E-3</v>
      </c>
      <c r="D25" s="59">
        <v>8.2199999999999995E-2</v>
      </c>
      <c r="E25" s="59">
        <v>0.14680000000000001</v>
      </c>
      <c r="F25" s="60">
        <v>-1.9099999999999999E-2</v>
      </c>
      <c r="H25" s="21" t="s">
        <v>138</v>
      </c>
      <c r="I25" s="214">
        <v>2442.2260886888812</v>
      </c>
      <c r="J25" s="214">
        <v>3426.2234686881311</v>
      </c>
      <c r="K25" s="50">
        <f t="shared" si="0"/>
        <v>5868.4495573770128</v>
      </c>
      <c r="N25" s="51">
        <v>18</v>
      </c>
      <c r="O25" s="52">
        <v>66230.924491421247</v>
      </c>
      <c r="P25" s="43"/>
      <c r="Q25" s="41">
        <v>53</v>
      </c>
      <c r="R25" s="52">
        <v>36712.309134637166</v>
      </c>
      <c r="S25" s="43"/>
      <c r="T25" s="51">
        <v>88</v>
      </c>
      <c r="U25" s="52">
        <v>2427.4160823188945</v>
      </c>
      <c r="V25" s="111"/>
      <c r="W25" s="113"/>
      <c r="X25" s="212">
        <v>66380.035475533397</v>
      </c>
      <c r="Y25" s="212">
        <v>66230.924491421247</v>
      </c>
      <c r="Z25">
        <f t="shared" si="1"/>
        <v>22234.085582894033</v>
      </c>
    </row>
    <row r="26" spans="1:26" x14ac:dyDescent="0.25">
      <c r="A26" s="44" t="s">
        <v>73</v>
      </c>
      <c r="B26" s="63">
        <v>-3.8E-3</v>
      </c>
      <c r="C26" s="64">
        <v>7.1999999999999998E-3</v>
      </c>
      <c r="D26" s="64">
        <v>1.72E-2</v>
      </c>
      <c r="E26" s="64">
        <v>0.19919999999999999</v>
      </c>
      <c r="F26" s="65">
        <v>-1.9800000000000002E-2</v>
      </c>
      <c r="H26" s="21" t="s">
        <v>139</v>
      </c>
      <c r="I26" s="214">
        <v>695.17299404937944</v>
      </c>
      <c r="J26" s="214">
        <v>1065.0617992678958</v>
      </c>
      <c r="K26" s="50">
        <f t="shared" si="0"/>
        <v>1760.2347933172753</v>
      </c>
      <c r="N26" s="51">
        <v>19</v>
      </c>
      <c r="O26" s="52">
        <v>65529.002880431406</v>
      </c>
      <c r="P26" s="43"/>
      <c r="Q26" s="51">
        <v>54</v>
      </c>
      <c r="R26" s="52">
        <v>35054.934477118732</v>
      </c>
      <c r="S26" s="43"/>
      <c r="T26" s="51">
        <v>89</v>
      </c>
      <c r="U26" s="52">
        <v>2053.1190124740301</v>
      </c>
      <c r="V26" s="111"/>
      <c r="W26" s="111"/>
      <c r="X26" s="212">
        <v>65696.177399300097</v>
      </c>
      <c r="Y26" s="212">
        <v>65529.002880431406</v>
      </c>
      <c r="Z26">
        <f t="shared" si="1"/>
        <v>27947.319758978301</v>
      </c>
    </row>
    <row r="27" spans="1:26" ht="15.75" thickBot="1" x14ac:dyDescent="0.3">
      <c r="A27" s="44" t="s">
        <v>74</v>
      </c>
      <c r="B27" s="63">
        <v>-2.8E-3</v>
      </c>
      <c r="C27" s="64">
        <v>1.12E-2</v>
      </c>
      <c r="D27" s="64">
        <v>-2.4799999999999999E-2</v>
      </c>
      <c r="E27" s="64">
        <v>0.22720000000000001</v>
      </c>
      <c r="F27" s="65">
        <v>-1.0800000000000001E-2</v>
      </c>
      <c r="H27" s="69" t="s">
        <v>197</v>
      </c>
      <c r="I27" s="215">
        <v>149.90892075636538</v>
      </c>
      <c r="J27" s="215">
        <v>252.63335452839846</v>
      </c>
      <c r="K27" s="72">
        <f t="shared" si="0"/>
        <v>402.54227528476383</v>
      </c>
      <c r="N27" s="51">
        <v>20</v>
      </c>
      <c r="O27" s="42">
        <f t="array" ref="O27:O31">MMULT($B$19:$F$23,$K$9:$K$13)</f>
        <v>64838.710462518131</v>
      </c>
      <c r="P27" s="43">
        <f>SUM(O27:O31)</f>
        <v>314619.49529091461</v>
      </c>
      <c r="Q27" s="41">
        <v>55</v>
      </c>
      <c r="R27" s="42">
        <f t="array" ref="R27:R31">MMULT($B$19:$F$23,$K$16:$K$20)</f>
        <v>33406.597058976084</v>
      </c>
      <c r="S27" s="43">
        <f>SUM(R27:R31)</f>
        <v>150765.04035812238</v>
      </c>
      <c r="T27" s="51">
        <v>90</v>
      </c>
      <c r="U27" s="52">
        <f t="array" ref="U27:U31">MMULT(B25:F29,K22:K26)</f>
        <v>1716.2332014425715</v>
      </c>
      <c r="V27" s="43">
        <f>SUM(U27:U31)</f>
        <v>5868.4495573770128</v>
      </c>
      <c r="W27" s="111"/>
      <c r="X27" s="212">
        <v>65006.712680717697</v>
      </c>
      <c r="Y27" s="212">
        <v>64838.710462518131</v>
      </c>
      <c r="Z27">
        <f t="shared" si="1"/>
        <v>28224.745319974725</v>
      </c>
    </row>
    <row r="28" spans="1:26" x14ac:dyDescent="0.25">
      <c r="A28" s="44" t="s">
        <v>75</v>
      </c>
      <c r="B28" s="63">
        <v>1.2999999999999999E-3</v>
      </c>
      <c r="C28" s="64">
        <v>2.8E-3</v>
      </c>
      <c r="D28" s="64">
        <v>-4.02E-2</v>
      </c>
      <c r="E28" s="64">
        <v>0.2268</v>
      </c>
      <c r="F28" s="65">
        <v>9.2999999999999992E-3</v>
      </c>
      <c r="N28" s="51">
        <v>21</v>
      </c>
      <c r="O28" s="52">
        <v>64088.308799882085</v>
      </c>
      <c r="P28" s="43"/>
      <c r="Q28" s="51">
        <v>56</v>
      </c>
      <c r="R28" s="52">
        <v>31745.883190722034</v>
      </c>
      <c r="S28" s="43"/>
      <c r="T28" s="51">
        <v>91</v>
      </c>
      <c r="U28" s="52">
        <v>1413.0340620128115</v>
      </c>
      <c r="V28" s="111"/>
      <c r="W28" s="111"/>
      <c r="X28" s="212">
        <v>64195.354945074796</v>
      </c>
      <c r="Y28" s="212">
        <v>64088.308799882085</v>
      </c>
      <c r="Z28">
        <f t="shared" si="1"/>
        <v>11458.877200619021</v>
      </c>
    </row>
    <row r="29" spans="1:26" x14ac:dyDescent="0.25">
      <c r="A29" s="44" t="s">
        <v>76</v>
      </c>
      <c r="B29" s="66">
        <v>6.7999999999999996E-3</v>
      </c>
      <c r="C29" s="67">
        <v>-1.2800000000000001E-2</v>
      </c>
      <c r="D29" s="67">
        <v>-3.44E-2</v>
      </c>
      <c r="E29" s="67">
        <v>0.2</v>
      </c>
      <c r="F29" s="68">
        <v>4.0399999999999998E-2</v>
      </c>
      <c r="N29" s="51">
        <v>22</v>
      </c>
      <c r="O29" s="52">
        <v>63143.250291672703</v>
      </c>
      <c r="P29" s="43"/>
      <c r="Q29" s="41">
        <v>57</v>
      </c>
      <c r="R29" s="52">
        <v>30115.894511643637</v>
      </c>
      <c r="S29" s="43"/>
      <c r="T29" s="51">
        <v>92</v>
      </c>
      <c r="U29" s="52">
        <v>1141.5539857031595</v>
      </c>
      <c r="X29" s="204">
        <v>62881.387557161404</v>
      </c>
      <c r="Y29" s="204">
        <v>63143.250291672703</v>
      </c>
      <c r="Z29">
        <f t="shared" si="1"/>
        <v>68572.091725734645</v>
      </c>
    </row>
    <row r="30" spans="1:26" x14ac:dyDescent="0.25">
      <c r="A30" s="44"/>
      <c r="B30" s="227" t="s">
        <v>77</v>
      </c>
      <c r="C30" s="227"/>
      <c r="D30" s="227"/>
      <c r="E30" s="227"/>
      <c r="F30" s="227"/>
      <c r="N30" s="51">
        <v>23</v>
      </c>
      <c r="O30" s="52">
        <v>61950.450813319127</v>
      </c>
      <c r="P30" s="43"/>
      <c r="Q30" s="51">
        <v>58</v>
      </c>
      <c r="R30" s="52">
        <v>28523.180686278047</v>
      </c>
      <c r="S30" s="43"/>
      <c r="T30" s="51">
        <v>93</v>
      </c>
      <c r="U30" s="52">
        <v>901.83333972358264</v>
      </c>
      <c r="X30" s="204">
        <v>61731.7230981748</v>
      </c>
      <c r="Y30" s="204">
        <v>61950.450813319127</v>
      </c>
      <c r="Z30">
        <f t="shared" si="1"/>
        <v>47841.813372257762</v>
      </c>
    </row>
    <row r="31" spans="1:26" x14ac:dyDescent="0.25">
      <c r="A31" s="44" t="s">
        <v>78</v>
      </c>
      <c r="B31" s="58">
        <v>1.15E-2</v>
      </c>
      <c r="C31" s="59">
        <v>-2.8400000000000002E-2</v>
      </c>
      <c r="D31" s="59">
        <v>-1.5800000000000002E-2</v>
      </c>
      <c r="E31" s="59">
        <v>0.15079999999999999</v>
      </c>
      <c r="F31" s="60">
        <v>8.1900000000000001E-2</v>
      </c>
      <c r="N31" s="51">
        <v>24</v>
      </c>
      <c r="O31" s="52">
        <v>60598.774923522542</v>
      </c>
      <c r="P31" s="43"/>
      <c r="Q31" s="41">
        <v>59</v>
      </c>
      <c r="R31" s="52">
        <v>26973.484910502582</v>
      </c>
      <c r="S31" s="43"/>
      <c r="T31" s="51">
        <v>94</v>
      </c>
      <c r="U31" s="216">
        <v>695.79496849488771</v>
      </c>
      <c r="X31" s="204">
        <v>60804.317009785897</v>
      </c>
      <c r="Y31" s="204">
        <v>60598.774923522542</v>
      </c>
      <c r="Z31">
        <f t="shared" si="1"/>
        <v>42247.549225492294</v>
      </c>
    </row>
    <row r="32" spans="1:26" x14ac:dyDescent="0.25">
      <c r="A32" s="44" t="s">
        <v>79</v>
      </c>
      <c r="B32" s="63">
        <v>1.29E-2</v>
      </c>
      <c r="C32" s="64">
        <v>-3.56E-2</v>
      </c>
      <c r="D32" s="64">
        <v>5.4000000000000003E-3</v>
      </c>
      <c r="E32" s="64">
        <v>8.4400000000000003E-2</v>
      </c>
      <c r="F32" s="65">
        <v>0.13289999999999999</v>
      </c>
      <c r="N32" s="51">
        <v>25</v>
      </c>
      <c r="O32" s="42">
        <f t="array" ref="O32:O36">MMULT($B$19:$F$23,$K$10:$K$14)</f>
        <v>59187.602089497443</v>
      </c>
      <c r="P32" s="43">
        <f>SUM(O32:O36)</f>
        <v>285294.88820341369</v>
      </c>
      <c r="Q32" s="51">
        <v>60</v>
      </c>
      <c r="R32" s="42">
        <f t="array" ref="R32:R36">MMULT($B$19:$F$23,$K$17:$K$21)</f>
        <v>25459.242338288954</v>
      </c>
      <c r="S32" s="43">
        <f>SUM(R32:R36)</f>
        <v>113518.75603604196</v>
      </c>
      <c r="T32" s="51">
        <v>95</v>
      </c>
      <c r="U32" s="216">
        <f t="array" ref="U32:U36">MMULT(B31:F35,K22:K26)</f>
        <v>525.98920884149345</v>
      </c>
      <c r="V32" s="43">
        <f>SUM(U32:U36)</f>
        <v>1760.2347933172755</v>
      </c>
      <c r="X32" s="204">
        <v>59585.727481823997</v>
      </c>
      <c r="Y32" s="204">
        <v>59187.602089497443</v>
      </c>
      <c r="Z32">
        <f t="shared" si="1"/>
        <v>158503.82801517253</v>
      </c>
    </row>
    <row r="33" spans="1:26" x14ac:dyDescent="0.25">
      <c r="A33" s="44" t="s">
        <v>80</v>
      </c>
      <c r="B33" s="63">
        <v>8.3999999999999995E-3</v>
      </c>
      <c r="C33" s="64">
        <v>-2.5600000000000001E-2</v>
      </c>
      <c r="D33" s="64">
        <v>1.84E-2</v>
      </c>
      <c r="E33" s="64">
        <v>6.4000000000000003E-3</v>
      </c>
      <c r="F33" s="65">
        <v>0.19239999999999999</v>
      </c>
      <c r="N33" s="51">
        <v>26</v>
      </c>
      <c r="O33" s="52">
        <v>57879.633402547384</v>
      </c>
      <c r="P33" s="43"/>
      <c r="Q33" s="41">
        <v>61</v>
      </c>
      <c r="R33" s="52">
        <v>23996.08090510434</v>
      </c>
      <c r="S33" s="43"/>
      <c r="T33" s="51">
        <v>96</v>
      </c>
      <c r="U33" s="216">
        <v>395.34289302998593</v>
      </c>
      <c r="X33" s="204">
        <v>57939.175501565405</v>
      </c>
      <c r="Y33" s="204">
        <v>57879.633402547384</v>
      </c>
      <c r="Z33">
        <f t="shared" si="1"/>
        <v>3545.2615554718127</v>
      </c>
    </row>
    <row r="34" spans="1:26" x14ac:dyDescent="0.25">
      <c r="A34" s="44" t="s">
        <v>81</v>
      </c>
      <c r="B34" s="63">
        <v>-4.4999999999999997E-3</v>
      </c>
      <c r="C34" s="64">
        <v>0.01</v>
      </c>
      <c r="D34" s="64">
        <v>1.2999999999999999E-2</v>
      </c>
      <c r="E34" s="64">
        <v>-7.8E-2</v>
      </c>
      <c r="F34" s="65">
        <v>0.25950000000000001</v>
      </c>
      <c r="N34" s="51">
        <v>27</v>
      </c>
      <c r="O34" s="52">
        <v>56784.606735288922</v>
      </c>
      <c r="P34" s="43"/>
      <c r="Q34" s="51">
        <v>62</v>
      </c>
      <c r="R34" s="52">
        <v>22613.668432439456</v>
      </c>
      <c r="S34" s="43"/>
      <c r="T34" s="51">
        <v>97</v>
      </c>
      <c r="U34" s="216">
        <v>306.90835180767351</v>
      </c>
      <c r="X34" s="204">
        <v>56597.646701481004</v>
      </c>
      <c r="Y34" s="204">
        <v>56784.606735288922</v>
      </c>
      <c r="Z34">
        <f t="shared" si="1"/>
        <v>34954.054241457874</v>
      </c>
    </row>
    <row r="35" spans="1:26" x14ac:dyDescent="0.25">
      <c r="A35" s="73" t="s">
        <v>82</v>
      </c>
      <c r="B35" s="66">
        <v>-2.8299999999999999E-2</v>
      </c>
      <c r="C35" s="67">
        <v>7.9600000000000004E-2</v>
      </c>
      <c r="D35" s="67">
        <v>-2.1000000000000001E-2</v>
      </c>
      <c r="E35" s="67">
        <v>-0.1636</v>
      </c>
      <c r="F35" s="68">
        <v>0.33329999999999999</v>
      </c>
      <c r="N35" s="51">
        <v>28</v>
      </c>
      <c r="O35" s="52">
        <v>55993.703658157901</v>
      </c>
      <c r="P35" s="43"/>
      <c r="Q35" s="41">
        <v>63</v>
      </c>
      <c r="R35" s="52">
        <v>21326.076476011425</v>
      </c>
      <c r="S35" s="43"/>
      <c r="T35" s="51">
        <v>98</v>
      </c>
      <c r="U35" s="216">
        <v>263.61241744114278</v>
      </c>
      <c r="X35" s="204">
        <v>55911.488295330404</v>
      </c>
      <c r="Y35" s="204">
        <v>55993.703658157901</v>
      </c>
      <c r="Z35">
        <f t="shared" si="1"/>
        <v>6759.3658848570249</v>
      </c>
    </row>
    <row r="36" spans="1:26" ht="14.45" customHeight="1" x14ac:dyDescent="0.25">
      <c r="A36" s="228" t="s">
        <v>83</v>
      </c>
      <c r="B36" s="228"/>
      <c r="C36" s="228"/>
      <c r="D36" s="228"/>
      <c r="E36" s="228"/>
      <c r="F36" s="228"/>
      <c r="N36" s="51">
        <v>29</v>
      </c>
      <c r="O36" s="52">
        <v>55449.342317922041</v>
      </c>
      <c r="P36" s="43"/>
      <c r="Q36" s="51">
        <v>64</v>
      </c>
      <c r="R36" s="52">
        <v>20123.687884197785</v>
      </c>
      <c r="S36" s="43"/>
      <c r="T36" s="51">
        <v>99</v>
      </c>
      <c r="U36" s="216">
        <v>268.38192219697987</v>
      </c>
      <c r="X36" s="204">
        <v>55260.850223212903</v>
      </c>
      <c r="Y36" s="204">
        <v>55449.342317922041</v>
      </c>
      <c r="Z36">
        <f t="shared" si="1"/>
        <v>35529.269767838552</v>
      </c>
    </row>
    <row r="37" spans="1:26" ht="15.75" thickBot="1" x14ac:dyDescent="0.3">
      <c r="A37" s="228"/>
      <c r="B37" s="228"/>
      <c r="C37" s="228"/>
      <c r="D37" s="228"/>
      <c r="E37" s="228"/>
      <c r="F37" s="228"/>
      <c r="N37" s="51">
        <v>30</v>
      </c>
      <c r="O37" s="42">
        <f t="array" ref="O37:O41">MMULT($B$19:$F$23,$K$11:$K$15)</f>
        <v>54962.762838007831</v>
      </c>
      <c r="P37" s="43">
        <f>SUM(O37:O41)</f>
        <v>271671.21633162489</v>
      </c>
      <c r="Q37" s="41">
        <v>65</v>
      </c>
      <c r="R37" s="42">
        <f t="array" ref="R37:R41">MMULT($B$19:$F$23,$K$18:$K$22)</f>
        <v>18972.366856735585</v>
      </c>
      <c r="S37" s="43">
        <f>SUM(R37:R41)</f>
        <v>84571.730142632776</v>
      </c>
      <c r="T37" s="56" t="s">
        <v>198</v>
      </c>
      <c r="U37" s="217">
        <v>403</v>
      </c>
      <c r="X37" s="204">
        <v>54758.407800483896</v>
      </c>
      <c r="Y37" s="204">
        <v>54962.762838007831</v>
      </c>
      <c r="Z37">
        <f t="shared" si="1"/>
        <v>41760.981361409133</v>
      </c>
    </row>
    <row r="38" spans="1:26" x14ac:dyDescent="0.25">
      <c r="A38" s="228"/>
      <c r="B38" s="228"/>
      <c r="C38" s="228"/>
      <c r="D38" s="228"/>
      <c r="E38" s="228"/>
      <c r="F38" s="228"/>
      <c r="N38" s="51">
        <v>31</v>
      </c>
      <c r="O38" s="52">
        <v>54492.458516329054</v>
      </c>
      <c r="Q38" s="51">
        <v>66</v>
      </c>
      <c r="R38" s="52">
        <v>17867.879493371031</v>
      </c>
      <c r="T38" s="218"/>
      <c r="X38" s="204">
        <v>54470.423663083602</v>
      </c>
      <c r="Y38" s="204">
        <v>54492.458516329054</v>
      </c>
      <c r="Z38">
        <f t="shared" si="1"/>
        <v>485.53475754859829</v>
      </c>
    </row>
    <row r="39" spans="1:26" x14ac:dyDescent="0.25">
      <c r="A39" s="228"/>
      <c r="B39" s="228"/>
      <c r="C39" s="228"/>
      <c r="D39" s="228"/>
      <c r="E39" s="228"/>
      <c r="F39" s="228"/>
      <c r="N39" s="51">
        <v>32</v>
      </c>
      <c r="O39" s="52">
        <v>54177.037170906922</v>
      </c>
      <c r="Q39" s="41">
        <v>67</v>
      </c>
      <c r="R39" s="52">
        <v>16838.437516837377</v>
      </c>
      <c r="X39" s="204">
        <v>54228.878470968601</v>
      </c>
      <c r="Y39" s="204">
        <v>54177.037170906922</v>
      </c>
      <c r="Z39">
        <f t="shared" si="1"/>
        <v>2687.5203920849708</v>
      </c>
    </row>
    <row r="40" spans="1:26" x14ac:dyDescent="0.25">
      <c r="N40" s="51">
        <v>33</v>
      </c>
      <c r="O40" s="52">
        <v>54032.143932826439</v>
      </c>
      <c r="Q40" s="51">
        <v>68</v>
      </c>
      <c r="R40" s="52">
        <v>15888.369931971865</v>
      </c>
      <c r="X40" s="204">
        <v>54115.653820202402</v>
      </c>
      <c r="Y40" s="204">
        <v>54032.143932826439</v>
      </c>
      <c r="Z40">
        <f t="shared" si="1"/>
        <v>6973.9012895460983</v>
      </c>
    </row>
    <row r="41" spans="1:26" ht="15.75" thickBot="1" x14ac:dyDescent="0.3">
      <c r="N41" s="56">
        <v>34</v>
      </c>
      <c r="O41" s="52">
        <v>54006.813873554653</v>
      </c>
      <c r="Q41" s="74">
        <v>69</v>
      </c>
      <c r="R41" s="75">
        <v>15004.676343716932</v>
      </c>
      <c r="X41" s="204">
        <v>54097.852576886398</v>
      </c>
      <c r="Y41" s="204">
        <v>54006.813873554653</v>
      </c>
      <c r="Z41">
        <f t="shared" si="1"/>
        <v>8288.0455043255934</v>
      </c>
    </row>
    <row r="42" spans="1:26" x14ac:dyDescent="0.25">
      <c r="X42" s="204">
        <v>54112.213915642104</v>
      </c>
      <c r="Y42" s="204">
        <v>54026.343919504012</v>
      </c>
      <c r="Z42">
        <f t="shared" si="1"/>
        <v>7373.6562367558772</v>
      </c>
    </row>
    <row r="43" spans="1:26" x14ac:dyDescent="0.25">
      <c r="X43" s="204">
        <v>54099.478932199403</v>
      </c>
      <c r="Y43" s="204">
        <v>54019.74633162711</v>
      </c>
      <c r="Z43">
        <f t="shared" si="1"/>
        <v>6357.2875940208896</v>
      </c>
    </row>
    <row r="44" spans="1:26" x14ac:dyDescent="0.25">
      <c r="X44" s="204">
        <v>53982.243046951597</v>
      </c>
      <c r="Y44" s="204">
        <v>53960.387020449532</v>
      </c>
      <c r="Z44">
        <f t="shared" si="1"/>
        <v>477.68589445893252</v>
      </c>
    </row>
    <row r="45" spans="1:26" x14ac:dyDescent="0.25">
      <c r="X45" s="204">
        <v>53741.865456965694</v>
      </c>
      <c r="Y45" s="204">
        <v>53808.053330200542</v>
      </c>
      <c r="Z45">
        <f t="shared" si="1"/>
        <v>4380.8345633523968</v>
      </c>
    </row>
    <row r="46" spans="1:26" x14ac:dyDescent="0.25">
      <c r="X46" s="204">
        <v>53436.247583096207</v>
      </c>
      <c r="Y46" s="204">
        <v>53557.518333073836</v>
      </c>
      <c r="Z46">
        <f t="shared" si="1"/>
        <v>14706.594800136785</v>
      </c>
    </row>
    <row r="47" spans="1:26" x14ac:dyDescent="0.25">
      <c r="X47" s="204">
        <v>53101.8661622293</v>
      </c>
      <c r="Y47" s="204">
        <v>53255.980717944323</v>
      </c>
      <c r="Z47">
        <f t="shared" si="1"/>
        <v>23751.296283238935</v>
      </c>
    </row>
    <row r="48" spans="1:26" x14ac:dyDescent="0.25">
      <c r="X48" s="204">
        <v>52730.099300122194</v>
      </c>
      <c r="Y48" s="204">
        <v>52877.652053522099</v>
      </c>
      <c r="Z48">
        <f t="shared" si="1"/>
        <v>21771.815035893105</v>
      </c>
    </row>
    <row r="49" spans="24:26" x14ac:dyDescent="0.25">
      <c r="X49" s="204">
        <v>52290.699178016301</v>
      </c>
      <c r="Y49" s="204">
        <v>52332.010460710306</v>
      </c>
      <c r="Z49">
        <f t="shared" si="1"/>
        <v>1706.6220778240017</v>
      </c>
    </row>
    <row r="50" spans="24:26" x14ac:dyDescent="0.25">
      <c r="X50" s="204">
        <v>51696.596195635895</v>
      </c>
      <c r="Y50" s="204">
        <v>51583.02309518266</v>
      </c>
      <c r="Z50">
        <f t="shared" si="1"/>
        <v>12898.849146560695</v>
      </c>
    </row>
    <row r="51" spans="24:26" x14ac:dyDescent="0.25">
      <c r="X51" s="204">
        <v>50879.682512827596</v>
      </c>
      <c r="Y51" s="204">
        <v>50650.277021471928</v>
      </c>
      <c r="Z51">
        <f t="shared" si="1"/>
        <v>52626.879464135622</v>
      </c>
    </row>
    <row r="52" spans="24:26" x14ac:dyDescent="0.25">
      <c r="X52" s="204">
        <v>49840.935615743205</v>
      </c>
      <c r="Y52" s="204">
        <v>49634.440479410019</v>
      </c>
      <c r="Z52">
        <f t="shared" si="1"/>
        <v>42640.241329260927</v>
      </c>
    </row>
    <row r="53" spans="24:26" x14ac:dyDescent="0.25">
      <c r="X53" s="204">
        <v>48586.236909933607</v>
      </c>
      <c r="Y53" s="204">
        <v>48524.173344526695</v>
      </c>
      <c r="Z53">
        <f t="shared" si="1"/>
        <v>3851.8861510180373</v>
      </c>
    </row>
    <row r="54" spans="24:26" x14ac:dyDescent="0.25">
      <c r="X54" s="204">
        <v>47137.290765733094</v>
      </c>
      <c r="Y54" s="204">
        <v>47207.571337564688</v>
      </c>
      <c r="Z54">
        <f t="shared" si="1"/>
        <v>4939.3587769758424</v>
      </c>
    </row>
    <row r="55" spans="24:26" x14ac:dyDescent="0.25">
      <c r="X55" s="204">
        <v>45542.650220311101</v>
      </c>
      <c r="Y55" s="204">
        <v>45656.672406944715</v>
      </c>
      <c r="Z55">
        <f t="shared" si="1"/>
        <v>13001.059044710744</v>
      </c>
    </row>
    <row r="56" spans="24:26" x14ac:dyDescent="0.25">
      <c r="X56" s="204">
        <v>43843.488990459598</v>
      </c>
      <c r="Y56" s="204">
        <v>43927.744933734488</v>
      </c>
      <c r="Z56">
        <f t="shared" si="1"/>
        <v>7099.0639771413862</v>
      </c>
    </row>
    <row r="57" spans="24:26" x14ac:dyDescent="0.25">
      <c r="X57" s="204">
        <v>42072.883595022504</v>
      </c>
      <c r="Y57" s="204">
        <v>42094.928941088103</v>
      </c>
      <c r="Z57">
        <f t="shared" si="1"/>
        <v>485.99728315202157</v>
      </c>
    </row>
    <row r="58" spans="24:26" x14ac:dyDescent="0.25">
      <c r="X58" s="204">
        <v>40268.2180458148</v>
      </c>
      <c r="Y58" s="204">
        <v>40249.259116202113</v>
      </c>
      <c r="Z58">
        <f t="shared" si="1"/>
        <v>359.44101205881685</v>
      </c>
    </row>
    <row r="59" spans="24:26" x14ac:dyDescent="0.25">
      <c r="X59" s="204">
        <v>38472.384923773294</v>
      </c>
      <c r="Y59" s="204">
        <v>38438.279426288093</v>
      </c>
      <c r="Z59">
        <f t="shared" si="1"/>
        <v>1163.184958713075</v>
      </c>
    </row>
    <row r="60" spans="24:26" x14ac:dyDescent="0.25">
      <c r="X60" s="204">
        <v>36718.591954948497</v>
      </c>
      <c r="Y60" s="204">
        <v>36712.309134637166</v>
      </c>
      <c r="Z60">
        <f t="shared" si="1"/>
        <v>39.473831064477217</v>
      </c>
    </row>
    <row r="61" spans="24:26" x14ac:dyDescent="0.25">
      <c r="X61" s="204">
        <v>35017.632575775104</v>
      </c>
      <c r="Y61" s="204">
        <v>35054.934477118732</v>
      </c>
      <c r="Z61">
        <f t="shared" si="1"/>
        <v>1391.4318438497439</v>
      </c>
    </row>
    <row r="62" spans="24:26" x14ac:dyDescent="0.25">
      <c r="X62" s="204">
        <v>33361.051436207097</v>
      </c>
      <c r="Y62" s="204">
        <v>33406.597058976084</v>
      </c>
      <c r="Z62">
        <f t="shared" si="1"/>
        <v>2074.4037534148219</v>
      </c>
    </row>
    <row r="63" spans="24:26" x14ac:dyDescent="0.25">
      <c r="X63" s="204">
        <v>31735.325947385201</v>
      </c>
      <c r="Y63" s="204">
        <v>31745.883190722034</v>
      </c>
      <c r="Z63">
        <f t="shared" si="1"/>
        <v>111.4553868730936</v>
      </c>
    </row>
    <row r="64" spans="24:26" x14ac:dyDescent="0.25">
      <c r="X64" s="204">
        <v>30132.2421018938</v>
      </c>
      <c r="Y64" s="204">
        <v>30115.894511643637</v>
      </c>
      <c r="Z64">
        <f t="shared" si="1"/>
        <v>267.24370698723072</v>
      </c>
    </row>
    <row r="65" spans="24:26" x14ac:dyDescent="0.25">
      <c r="X65" s="204">
        <v>28547.8060319299</v>
      </c>
      <c r="Y65" s="204">
        <v>28523.180686278047</v>
      </c>
      <c r="Z65">
        <f t="shared" si="1"/>
        <v>606.40764847325624</v>
      </c>
    </row>
    <row r="66" spans="24:26" x14ac:dyDescent="0.25">
      <c r="X66" s="204">
        <v>26988.614840706399</v>
      </c>
      <c r="Y66" s="204">
        <v>26973.484910502582</v>
      </c>
      <c r="Z66">
        <f t="shared" si="1"/>
        <v>228.91478797237124</v>
      </c>
    </row>
    <row r="67" spans="24:26" x14ac:dyDescent="0.25">
      <c r="X67" s="204">
        <v>25474.730376794199</v>
      </c>
      <c r="Y67" s="204">
        <v>25459.242338288954</v>
      </c>
      <c r="Z67">
        <f t="shared" si="1"/>
        <v>239.87933673997162</v>
      </c>
    </row>
    <row r="68" spans="24:26" x14ac:dyDescent="0.25">
      <c r="X68" s="204">
        <v>24021.863593537098</v>
      </c>
      <c r="Y68" s="204">
        <v>23996.08090510434</v>
      </c>
      <c r="Z68">
        <f t="shared" si="1"/>
        <v>664.74702282071098</v>
      </c>
    </row>
    <row r="69" spans="24:26" x14ac:dyDescent="0.25">
      <c r="X69" s="204">
        <v>22633.318555455699</v>
      </c>
      <c r="Y69" s="204">
        <v>22613.668432439456</v>
      </c>
      <c r="Z69">
        <f t="shared" si="1"/>
        <v>386.12733455348348</v>
      </c>
    </row>
    <row r="70" spans="24:26" x14ac:dyDescent="0.25">
      <c r="X70" s="204">
        <v>21314.194854663401</v>
      </c>
      <c r="Y70" s="204">
        <v>21326.076476011425</v>
      </c>
      <c r="Z70">
        <f t="shared" si="1"/>
        <v>141.17292585782096</v>
      </c>
    </row>
    <row r="71" spans="24:26" x14ac:dyDescent="0.25">
      <c r="X71" s="204">
        <v>20074.648655591562</v>
      </c>
      <c r="Y71" s="204">
        <v>20123.687884197785</v>
      </c>
      <c r="Z71">
        <f t="shared" si="1"/>
        <v>2404.8459422934329</v>
      </c>
    </row>
    <row r="72" spans="24:26" x14ac:dyDescent="0.25">
      <c r="X72" s="204">
        <v>18917.749423411908</v>
      </c>
      <c r="Y72" s="204">
        <v>18972.366856735585</v>
      </c>
      <c r="Z72">
        <f t="shared" ref="Z72:Z107" si="2">(X72-Y72)^2</f>
        <v>2983.0640228663779</v>
      </c>
    </row>
    <row r="73" spans="24:26" x14ac:dyDescent="0.25">
      <c r="X73" s="204">
        <v>17841.18306297862</v>
      </c>
      <c r="Y73" s="204">
        <v>17867.879493371031</v>
      </c>
      <c r="Z73">
        <f t="shared" si="2"/>
        <v>712.69939569682163</v>
      </c>
    </row>
    <row r="74" spans="24:26" x14ac:dyDescent="0.25">
      <c r="X74" s="204">
        <v>16843.665838999979</v>
      </c>
      <c r="Y74" s="204">
        <v>16838.437516837377</v>
      </c>
      <c r="Z74">
        <f t="shared" si="2"/>
        <v>27.335352635956571</v>
      </c>
    </row>
    <row r="75" spans="24:26" x14ac:dyDescent="0.25">
      <c r="X75" s="204">
        <v>15923.10667599404</v>
      </c>
      <c r="Y75" s="204">
        <v>15888.369931971865</v>
      </c>
      <c r="Z75">
        <f t="shared" si="2"/>
        <v>1206.6413852621188</v>
      </c>
    </row>
    <row r="76" spans="24:26" x14ac:dyDescent="0.25">
      <c r="X76" s="204">
        <v>15046.02514124825</v>
      </c>
      <c r="Y76" s="204">
        <v>15004.676343716932</v>
      </c>
      <c r="Z76">
        <f t="shared" si="2"/>
        <v>1709.7230572859517</v>
      </c>
    </row>
    <row r="77" spans="24:26" x14ac:dyDescent="0.25">
      <c r="X77" s="204">
        <v>14188.01333045719</v>
      </c>
      <c r="Y77" s="204">
        <v>14173.231889939538</v>
      </c>
      <c r="Z77">
        <f t="shared" si="2"/>
        <v>218.49098377689307</v>
      </c>
    </row>
    <row r="78" spans="24:26" x14ac:dyDescent="0.25">
      <c r="X78" s="204">
        <v>13366.32577400055</v>
      </c>
      <c r="Y78" s="204">
        <v>13371.89821892384</v>
      </c>
      <c r="Z78">
        <f t="shared" si="2"/>
        <v>31.052142423093446</v>
      </c>
    </row>
    <row r="79" spans="24:26" x14ac:dyDescent="0.25">
      <c r="X79" s="204">
        <v>12572.33267935603</v>
      </c>
      <c r="Y79" s="204">
        <v>12584.837729964043</v>
      </c>
      <c r="Z79">
        <f t="shared" si="2"/>
        <v>156.37629070897466</v>
      </c>
    </row>
    <row r="80" spans="24:26" x14ac:dyDescent="0.25">
      <c r="X80" s="204">
        <v>11791.45793979679</v>
      </c>
      <c r="Y80" s="204">
        <v>11798.666915427106</v>
      </c>
      <c r="Z80">
        <f t="shared" si="2"/>
        <v>51.969329638486549</v>
      </c>
    </row>
    <row r="81" spans="24:26" x14ac:dyDescent="0.25">
      <c r="X81" s="204">
        <v>11028.96349991135</v>
      </c>
      <c r="Y81" s="204">
        <v>11018.458469267382</v>
      </c>
      <c r="Z81">
        <f t="shared" si="2"/>
        <v>110.35566883070641</v>
      </c>
    </row>
    <row r="82" spans="24:26" x14ac:dyDescent="0.25">
      <c r="X82" s="204">
        <v>10283.818115153001</v>
      </c>
      <c r="Y82" s="204">
        <v>10266.734428942826</v>
      </c>
      <c r="Z82">
        <f t="shared" si="2"/>
        <v>291.85233452772599</v>
      </c>
    </row>
    <row r="83" spans="24:26" x14ac:dyDescent="0.25">
      <c r="X83" s="204">
        <v>9550.993970449661</v>
      </c>
      <c r="Y83" s="204">
        <v>9545.6593599332518</v>
      </c>
      <c r="Z83">
        <f t="shared" si="2"/>
        <v>28.458069361783171</v>
      </c>
    </row>
    <row r="84" spans="24:26" x14ac:dyDescent="0.25">
      <c r="X84" s="204">
        <v>8828.2792665515699</v>
      </c>
      <c r="Y84" s="204">
        <v>8833.8337080592009</v>
      </c>
      <c r="Z84">
        <f t="shared" si="2"/>
        <v>30.851820461694739</v>
      </c>
    </row>
    <row r="85" spans="24:26" x14ac:dyDescent="0.25">
      <c r="X85" s="204">
        <v>8116.9941278937704</v>
      </c>
      <c r="Y85" s="204">
        <v>8126.5056007245448</v>
      </c>
      <c r="Z85">
        <f t="shared" si="2"/>
        <v>90.468115410560287</v>
      </c>
    </row>
    <row r="86" spans="24:26" x14ac:dyDescent="0.25">
      <c r="X86" s="204">
        <v>7422.01036532957</v>
      </c>
      <c r="Y86" s="204">
        <v>7429.3627477177524</v>
      </c>
      <c r="Z86">
        <f t="shared" si="2"/>
        <v>54.057526782054396</v>
      </c>
    </row>
    <row r="87" spans="24:26" x14ac:dyDescent="0.25">
      <c r="X87" s="204">
        <v>6749.3941054363695</v>
      </c>
      <c r="Y87" s="204">
        <v>6754.1989129524436</v>
      </c>
      <c r="Z87">
        <f t="shared" si="2"/>
        <v>23.086175266522226</v>
      </c>
    </row>
    <row r="88" spans="24:26" x14ac:dyDescent="0.25">
      <c r="X88" s="204">
        <v>6103.5171008329298</v>
      </c>
      <c r="Y88" s="204">
        <v>6107.9844117197345</v>
      </c>
      <c r="Z88">
        <f t="shared" si="2"/>
        <v>19.956866559363132</v>
      </c>
    </row>
    <row r="89" spans="24:26" x14ac:dyDescent="0.25">
      <c r="X89" s="204">
        <v>5488.1392319513106</v>
      </c>
      <c r="Y89" s="204">
        <v>5488.264145437367</v>
      </c>
      <c r="Z89">
        <f t="shared" si="2"/>
        <v>1.5603378998751749E-2</v>
      </c>
    </row>
    <row r="90" spans="24:26" x14ac:dyDescent="0.25">
      <c r="X90" s="204">
        <v>4900.8475530578198</v>
      </c>
      <c r="Y90" s="204">
        <v>4897.5385783355214</v>
      </c>
      <c r="Z90">
        <f t="shared" si="2"/>
        <v>10.949313712810067</v>
      </c>
    </row>
    <row r="91" spans="24:26" x14ac:dyDescent="0.25">
      <c r="X91" s="204">
        <v>4343.3309010684407</v>
      </c>
      <c r="Y91" s="204">
        <v>4337.2428439018076</v>
      </c>
      <c r="Z91">
        <f t="shared" si="2"/>
        <v>37.064440064191515</v>
      </c>
    </row>
    <row r="92" spans="24:26" x14ac:dyDescent="0.25">
      <c r="X92" s="204">
        <v>3812.0781500302</v>
      </c>
      <c r="Y92" s="204">
        <v>3804.7418049690823</v>
      </c>
      <c r="Z92">
        <f t="shared" si="2"/>
        <v>53.82195885578686</v>
      </c>
    </row>
    <row r="93" spans="24:26" x14ac:dyDescent="0.25">
      <c r="X93" s="204">
        <v>3312.3572792714699</v>
      </c>
      <c r="Y93" s="204">
        <v>3304.0208366607244</v>
      </c>
      <c r="Z93">
        <f t="shared" si="2"/>
        <v>69.496275402253374</v>
      </c>
    </row>
    <row r="94" spans="24:26" x14ac:dyDescent="0.25">
      <c r="X94" s="204">
        <v>2848.4873419292999</v>
      </c>
      <c r="Y94" s="204">
        <v>2843.6019890732055</v>
      </c>
      <c r="Z94">
        <f t="shared" si="2"/>
        <v>23.866672528549849</v>
      </c>
    </row>
    <row r="95" spans="24:26" x14ac:dyDescent="0.25">
      <c r="X95" s="204">
        <v>2423.5545685870102</v>
      </c>
      <c r="Y95" s="204">
        <v>2427.4160823188945</v>
      </c>
      <c r="Z95">
        <f t="shared" si="2"/>
        <v>14.911288301531131</v>
      </c>
    </row>
    <row r="96" spans="24:26" x14ac:dyDescent="0.25">
      <c r="X96" s="204">
        <v>2036.4223856779581</v>
      </c>
      <c r="Y96" s="204">
        <v>2053.1190124740301</v>
      </c>
      <c r="Z96">
        <f t="shared" si="2"/>
        <v>278.77734636730941</v>
      </c>
    </row>
    <row r="97" spans="23:26" x14ac:dyDescent="0.25">
      <c r="X97" s="204">
        <v>1695.7013811850579</v>
      </c>
      <c r="Y97" s="204">
        <v>1716.2332014425715</v>
      </c>
      <c r="Z97">
        <f t="shared" si="2"/>
        <v>421.55564308684473</v>
      </c>
    </row>
    <row r="98" spans="23:26" x14ac:dyDescent="0.25">
      <c r="X98" s="204">
        <v>1396.287998482564</v>
      </c>
      <c r="Y98" s="204">
        <v>1413.0340620128115</v>
      </c>
      <c r="Z98">
        <f t="shared" si="2"/>
        <v>280.43064375908574</v>
      </c>
    </row>
    <row r="99" spans="23:26" x14ac:dyDescent="0.25">
      <c r="X99" s="204">
        <v>1136.6248217265679</v>
      </c>
      <c r="Y99" s="204">
        <v>1141.5539857031595</v>
      </c>
      <c r="Z99">
        <f t="shared" si="2"/>
        <v>24.296657508127854</v>
      </c>
    </row>
    <row r="100" spans="23:26" x14ac:dyDescent="0.25">
      <c r="X100" s="204">
        <v>914.15982343697101</v>
      </c>
      <c r="Y100" s="204">
        <v>901.83333972358264</v>
      </c>
      <c r="Z100">
        <f t="shared" si="2"/>
        <v>151.94220073642873</v>
      </c>
    </row>
    <row r="101" spans="23:26" x14ac:dyDescent="0.25">
      <c r="X101" s="204">
        <v>725.67553254585096</v>
      </c>
      <c r="Y101" s="204">
        <v>695.79496849488771</v>
      </c>
      <c r="Z101">
        <f t="shared" si="2"/>
        <v>892.8481080037169</v>
      </c>
    </row>
    <row r="102" spans="23:26" x14ac:dyDescent="0.25">
      <c r="X102" s="204">
        <v>567.67557887889302</v>
      </c>
      <c r="Y102" s="204">
        <v>525.98920884149345</v>
      </c>
      <c r="Z102">
        <f t="shared" si="2"/>
        <v>1737.7534468950046</v>
      </c>
    </row>
    <row r="103" spans="23:26" x14ac:dyDescent="0.25">
      <c r="X103" s="204">
        <v>437.01747039661996</v>
      </c>
      <c r="Y103" s="204">
        <v>395.34289302998593</v>
      </c>
      <c r="Z103">
        <f t="shared" si="2"/>
        <v>1736.7703986875649</v>
      </c>
    </row>
    <row r="104" spans="23:26" x14ac:dyDescent="0.25">
      <c r="X104" s="204">
        <v>330.724835397775</v>
      </c>
      <c r="Y104" s="204">
        <v>306.90835180767351</v>
      </c>
      <c r="Z104">
        <f t="shared" si="2"/>
        <v>567.22489059757322</v>
      </c>
    </row>
    <row r="105" spans="23:26" x14ac:dyDescent="0.25">
      <c r="X105" s="204">
        <v>245.67750024531</v>
      </c>
      <c r="Y105" s="204">
        <v>263.61241744114278</v>
      </c>
      <c r="Z105">
        <f t="shared" si="2"/>
        <v>321.66125482137841</v>
      </c>
    </row>
    <row r="106" spans="23:26" x14ac:dyDescent="0.25">
      <c r="X106" s="204">
        <v>179.1394083986774</v>
      </c>
      <c r="Y106" s="204">
        <v>268.38192219697987</v>
      </c>
      <c r="Z106">
        <f t="shared" si="2"/>
        <v>7964.2262690402067</v>
      </c>
    </row>
    <row r="107" spans="23:26" x14ac:dyDescent="0.25">
      <c r="W107" s="219"/>
      <c r="X107" s="204">
        <v>403</v>
      </c>
      <c r="Y107" s="204">
        <v>403</v>
      </c>
      <c r="Z107">
        <f t="shared" si="2"/>
        <v>0</v>
      </c>
    </row>
    <row r="108" spans="23:26" ht="15.75" x14ac:dyDescent="0.25">
      <c r="Y108" s="220" t="s">
        <v>196</v>
      </c>
      <c r="Z108" s="221">
        <f>AVERAGE(Z7:Z107)</f>
        <v>3406570.3903142991</v>
      </c>
    </row>
  </sheetData>
  <mergeCells count="8">
    <mergeCell ref="B30:F30"/>
    <mergeCell ref="A36:F39"/>
    <mergeCell ref="A4:A6"/>
    <mergeCell ref="B4:F4"/>
    <mergeCell ref="B6:F6"/>
    <mergeCell ref="B12:F12"/>
    <mergeCell ref="B18:F18"/>
    <mergeCell ref="B24:F2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64EEEE"/>
  </sheetPr>
  <dimension ref="B2:P81"/>
  <sheetViews>
    <sheetView zoomScale="75" zoomScaleNormal="75" workbookViewId="0">
      <selection activeCell="M18" sqref="M18"/>
    </sheetView>
  </sheetViews>
  <sheetFormatPr baseColWidth="10" defaultColWidth="8.85546875" defaultRowHeight="15" x14ac:dyDescent="0.25"/>
  <cols>
    <col min="1" max="1025" width="10.42578125"/>
  </cols>
  <sheetData>
    <row r="2" spans="2:16" ht="14.45" customHeight="1" x14ac:dyDescent="0.25">
      <c r="B2" s="230" t="s">
        <v>84</v>
      </c>
      <c r="C2" s="230"/>
      <c r="F2" s="230" t="s">
        <v>85</v>
      </c>
      <c r="G2" s="230"/>
    </row>
    <row r="3" spans="2:16" x14ac:dyDescent="0.25">
      <c r="B3" s="230"/>
      <c r="C3" s="230"/>
      <c r="F3" s="230"/>
      <c r="G3" s="230"/>
    </row>
    <row r="5" spans="2:16" x14ac:dyDescent="0.25">
      <c r="B5" s="76" t="s">
        <v>24</v>
      </c>
      <c r="C5" s="77" t="s">
        <v>52</v>
      </c>
      <c r="F5" s="76" t="s">
        <v>24</v>
      </c>
      <c r="G5" s="77" t="s">
        <v>52</v>
      </c>
    </row>
    <row r="6" spans="2:16" ht="15.75" thickBot="1" x14ac:dyDescent="0.3">
      <c r="B6" s="51">
        <v>0</v>
      </c>
      <c r="C6" s="78">
        <v>58886.477071284797</v>
      </c>
      <c r="F6" s="51">
        <v>0</v>
      </c>
      <c r="G6" s="78">
        <v>58886.477071284797</v>
      </c>
    </row>
    <row r="7" spans="2:16" x14ac:dyDescent="0.25">
      <c r="B7" s="51">
        <v>1</v>
      </c>
      <c r="C7" s="78">
        <v>61566.0859823641</v>
      </c>
      <c r="F7" s="51">
        <v>1</v>
      </c>
      <c r="G7" s="78">
        <v>61566.0859823641</v>
      </c>
      <c r="J7" s="61"/>
      <c r="K7" s="231" t="s">
        <v>192</v>
      </c>
      <c r="L7" s="232"/>
      <c r="M7" s="232"/>
      <c r="N7" s="232"/>
      <c r="O7" s="232"/>
      <c r="P7" s="233"/>
    </row>
    <row r="8" spans="2:16" x14ac:dyDescent="0.25">
      <c r="B8" s="51">
        <v>2</v>
      </c>
      <c r="C8" s="78">
        <v>63614.7417829677</v>
      </c>
      <c r="F8" s="51">
        <v>2</v>
      </c>
      <c r="G8" s="78">
        <f t="shared" ref="G8:G39" si="0">(-C6+4*C7+10*C8+4*C9-C10)/16</f>
        <v>63614.741782967714</v>
      </c>
      <c r="J8" s="61"/>
      <c r="K8" s="234"/>
      <c r="L8" s="235"/>
      <c r="M8" s="235"/>
      <c r="N8" s="235"/>
      <c r="O8" s="235"/>
      <c r="P8" s="236"/>
    </row>
    <row r="9" spans="2:16" x14ac:dyDescent="0.25">
      <c r="B9" s="51">
        <v>3</v>
      </c>
      <c r="C9" s="78">
        <v>65141.004140765399</v>
      </c>
      <c r="F9" s="51">
        <v>3</v>
      </c>
      <c r="G9" s="78">
        <f t="shared" si="0"/>
        <v>65140.709263432211</v>
      </c>
      <c r="K9" s="234"/>
      <c r="L9" s="235"/>
      <c r="M9" s="235"/>
      <c r="N9" s="235"/>
      <c r="O9" s="235"/>
      <c r="P9" s="236"/>
    </row>
    <row r="10" spans="2:16" ht="15.75" thickBot="1" x14ac:dyDescent="0.3">
      <c r="B10" s="51">
        <v>4</v>
      </c>
      <c r="C10" s="78">
        <v>66253.432723426697</v>
      </c>
      <c r="F10" s="51">
        <v>4</v>
      </c>
      <c r="G10" s="78">
        <f t="shared" si="0"/>
        <v>66253.727600759885</v>
      </c>
      <c r="K10" s="237"/>
      <c r="L10" s="238"/>
      <c r="M10" s="238"/>
      <c r="N10" s="238"/>
      <c r="O10" s="238"/>
      <c r="P10" s="239"/>
    </row>
    <row r="11" spans="2:16" x14ac:dyDescent="0.25">
      <c r="B11" s="51">
        <v>5</v>
      </c>
      <c r="C11" s="78">
        <v>67065.305235951993</v>
      </c>
      <c r="F11" s="51">
        <v>5</v>
      </c>
      <c r="G11" s="78">
        <f t="shared" si="0"/>
        <v>67066.189867951427</v>
      </c>
    </row>
    <row r="12" spans="2:16" x14ac:dyDescent="0.25">
      <c r="B12" s="51">
        <v>6</v>
      </c>
      <c r="C12" s="78">
        <v>67685.181346010897</v>
      </c>
      <c r="F12" s="51">
        <v>6</v>
      </c>
      <c r="G12" s="78">
        <f t="shared" si="0"/>
        <v>67686.655732676634</v>
      </c>
    </row>
    <row r="13" spans="2:16" x14ac:dyDescent="0.25">
      <c r="B13" s="51">
        <v>7</v>
      </c>
      <c r="C13" s="78">
        <v>68207.466609282099</v>
      </c>
      <c r="F13" s="51">
        <v>7</v>
      </c>
      <c r="G13" s="78">
        <f t="shared" si="0"/>
        <v>68211.889769279311</v>
      </c>
      <c r="N13" s="111"/>
      <c r="O13" s="111"/>
    </row>
    <row r="14" spans="2:16" ht="15.75" thickBot="1" x14ac:dyDescent="0.3">
      <c r="B14" s="51">
        <v>8</v>
      </c>
      <c r="C14" s="78">
        <v>68702.976394792393</v>
      </c>
      <c r="F14" s="51">
        <v>8</v>
      </c>
      <c r="G14" s="78">
        <f t="shared" si="0"/>
        <v>68707.694432122764</v>
      </c>
      <c r="M14" s="112"/>
      <c r="N14" s="112"/>
      <c r="O14" s="112"/>
    </row>
    <row r="15" spans="2:16" x14ac:dyDescent="0.25">
      <c r="B15" s="51">
        <v>9</v>
      </c>
      <c r="C15" s="78">
        <v>69171.755511613199</v>
      </c>
      <c r="F15" s="51">
        <v>9</v>
      </c>
      <c r="G15" s="78">
        <f t="shared" si="0"/>
        <v>69175.883794277252</v>
      </c>
      <c r="L15" s="108"/>
      <c r="M15" s="116">
        <f>+(SUM(C36,C46,C56,C66)*10)/SUM($C$29:$C$68)*100</f>
        <v>94.604968961263253</v>
      </c>
      <c r="N15" s="113"/>
      <c r="O15" s="113"/>
    </row>
    <row r="16" spans="2:16" x14ac:dyDescent="0.25">
      <c r="B16" s="51">
        <v>10</v>
      </c>
      <c r="C16" s="78">
        <v>69538.360171530003</v>
      </c>
      <c r="F16" s="51">
        <v>10</v>
      </c>
      <c r="G16" s="78">
        <f t="shared" si="0"/>
        <v>69540.129435528914</v>
      </c>
      <c r="L16" s="109"/>
      <c r="M16" s="114">
        <f>+(SUM(C31,C41,C51,C61)*10)/SUM($C$29:$C$68)*100</f>
        <v>105.34541036806442</v>
      </c>
      <c r="N16" s="113"/>
      <c r="O16" s="113"/>
    </row>
    <row r="17" spans="2:15" ht="15.75" thickBot="1" x14ac:dyDescent="0.3">
      <c r="B17" s="51">
        <v>11</v>
      </c>
      <c r="C17" s="78">
        <v>69661.294063703404</v>
      </c>
      <c r="F17" s="51">
        <v>11</v>
      </c>
      <c r="G17" s="78">
        <f t="shared" si="0"/>
        <v>69656.28114903986</v>
      </c>
      <c r="L17" s="110"/>
      <c r="M17" s="115">
        <f>+(SUM(C31,C36,C41,C46,C51,C56,C61,C66)*5)/SUM($C$29:$C$68)*100</f>
        <v>99.975189664663844</v>
      </c>
      <c r="N17" s="113"/>
      <c r="O17" s="113"/>
    </row>
    <row r="18" spans="2:15" x14ac:dyDescent="0.25">
      <c r="B18" s="51">
        <v>12</v>
      </c>
      <c r="C18" s="78">
        <v>69370.7526533114</v>
      </c>
      <c r="F18" s="51">
        <v>12</v>
      </c>
      <c r="G18" s="78">
        <f t="shared" si="0"/>
        <v>69356.008786654042</v>
      </c>
    </row>
    <row r="19" spans="2:15" x14ac:dyDescent="0.25">
      <c r="B19" s="51">
        <v>13</v>
      </c>
      <c r="C19" s="78">
        <v>68577.138040148697</v>
      </c>
      <c r="F19" s="51">
        <v>13</v>
      </c>
      <c r="G19" s="78">
        <f t="shared" si="0"/>
        <v>68582.344135896215</v>
      </c>
    </row>
    <row r="20" spans="2:15" x14ac:dyDescent="0.25">
      <c r="B20" s="51">
        <v>14</v>
      </c>
      <c r="C20" s="78">
        <v>67426.754190527907</v>
      </c>
      <c r="F20" s="51">
        <v>14</v>
      </c>
      <c r="G20" s="78">
        <f t="shared" si="0"/>
        <v>67408.980230685804</v>
      </c>
    </row>
    <row r="21" spans="2:15" x14ac:dyDescent="0.25">
      <c r="B21" s="51">
        <v>15</v>
      </c>
      <c r="C21" s="78">
        <v>65982.607538801298</v>
      </c>
      <c r="F21" s="51">
        <v>15</v>
      </c>
      <c r="G21" s="78">
        <f t="shared" si="0"/>
        <v>65981.57717777646</v>
      </c>
    </row>
    <row r="22" spans="2:15" x14ac:dyDescent="0.25">
      <c r="B22" s="51">
        <v>16</v>
      </c>
      <c r="C22" s="78">
        <v>64592.0878767947</v>
      </c>
      <c r="F22" s="51">
        <v>16</v>
      </c>
      <c r="G22" s="78">
        <f t="shared" si="0"/>
        <v>64601.479872246484</v>
      </c>
    </row>
    <row r="23" spans="2:15" x14ac:dyDescent="0.25">
      <c r="B23" s="51">
        <v>17</v>
      </c>
      <c r="C23" s="78">
        <v>63619.070772731298</v>
      </c>
      <c r="F23" s="51">
        <v>17</v>
      </c>
      <c r="G23" s="78">
        <f t="shared" si="0"/>
        <v>63646.185903116952</v>
      </c>
    </row>
    <row r="24" spans="2:15" x14ac:dyDescent="0.25">
      <c r="B24" s="51">
        <v>18</v>
      </c>
      <c r="C24" s="78">
        <v>63277.1598676055</v>
      </c>
      <c r="F24" s="51">
        <v>18</v>
      </c>
      <c r="G24" s="78">
        <f t="shared" si="0"/>
        <v>63276.198143851252</v>
      </c>
    </row>
    <row r="25" spans="2:15" x14ac:dyDescent="0.25">
      <c r="B25" s="51">
        <v>19</v>
      </c>
      <c r="C25" s="78">
        <v>63346.116716241399</v>
      </c>
      <c r="F25" s="51">
        <v>19</v>
      </c>
      <c r="G25" s="78">
        <f t="shared" si="0"/>
        <v>63363.492967138416</v>
      </c>
    </row>
    <row r="26" spans="2:15" x14ac:dyDescent="0.25">
      <c r="B26" s="51">
        <v>20</v>
      </c>
      <c r="C26" s="78">
        <v>63621.090453530996</v>
      </c>
      <c r="F26" s="51">
        <v>20</v>
      </c>
      <c r="G26" s="78">
        <f t="shared" si="0"/>
        <v>63614.053683976672</v>
      </c>
    </row>
    <row r="27" spans="2:15" x14ac:dyDescent="0.25">
      <c r="B27" s="51">
        <v>21</v>
      </c>
      <c r="C27" s="78">
        <v>63619.210200014102</v>
      </c>
      <c r="F27" s="51">
        <v>21</v>
      </c>
      <c r="G27" s="78">
        <f t="shared" si="0"/>
        <v>63612.145221147046</v>
      </c>
    </row>
    <row r="28" spans="2:15" x14ac:dyDescent="0.25">
      <c r="B28" s="51">
        <v>22</v>
      </c>
      <c r="C28" s="78">
        <v>62970.193389099797</v>
      </c>
      <c r="F28" s="51">
        <v>22</v>
      </c>
      <c r="G28" s="78">
        <f t="shared" si="0"/>
        <v>62936.275968357157</v>
      </c>
    </row>
    <row r="29" spans="2:15" x14ac:dyDescent="0.25">
      <c r="B29" s="51">
        <v>23</v>
      </c>
      <c r="C29" s="78">
        <v>61416.797116070098</v>
      </c>
      <c r="F29" s="51">
        <v>23</v>
      </c>
      <c r="G29" s="78">
        <f t="shared" si="0"/>
        <v>61409.924416953902</v>
      </c>
    </row>
    <row r="30" spans="2:15" x14ac:dyDescent="0.25">
      <c r="B30" s="51">
        <v>24</v>
      </c>
      <c r="C30" s="78">
        <v>59244.4572080894</v>
      </c>
      <c r="F30" s="51">
        <v>24</v>
      </c>
      <c r="G30" s="78">
        <f t="shared" si="0"/>
        <v>59237.07860786689</v>
      </c>
    </row>
    <row r="31" spans="2:15" x14ac:dyDescent="0.25">
      <c r="B31" s="51">
        <v>25</v>
      </c>
      <c r="C31" s="78">
        <v>56848.572678181401</v>
      </c>
      <c r="F31" s="51">
        <v>25</v>
      </c>
      <c r="G31" s="78">
        <f t="shared" si="0"/>
        <v>56865.749527855267</v>
      </c>
    </row>
    <row r="32" spans="2:15" x14ac:dyDescent="0.25">
      <c r="B32" s="51">
        <v>26</v>
      </c>
      <c r="C32" s="78">
        <v>54742.600142929899</v>
      </c>
      <c r="F32" s="51">
        <v>26</v>
      </c>
      <c r="G32" s="78">
        <f t="shared" si="0"/>
        <v>54741.866306287811</v>
      </c>
    </row>
    <row r="33" spans="2:7" x14ac:dyDescent="0.25">
      <c r="B33" s="51">
        <v>27</v>
      </c>
      <c r="C33" s="78">
        <v>53165.166624136902</v>
      </c>
      <c r="F33" s="51">
        <v>27</v>
      </c>
      <c r="G33" s="78">
        <f t="shared" si="0"/>
        <v>53192.637828135259</v>
      </c>
    </row>
    <row r="34" spans="2:7" x14ac:dyDescent="0.25">
      <c r="B34" s="51">
        <v>28</v>
      </c>
      <c r="C34" s="78">
        <v>52366.640529877899</v>
      </c>
      <c r="F34" s="51">
        <v>28</v>
      </c>
      <c r="G34" s="78">
        <f t="shared" si="0"/>
        <v>52381.02139044652</v>
      </c>
    </row>
    <row r="35" spans="2:7" x14ac:dyDescent="0.25">
      <c r="B35" s="51">
        <v>29</v>
      </c>
      <c r="C35" s="78">
        <v>52157.851004254699</v>
      </c>
      <c r="F35" s="51">
        <v>29</v>
      </c>
      <c r="G35" s="78">
        <f t="shared" si="0"/>
        <v>52148.157281109517</v>
      </c>
    </row>
    <row r="36" spans="2:7" x14ac:dyDescent="0.25">
      <c r="B36" s="51">
        <v>30</v>
      </c>
      <c r="C36" s="78">
        <v>52119.533422271197</v>
      </c>
      <c r="F36" s="51">
        <v>30</v>
      </c>
      <c r="G36" s="78">
        <f t="shared" si="0"/>
        <v>52096.480321237563</v>
      </c>
    </row>
    <row r="37" spans="2:7" x14ac:dyDescent="0.25">
      <c r="B37" s="51">
        <v>31</v>
      </c>
      <c r="C37" s="78">
        <v>51987.522729254197</v>
      </c>
      <c r="F37" s="51">
        <v>31</v>
      </c>
      <c r="G37" s="78">
        <f t="shared" si="0"/>
        <v>51998.563745350708</v>
      </c>
    </row>
    <row r="38" spans="2:7" x14ac:dyDescent="0.25">
      <c r="B38" s="51">
        <v>32</v>
      </c>
      <c r="C38" s="78">
        <v>51866.503487068599</v>
      </c>
      <c r="F38" s="51">
        <v>32</v>
      </c>
      <c r="G38" s="78">
        <f t="shared" si="0"/>
        <v>51860.57624634578</v>
      </c>
    </row>
    <row r="39" spans="2:7" x14ac:dyDescent="0.25">
      <c r="B39" s="51">
        <v>33</v>
      </c>
      <c r="C39" s="78">
        <v>51684.504000035202</v>
      </c>
      <c r="F39" s="51">
        <v>33</v>
      </c>
      <c r="G39" s="78">
        <f t="shared" si="0"/>
        <v>51685.146719919387</v>
      </c>
    </row>
    <row r="40" spans="2:7" x14ac:dyDescent="0.25">
      <c r="B40" s="51">
        <v>34</v>
      </c>
      <c r="C40" s="78">
        <v>51464.388424039898</v>
      </c>
      <c r="F40" s="51">
        <v>34</v>
      </c>
      <c r="G40" s="78">
        <f t="shared" ref="G40:G71" si="1">(-C38+4*C39+10*C40+4*C41-C42)/16</f>
        <v>51459.821182939311</v>
      </c>
    </row>
    <row r="41" spans="2:7" x14ac:dyDescent="0.25">
      <c r="B41" s="51">
        <v>35</v>
      </c>
      <c r="C41" s="79">
        <v>51218.7373968217</v>
      </c>
      <c r="F41" s="51">
        <v>35</v>
      </c>
      <c r="G41" s="78">
        <f t="shared" si="1"/>
        <v>51219.827091970823</v>
      </c>
    </row>
    <row r="42" spans="2:7" x14ac:dyDescent="0.25">
      <c r="B42" s="51">
        <v>36</v>
      </c>
      <c r="C42" s="79">
        <v>51033.207413729098</v>
      </c>
      <c r="F42" s="51">
        <v>36</v>
      </c>
      <c r="G42" s="78">
        <f t="shared" si="1"/>
        <v>51035.264367675678</v>
      </c>
    </row>
    <row r="43" spans="2:7" x14ac:dyDescent="0.25">
      <c r="B43" s="51">
        <v>37</v>
      </c>
      <c r="C43" s="79">
        <v>50976.019847724703</v>
      </c>
      <c r="F43" s="51">
        <v>37</v>
      </c>
      <c r="G43" s="78">
        <f t="shared" si="1"/>
        <v>50984.234947626122</v>
      </c>
    </row>
    <row r="44" spans="2:7" x14ac:dyDescent="0.25">
      <c r="B44" s="51">
        <v>38</v>
      </c>
      <c r="C44" s="79">
        <v>51082.484808625901</v>
      </c>
      <c r="F44" s="51">
        <v>38</v>
      </c>
      <c r="G44" s="78">
        <f t="shared" si="1"/>
        <v>51077.182279974004</v>
      </c>
    </row>
    <row r="45" spans="2:7" x14ac:dyDescent="0.25">
      <c r="B45" s="51">
        <v>39</v>
      </c>
      <c r="C45" s="79">
        <v>51256.470807827398</v>
      </c>
      <c r="F45" s="51">
        <v>39</v>
      </c>
      <c r="G45" s="78">
        <f t="shared" si="1"/>
        <v>51270.644027595998</v>
      </c>
    </row>
    <row r="46" spans="2:7" x14ac:dyDescent="0.25">
      <c r="B46" s="51">
        <v>40</v>
      </c>
      <c r="C46" s="79">
        <v>51486.686815154098</v>
      </c>
      <c r="F46" s="51">
        <v>40</v>
      </c>
      <c r="G46" s="78">
        <f t="shared" si="1"/>
        <v>51489.751630081533</v>
      </c>
    </row>
    <row r="47" spans="2:7" x14ac:dyDescent="0.25">
      <c r="B47" s="51">
        <v>41</v>
      </c>
      <c r="C47" s="79">
        <v>51535.070284133297</v>
      </c>
      <c r="F47" s="51">
        <v>41</v>
      </c>
      <c r="G47" s="78">
        <f t="shared" si="1"/>
        <v>51526.99065427114</v>
      </c>
    </row>
    <row r="48" spans="2:7" x14ac:dyDescent="0.25">
      <c r="B48" s="51">
        <v>42</v>
      </c>
      <c r="C48" s="79">
        <v>51114.521629453397</v>
      </c>
      <c r="F48" s="51">
        <v>42</v>
      </c>
      <c r="G48" s="78">
        <f t="shared" si="1"/>
        <v>51094.965717251995</v>
      </c>
    </row>
    <row r="49" spans="2:7" x14ac:dyDescent="0.25">
      <c r="B49" s="51">
        <v>43</v>
      </c>
      <c r="C49" s="79">
        <v>50067.215343597301</v>
      </c>
      <c r="F49" s="51">
        <v>43</v>
      </c>
      <c r="G49" s="78">
        <f t="shared" si="1"/>
        <v>50060.471599018303</v>
      </c>
    </row>
    <row r="50" spans="2:7" x14ac:dyDescent="0.25">
      <c r="B50" s="51">
        <v>44</v>
      </c>
      <c r="C50" s="79">
        <v>48548.220514270302</v>
      </c>
      <c r="F50" s="51">
        <v>44</v>
      </c>
      <c r="G50" s="78">
        <f t="shared" si="1"/>
        <v>48548.910422027679</v>
      </c>
    </row>
    <row r="51" spans="2:7" x14ac:dyDescent="0.25">
      <c r="B51" s="51">
        <v>45</v>
      </c>
      <c r="C51" s="79">
        <v>46820.5061424417</v>
      </c>
      <c r="F51" s="51">
        <v>45</v>
      </c>
      <c r="G51" s="78">
        <f t="shared" si="1"/>
        <v>46833.293999694433</v>
      </c>
    </row>
    <row r="52" spans="2:7" x14ac:dyDescent="0.25">
      <c r="B52" s="51">
        <v>46</v>
      </c>
      <c r="C52" s="79">
        <v>45136.002704962899</v>
      </c>
      <c r="F52" s="51">
        <v>46</v>
      </c>
      <c r="G52" s="78">
        <f t="shared" si="1"/>
        <v>45132.283447757705</v>
      </c>
    </row>
    <row r="53" spans="2:7" x14ac:dyDescent="0.25">
      <c r="B53" s="51">
        <v>47</v>
      </c>
      <c r="C53" s="79">
        <v>43542.034962641497</v>
      </c>
      <c r="F53" s="51">
        <v>47</v>
      </c>
      <c r="G53" s="78">
        <f t="shared" si="1"/>
        <v>43552.723924178405</v>
      </c>
    </row>
    <row r="54" spans="2:7" x14ac:dyDescent="0.25">
      <c r="B54" s="51">
        <v>48</v>
      </c>
      <c r="C54" s="79">
        <v>42145.435791568198</v>
      </c>
      <c r="F54" s="51">
        <v>48</v>
      </c>
      <c r="G54" s="78">
        <f t="shared" si="1"/>
        <v>42149.683111013444</v>
      </c>
    </row>
    <row r="55" spans="2:7" x14ac:dyDescent="0.25">
      <c r="B55" s="51">
        <v>49</v>
      </c>
      <c r="C55" s="79">
        <v>40882.014683243098</v>
      </c>
      <c r="F55" s="51">
        <v>49</v>
      </c>
      <c r="G55" s="78">
        <f t="shared" si="1"/>
        <v>40880.639737561731</v>
      </c>
    </row>
    <row r="56" spans="2:7" x14ac:dyDescent="0.25">
      <c r="B56" s="51">
        <v>50</v>
      </c>
      <c r="C56" s="79">
        <v>39619.624018042297</v>
      </c>
      <c r="F56" s="51">
        <v>50</v>
      </c>
      <c r="G56" s="78">
        <f t="shared" si="1"/>
        <v>39612.052290754829</v>
      </c>
    </row>
    <row r="57" spans="2:7" x14ac:dyDescent="0.25">
      <c r="B57" s="51">
        <v>51</v>
      </c>
      <c r="C57" s="79">
        <v>38248.115307243803</v>
      </c>
      <c r="F57" s="51">
        <v>51</v>
      </c>
      <c r="G57" s="78">
        <f t="shared" si="1"/>
        <v>38250.813431287497</v>
      </c>
    </row>
    <row r="58" spans="2:7" x14ac:dyDescent="0.25">
      <c r="B58" s="51">
        <v>52</v>
      </c>
      <c r="C58" s="79">
        <v>36778.487698725097</v>
      </c>
      <c r="F58" s="51">
        <v>52</v>
      </c>
      <c r="G58" s="78">
        <f t="shared" si="1"/>
        <v>36773.684706246684</v>
      </c>
    </row>
    <row r="59" spans="2:7" x14ac:dyDescent="0.25">
      <c r="B59" s="51">
        <v>53</v>
      </c>
      <c r="C59" s="79">
        <v>35178.570355664597</v>
      </c>
      <c r="F59" s="51">
        <v>53</v>
      </c>
      <c r="G59" s="78">
        <f t="shared" si="1"/>
        <v>35177.132163807408</v>
      </c>
    </row>
    <row r="60" spans="2:7" x14ac:dyDescent="0.25">
      <c r="B60" s="51">
        <v>54</v>
      </c>
      <c r="C60" s="79">
        <v>33493.040320895401</v>
      </c>
      <c r="F60" s="51">
        <v>54</v>
      </c>
      <c r="G60" s="78">
        <f t="shared" si="1"/>
        <v>33492.822044098415</v>
      </c>
    </row>
    <row r="61" spans="2:7" x14ac:dyDescent="0.25">
      <c r="B61" s="51">
        <v>55</v>
      </c>
      <c r="C61" s="79">
        <v>31789.5857069657</v>
      </c>
      <c r="F61" s="51">
        <v>55</v>
      </c>
      <c r="G61" s="78">
        <f t="shared" si="1"/>
        <v>31792.50027407048</v>
      </c>
    </row>
    <row r="62" spans="2:7" x14ac:dyDescent="0.25">
      <c r="B62" s="51">
        <v>56</v>
      </c>
      <c r="C62" s="79">
        <v>30139.387055175499</v>
      </c>
      <c r="F62" s="51">
        <v>56</v>
      </c>
      <c r="G62" s="78">
        <f t="shared" si="1"/>
        <v>30138.73207429373</v>
      </c>
    </row>
    <row r="63" spans="2:7" x14ac:dyDescent="0.25">
      <c r="B63" s="51">
        <v>57</v>
      </c>
      <c r="C63" s="79">
        <v>28566.991833148299</v>
      </c>
      <c r="F63" s="51">
        <v>57</v>
      </c>
      <c r="G63" s="78">
        <f t="shared" si="1"/>
        <v>28570.020950424259</v>
      </c>
    </row>
    <row r="64" spans="2:7" x14ac:dyDescent="0.25">
      <c r="B64" s="51">
        <v>58</v>
      </c>
      <c r="C64" s="79">
        <v>27107.427202615901</v>
      </c>
      <c r="F64" s="51">
        <v>58</v>
      </c>
      <c r="G64" s="78">
        <f t="shared" si="1"/>
        <v>27110.807406574841</v>
      </c>
    </row>
    <row r="65" spans="2:7" x14ac:dyDescent="0.25">
      <c r="B65" s="51">
        <v>59</v>
      </c>
      <c r="C65" s="79">
        <v>25747.254448894699</v>
      </c>
      <c r="F65" s="51">
        <v>59</v>
      </c>
      <c r="G65" s="78">
        <f t="shared" si="1"/>
        <v>25742.995354060447</v>
      </c>
    </row>
    <row r="66" spans="2:7" x14ac:dyDescent="0.25">
      <c r="B66" s="51">
        <v>60</v>
      </c>
      <c r="C66" s="79">
        <v>24418.951593958001</v>
      </c>
      <c r="F66" s="51">
        <v>60</v>
      </c>
      <c r="G66" s="78">
        <f t="shared" si="1"/>
        <v>24414.548681029901</v>
      </c>
    </row>
    <row r="67" spans="2:7" x14ac:dyDescent="0.25">
      <c r="B67" s="51">
        <v>61</v>
      </c>
      <c r="C67" s="79">
        <v>23123.142177127102</v>
      </c>
      <c r="F67" s="51">
        <v>61</v>
      </c>
      <c r="G67" s="78">
        <f t="shared" si="1"/>
        <v>23126.486426562624</v>
      </c>
    </row>
    <row r="68" spans="2:7" x14ac:dyDescent="0.25">
      <c r="B68" s="51">
        <v>62</v>
      </c>
      <c r="C68" s="79">
        <v>21930.896344572899</v>
      </c>
      <c r="F68" s="51">
        <v>62</v>
      </c>
      <c r="G68" s="78">
        <f t="shared" si="1"/>
        <v>21933.565916614276</v>
      </c>
    </row>
    <row r="69" spans="2:7" x14ac:dyDescent="0.25">
      <c r="B69" s="51">
        <v>63</v>
      </c>
      <c r="C69" s="79">
        <v>20859.776251497999</v>
      </c>
      <c r="F69" s="51">
        <v>63</v>
      </c>
      <c r="G69" s="78">
        <f t="shared" si="1"/>
        <v>20860.683905992053</v>
      </c>
    </row>
    <row r="70" spans="2:7" x14ac:dyDescent="0.25">
      <c r="B70" s="51">
        <v>64</v>
      </c>
      <c r="C70" s="79">
        <v>19884.630900443</v>
      </c>
      <c r="F70" s="51">
        <v>64</v>
      </c>
      <c r="G70" s="78">
        <f t="shared" si="1"/>
        <v>19884.310551798055</v>
      </c>
    </row>
    <row r="71" spans="2:7" x14ac:dyDescent="0.25">
      <c r="B71" s="51">
        <v>65</v>
      </c>
      <c r="C71" s="79">
        <v>18965.786822043599</v>
      </c>
      <c r="F71" s="51">
        <v>65</v>
      </c>
      <c r="G71" s="78">
        <f t="shared" si="1"/>
        <v>18965.039341872005</v>
      </c>
    </row>
    <row r="72" spans="2:7" x14ac:dyDescent="0.25">
      <c r="B72" s="51">
        <v>66</v>
      </c>
      <c r="C72" s="79">
        <v>18068.696125254701</v>
      </c>
      <c r="F72" s="51">
        <v>66</v>
      </c>
      <c r="G72" s="78">
        <f t="shared" ref="G72:G78" si="2">(-C70+4*C71+10*C72+4*C73-C74)/16</f>
        <v>18067.841862201469</v>
      </c>
    </row>
    <row r="73" spans="2:7" x14ac:dyDescent="0.25">
      <c r="B73" s="51">
        <v>67</v>
      </c>
      <c r="C73" s="79">
        <v>17170.770601776701</v>
      </c>
      <c r="F73" s="51">
        <v>67</v>
      </c>
      <c r="G73" s="78">
        <f t="shared" si="2"/>
        <v>17169.969730164263</v>
      </c>
    </row>
    <row r="74" spans="2:7" x14ac:dyDescent="0.25">
      <c r="B74" s="51">
        <v>68</v>
      </c>
      <c r="C74" s="79">
        <v>16263.090252161701</v>
      </c>
      <c r="F74" s="51">
        <v>68</v>
      </c>
      <c r="G74" s="78">
        <f t="shared" si="2"/>
        <v>16262.823294957579</v>
      </c>
    </row>
    <row r="75" spans="2:7" x14ac:dyDescent="0.25">
      <c r="B75" s="51">
        <v>69</v>
      </c>
      <c r="C75" s="79">
        <v>15349.549022760801</v>
      </c>
      <c r="F75" s="51">
        <v>69</v>
      </c>
      <c r="G75" s="78">
        <f t="shared" si="2"/>
        <v>15349.388848438315</v>
      </c>
    </row>
    <row r="76" spans="2:7" x14ac:dyDescent="0.25">
      <c r="B76" s="51">
        <v>70</v>
      </c>
      <c r="C76" s="79">
        <v>14438.312175191</v>
      </c>
      <c r="F76" s="51">
        <v>70</v>
      </c>
      <c r="G76" s="78">
        <f t="shared" si="2"/>
        <v>14438.258783750172</v>
      </c>
    </row>
    <row r="77" spans="2:7" x14ac:dyDescent="0.25">
      <c r="B77" s="51">
        <v>71</v>
      </c>
      <c r="C77" s="79">
        <v>13540.107760229101</v>
      </c>
      <c r="F77" s="51">
        <v>71</v>
      </c>
      <c r="G77" s="78">
        <f t="shared" si="2"/>
        <v>13540.161151669927</v>
      </c>
    </row>
    <row r="78" spans="2:7" x14ac:dyDescent="0.25">
      <c r="B78" s="51">
        <v>72</v>
      </c>
      <c r="C78" s="79">
        <v>12666.5180917052</v>
      </c>
      <c r="F78" s="51">
        <v>72</v>
      </c>
      <c r="G78" s="78">
        <f t="shared" si="2"/>
        <v>12666.518091705213</v>
      </c>
    </row>
    <row r="79" spans="2:7" x14ac:dyDescent="0.25">
      <c r="B79" s="51">
        <v>73</v>
      </c>
      <c r="C79" s="79">
        <v>11828.2712203962</v>
      </c>
      <c r="F79" s="51">
        <v>73</v>
      </c>
      <c r="G79" s="78">
        <f>C79</f>
        <v>11828.2712203962</v>
      </c>
    </row>
    <row r="80" spans="2:7" x14ac:dyDescent="0.25">
      <c r="B80" s="51">
        <v>74</v>
      </c>
      <c r="C80" s="79">
        <v>11036.095197078799</v>
      </c>
      <c r="F80" s="51">
        <v>74</v>
      </c>
      <c r="G80" s="78">
        <f>C80</f>
        <v>11036.095197078799</v>
      </c>
    </row>
    <row r="81" spans="2:7" x14ac:dyDescent="0.25">
      <c r="B81" s="56" t="s">
        <v>59</v>
      </c>
      <c r="C81" s="80">
        <v>82555.492271527997</v>
      </c>
      <c r="F81" s="56" t="s">
        <v>59</v>
      </c>
      <c r="G81" s="78">
        <f>C81</f>
        <v>82555.492271527997</v>
      </c>
    </row>
  </sheetData>
  <mergeCells count="3">
    <mergeCell ref="B2:C3"/>
    <mergeCell ref="F2:G3"/>
    <mergeCell ref="K7:P10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64EEEE"/>
  </sheetPr>
  <dimension ref="B2:P110"/>
  <sheetViews>
    <sheetView tabSelected="1" zoomScale="75" zoomScaleNormal="75" workbookViewId="0">
      <selection activeCell="G10" sqref="G10"/>
    </sheetView>
  </sheetViews>
  <sheetFormatPr baseColWidth="10" defaultColWidth="8.85546875" defaultRowHeight="15" x14ac:dyDescent="0.25"/>
  <cols>
    <col min="13" max="13" width="9.85546875" bestFit="1" customWidth="1"/>
  </cols>
  <sheetData>
    <row r="2" spans="2:16" ht="14.45" customHeight="1" x14ac:dyDescent="0.25">
      <c r="B2" s="230" t="s">
        <v>84</v>
      </c>
      <c r="C2" s="230"/>
      <c r="F2" s="230" t="s">
        <v>85</v>
      </c>
      <c r="G2" s="230"/>
    </row>
    <row r="3" spans="2:16" x14ac:dyDescent="0.25">
      <c r="B3" s="230"/>
      <c r="C3" s="230"/>
      <c r="F3" s="230"/>
      <c r="G3" s="230"/>
    </row>
    <row r="5" spans="2:16" ht="15.75" thickBot="1" x14ac:dyDescent="0.3">
      <c r="B5" s="206" t="s">
        <v>24</v>
      </c>
      <c r="C5" s="207" t="s">
        <v>52</v>
      </c>
      <c r="F5" s="206" t="s">
        <v>24</v>
      </c>
      <c r="G5" s="207" t="s">
        <v>52</v>
      </c>
    </row>
    <row r="6" spans="2:16" ht="15.75" thickBot="1" x14ac:dyDescent="0.3">
      <c r="B6" s="209">
        <v>0</v>
      </c>
      <c r="C6" s="222">
        <v>68403.51020177381</v>
      </c>
      <c r="F6" s="209">
        <v>0</v>
      </c>
      <c r="G6" s="222">
        <f>C6</f>
        <v>68403.51020177381</v>
      </c>
    </row>
    <row r="7" spans="2:16" x14ac:dyDescent="0.25">
      <c r="B7" s="51">
        <v>1</v>
      </c>
      <c r="C7" s="78">
        <v>68185.738054321293</v>
      </c>
      <c r="F7" s="51">
        <v>1</v>
      </c>
      <c r="G7" s="78">
        <f>C7</f>
        <v>68185.738054321293</v>
      </c>
      <c r="J7" s="61"/>
      <c r="K7" s="231" t="s">
        <v>192</v>
      </c>
      <c r="L7" s="232"/>
      <c r="M7" s="232"/>
      <c r="N7" s="232"/>
      <c r="O7" s="232"/>
      <c r="P7" s="233"/>
    </row>
    <row r="8" spans="2:16" x14ac:dyDescent="0.25">
      <c r="B8" s="51">
        <v>2</v>
      </c>
      <c r="C8" s="78">
        <v>68248.481450011197</v>
      </c>
      <c r="F8" s="51">
        <v>2</v>
      </c>
      <c r="G8" s="78">
        <f>(-C6+4*C7+10*C8+4*C9-C10)/16</f>
        <v>68289.505577671676</v>
      </c>
      <c r="J8" s="61"/>
      <c r="K8" s="234"/>
      <c r="L8" s="235"/>
      <c r="M8" s="235"/>
      <c r="N8" s="235"/>
      <c r="O8" s="235"/>
      <c r="P8" s="236"/>
    </row>
    <row r="9" spans="2:16" x14ac:dyDescent="0.25">
      <c r="B9" s="51">
        <v>3</v>
      </c>
      <c r="C9" s="78">
        <v>68248.649491703691</v>
      </c>
      <c r="F9" s="51">
        <v>3</v>
      </c>
      <c r="G9" s="78">
        <f>(-C7+4*C8+10*C9+4*C10-C11)/16</f>
        <v>67949.598927019062</v>
      </c>
      <c r="K9" s="234"/>
      <c r="L9" s="235"/>
      <c r="M9" s="235"/>
      <c r="N9" s="235"/>
      <c r="O9" s="235"/>
      <c r="P9" s="236"/>
    </row>
    <row r="10" spans="2:16" ht="15.75" thickBot="1" x14ac:dyDescent="0.3">
      <c r="B10" s="51">
        <v>4</v>
      </c>
      <c r="C10" s="78">
        <v>67186.7652396911</v>
      </c>
      <c r="F10" s="51">
        <v>4</v>
      </c>
      <c r="G10" s="78">
        <f t="shared" ref="G10:G71" si="0">(-C8+4*C9+10*C10+4*C11-C12)/16</f>
        <v>67555.093889245676</v>
      </c>
      <c r="K10" s="237"/>
      <c r="L10" s="238"/>
      <c r="M10" s="238"/>
      <c r="N10" s="238"/>
      <c r="O10" s="238"/>
      <c r="P10" s="239"/>
    </row>
    <row r="11" spans="2:16" x14ac:dyDescent="0.25">
      <c r="B11" s="51">
        <v>5</v>
      </c>
      <c r="C11" s="78">
        <v>68848.160789219808</v>
      </c>
      <c r="F11" s="51">
        <v>5</v>
      </c>
      <c r="G11" s="78">
        <f t="shared" si="0"/>
        <v>68909.592090112259</v>
      </c>
    </row>
    <row r="12" spans="2:16" x14ac:dyDescent="0.25">
      <c r="B12" s="51">
        <v>6</v>
      </c>
      <c r="C12" s="78">
        <v>71124.909842663008</v>
      </c>
      <c r="F12" s="51">
        <v>6</v>
      </c>
      <c r="G12" s="78">
        <f t="shared" si="0"/>
        <v>70747.976654296348</v>
      </c>
    </row>
    <row r="13" spans="2:16" x14ac:dyDescent="0.25">
      <c r="B13" s="51">
        <v>7</v>
      </c>
      <c r="C13" s="78">
        <v>70926.185288114706</v>
      </c>
      <c r="F13" s="51">
        <v>7</v>
      </c>
      <c r="G13" s="78">
        <f t="shared" si="0"/>
        <v>71165.82158731189</v>
      </c>
      <c r="N13" s="111"/>
      <c r="O13" s="111"/>
    </row>
    <row r="14" spans="2:16" ht="15.75" thickBot="1" x14ac:dyDescent="0.3">
      <c r="B14" s="51">
        <v>8</v>
      </c>
      <c r="C14" s="78">
        <v>71192.091027535207</v>
      </c>
      <c r="F14" s="51">
        <v>8</v>
      </c>
      <c r="G14" s="78">
        <f t="shared" si="0"/>
        <v>71131.620269050763</v>
      </c>
      <c r="M14" s="112"/>
      <c r="N14" s="112"/>
      <c r="O14" s="112"/>
    </row>
    <row r="15" spans="2:16" x14ac:dyDescent="0.25">
      <c r="B15" s="51">
        <v>9</v>
      </c>
      <c r="C15" s="78">
        <v>71028.550175729906</v>
      </c>
      <c r="F15" s="51">
        <v>9</v>
      </c>
      <c r="G15" s="78">
        <f t="shared" si="0"/>
        <v>71010.886721921459</v>
      </c>
      <c r="L15" s="108"/>
      <c r="M15" s="116">
        <f>+(SUM(C36,C46,C56,C66)*10)/SUM($C$29:$C$68)*100</f>
        <v>94.306918124588336</v>
      </c>
      <c r="N15" s="113"/>
      <c r="O15" s="113"/>
    </row>
    <row r="16" spans="2:16" x14ac:dyDescent="0.25">
      <c r="B16" s="51">
        <v>10</v>
      </c>
      <c r="C16" s="78">
        <v>70509.017983255399</v>
      </c>
      <c r="F16" s="51">
        <v>10</v>
      </c>
      <c r="G16" s="78">
        <f t="shared" si="0"/>
        <v>70530.972625522962</v>
      </c>
      <c r="L16" s="109"/>
      <c r="M16" s="114">
        <f>+(SUM(C31,C41,C51,C61)*10)/SUM($C$29:$C$68)*100</f>
        <v>105.86197490700766</v>
      </c>
      <c r="N16" s="113"/>
      <c r="O16" s="113"/>
    </row>
    <row r="17" spans="2:15" ht="15.75" thickBot="1" x14ac:dyDescent="0.3">
      <c r="B17" s="51">
        <v>11</v>
      </c>
      <c r="C17" s="78">
        <v>69989.56496160329</v>
      </c>
      <c r="F17" s="51">
        <v>11</v>
      </c>
      <c r="G17" s="78">
        <f t="shared" si="0"/>
        <v>69993.609556564363</v>
      </c>
      <c r="L17" s="110"/>
      <c r="M17" s="115">
        <f>+(SUM(C31,C36,C41,C46,C51,C56,C61,C66)*5)/SUM($C$29:$C$68)*100</f>
        <v>100.08444651579798</v>
      </c>
      <c r="N17" s="113"/>
      <c r="O17" s="113"/>
    </row>
    <row r="18" spans="2:15" x14ac:dyDescent="0.25">
      <c r="B18" s="51">
        <v>12</v>
      </c>
      <c r="C18" s="78">
        <v>69474.987345984206</v>
      </c>
      <c r="F18" s="51">
        <v>12</v>
      </c>
      <c r="G18" s="78">
        <f t="shared" si="0"/>
        <v>69465.205567454061</v>
      </c>
    </row>
    <row r="19" spans="2:15" x14ac:dyDescent="0.25">
      <c r="B19" s="51">
        <v>13</v>
      </c>
      <c r="C19" s="78">
        <v>68905.3678522314</v>
      </c>
      <c r="F19" s="51">
        <v>13</v>
      </c>
      <c r="G19" s="78">
        <f t="shared" si="0"/>
        <v>68909.791808407812</v>
      </c>
    </row>
    <row r="20" spans="2:15" x14ac:dyDescent="0.25">
      <c r="B20" s="51">
        <v>14</v>
      </c>
      <c r="C20" s="78">
        <v>68377.297652660607</v>
      </c>
      <c r="F20" s="51">
        <v>14</v>
      </c>
      <c r="G20" s="78">
        <f t="shared" si="0"/>
        <v>68386.062673216511</v>
      </c>
    </row>
    <row r="21" spans="2:15" x14ac:dyDescent="0.25">
      <c r="B21" s="51">
        <v>15</v>
      </c>
      <c r="C21" s="78">
        <v>67916.584620764886</v>
      </c>
      <c r="F21" s="51">
        <v>15</v>
      </c>
      <c r="G21" s="78">
        <f t="shared" si="0"/>
        <v>67908.604022886022</v>
      </c>
    </row>
    <row r="22" spans="2:15" x14ac:dyDescent="0.25">
      <c r="B22" s="51">
        <v>16</v>
      </c>
      <c r="C22" s="78">
        <v>67408.796301142895</v>
      </c>
      <c r="F22" s="51">
        <v>16</v>
      </c>
      <c r="G22" s="78">
        <f t="shared" si="0"/>
        <v>67404.107974007231</v>
      </c>
    </row>
    <row r="23" spans="2:15" x14ac:dyDescent="0.25">
      <c r="B23" s="51">
        <v>17</v>
      </c>
      <c r="C23" s="78">
        <v>66867.189804455295</v>
      </c>
      <c r="F23" s="51">
        <v>17</v>
      </c>
      <c r="G23" s="78">
        <f t="shared" si="0"/>
        <v>66888.403945699567</v>
      </c>
    </row>
    <row r="24" spans="2:15" x14ac:dyDescent="0.25">
      <c r="B24" s="51">
        <v>18</v>
      </c>
      <c r="C24" s="78">
        <v>66380.035475533397</v>
      </c>
      <c r="F24" s="51">
        <v>18</v>
      </c>
      <c r="G24" s="78">
        <f t="shared" si="0"/>
        <v>66352.394661780927</v>
      </c>
    </row>
    <row r="25" spans="2:15" x14ac:dyDescent="0.25">
      <c r="B25" s="51">
        <v>19</v>
      </c>
      <c r="C25" s="78">
        <v>65696.177399300097</v>
      </c>
      <c r="F25" s="51">
        <v>19</v>
      </c>
      <c r="G25" s="78">
        <f t="shared" si="0"/>
        <v>65715.388866779715</v>
      </c>
    </row>
    <row r="26" spans="2:15" x14ac:dyDescent="0.25">
      <c r="B26" s="51">
        <v>20</v>
      </c>
      <c r="C26" s="78">
        <v>65006.712680717697</v>
      </c>
      <c r="F26" s="51">
        <v>20</v>
      </c>
      <c r="G26" s="78">
        <f t="shared" si="0"/>
        <v>65023.239571998864</v>
      </c>
    </row>
    <row r="27" spans="2:15" x14ac:dyDescent="0.25">
      <c r="B27" s="51">
        <v>21</v>
      </c>
      <c r="C27" s="78">
        <v>64195.354945074796</v>
      </c>
      <c r="F27" s="51">
        <v>21</v>
      </c>
      <c r="G27" s="78">
        <f t="shared" si="0"/>
        <v>64129.878119049339</v>
      </c>
    </row>
    <row r="28" spans="2:15" x14ac:dyDescent="0.25">
      <c r="B28" s="51">
        <v>22</v>
      </c>
      <c r="C28" s="78">
        <v>62881.387557161404</v>
      </c>
      <c r="F28" s="51">
        <v>22</v>
      </c>
      <c r="G28" s="78">
        <f t="shared" si="0"/>
        <v>62919.447378381796</v>
      </c>
    </row>
    <row r="29" spans="2:15" x14ac:dyDescent="0.25">
      <c r="B29" s="51">
        <v>23</v>
      </c>
      <c r="C29" s="78">
        <v>61731.7230981748</v>
      </c>
      <c r="F29" s="51">
        <v>23</v>
      </c>
      <c r="G29" s="78">
        <f t="shared" si="0"/>
        <v>61767.435426414893</v>
      </c>
    </row>
    <row r="30" spans="2:15" x14ac:dyDescent="0.25">
      <c r="B30" s="51">
        <v>24</v>
      </c>
      <c r="C30" s="78">
        <v>60804.317009785897</v>
      </c>
      <c r="F30" s="51">
        <v>24</v>
      </c>
      <c r="G30" s="78">
        <f t="shared" si="0"/>
        <v>60780.775584945455</v>
      </c>
    </row>
    <row r="31" spans="2:15" x14ac:dyDescent="0.25">
      <c r="B31" s="51">
        <v>25</v>
      </c>
      <c r="C31" s="78">
        <v>59585.727481823997</v>
      </c>
      <c r="F31" s="51">
        <v>25</v>
      </c>
      <c r="G31" s="78">
        <f t="shared" si="0"/>
        <v>59531.367191499332</v>
      </c>
    </row>
    <row r="32" spans="2:15" x14ac:dyDescent="0.25">
      <c r="B32" s="51">
        <v>26</v>
      </c>
      <c r="C32" s="78">
        <v>57939.175501565405</v>
      </c>
      <c r="F32" s="51">
        <v>26</v>
      </c>
      <c r="G32" s="78">
        <f t="shared" si="0"/>
        <v>57963.090402734859</v>
      </c>
    </row>
    <row r="33" spans="2:7" x14ac:dyDescent="0.25">
      <c r="B33" s="51">
        <v>27</v>
      </c>
      <c r="C33" s="78">
        <v>56597.646701481004</v>
      </c>
      <c r="F33" s="51">
        <v>27</v>
      </c>
      <c r="G33" s="78">
        <f t="shared" si="0"/>
        <v>56658.284031084782</v>
      </c>
    </row>
    <row r="34" spans="2:7" x14ac:dyDescent="0.25">
      <c r="B34" s="51">
        <v>28</v>
      </c>
      <c r="C34" s="78">
        <v>55911.488295330404</v>
      </c>
      <c r="F34" s="51">
        <v>28</v>
      </c>
      <c r="G34" s="78">
        <f t="shared" si="0"/>
        <v>55865.705459376906</v>
      </c>
    </row>
    <row r="35" spans="2:7" x14ac:dyDescent="0.25">
      <c r="B35" s="51">
        <v>29</v>
      </c>
      <c r="C35" s="78">
        <v>55260.850223212903</v>
      </c>
      <c r="F35" s="51">
        <v>29</v>
      </c>
      <c r="G35" s="78">
        <f t="shared" si="0"/>
        <v>55263.751015676346</v>
      </c>
    </row>
    <row r="36" spans="2:7" x14ac:dyDescent="0.25">
      <c r="B36" s="51">
        <v>30</v>
      </c>
      <c r="C36" s="78">
        <v>54758.407800483896</v>
      </c>
      <c r="F36" s="51">
        <v>30</v>
      </c>
      <c r="G36" s="78">
        <f t="shared" si="0"/>
        <v>54773.050423982873</v>
      </c>
    </row>
    <row r="37" spans="2:7" x14ac:dyDescent="0.25">
      <c r="B37" s="51">
        <v>31</v>
      </c>
      <c r="C37" s="78">
        <v>54470.423663083602</v>
      </c>
      <c r="F37" s="51">
        <v>31</v>
      </c>
      <c r="G37" s="78">
        <f t="shared" si="0"/>
        <v>54454.80485457692</v>
      </c>
    </row>
    <row r="38" spans="2:7" x14ac:dyDescent="0.25">
      <c r="B38" s="51">
        <v>32</v>
      </c>
      <c r="C38" s="78">
        <v>54228.878470968601</v>
      </c>
      <c r="F38" s="51">
        <v>32</v>
      </c>
      <c r="G38" s="78">
        <f t="shared" si="0"/>
        <v>54236.05214159123</v>
      </c>
    </row>
    <row r="39" spans="2:7" x14ac:dyDescent="0.25">
      <c r="B39" s="51">
        <v>33</v>
      </c>
      <c r="C39" s="78">
        <v>54115.653820202402</v>
      </c>
      <c r="F39" s="51">
        <v>33</v>
      </c>
      <c r="G39" s="78">
        <f t="shared" si="0"/>
        <v>54117.551550919896</v>
      </c>
    </row>
    <row r="40" spans="2:7" x14ac:dyDescent="0.25">
      <c r="B40" s="51">
        <v>34</v>
      </c>
      <c r="C40" s="78">
        <v>54097.852576886398</v>
      </c>
      <c r="F40" s="51">
        <v>34</v>
      </c>
      <c r="G40" s="78">
        <f t="shared" si="0"/>
        <v>54097.60245681712</v>
      </c>
    </row>
    <row r="41" spans="2:7" x14ac:dyDescent="0.25">
      <c r="B41" s="51">
        <v>35</v>
      </c>
      <c r="C41" s="79">
        <v>54112.213915642104</v>
      </c>
      <c r="F41" s="51">
        <v>35</v>
      </c>
      <c r="G41" s="78">
        <f t="shared" si="0"/>
        <v>54113.348020350641</v>
      </c>
    </row>
    <row r="42" spans="2:7" x14ac:dyDescent="0.25">
      <c r="B42" s="51">
        <v>36</v>
      </c>
      <c r="C42" s="79">
        <v>54099.478932199403</v>
      </c>
      <c r="F42" s="51">
        <v>36</v>
      </c>
      <c r="G42" s="78">
        <f t="shared" si="0"/>
        <v>54095.806196157297</v>
      </c>
    </row>
    <row r="43" spans="2:7" x14ac:dyDescent="0.25">
      <c r="B43" s="51">
        <v>37</v>
      </c>
      <c r="C43" s="79">
        <v>53982.243046951597</v>
      </c>
      <c r="F43" s="51">
        <v>37</v>
      </c>
      <c r="G43" s="78">
        <f t="shared" si="0"/>
        <v>53977.459157964884</v>
      </c>
    </row>
    <row r="44" spans="2:7" x14ac:dyDescent="0.25">
      <c r="B44" s="51">
        <v>38</v>
      </c>
      <c r="C44" s="79">
        <v>53741.865456965694</v>
      </c>
      <c r="F44" s="51">
        <v>38</v>
      </c>
      <c r="G44" s="78">
        <f t="shared" si="0"/>
        <v>53743.204499713713</v>
      </c>
    </row>
    <row r="45" spans="2:7" x14ac:dyDescent="0.25">
      <c r="B45" s="51">
        <v>39</v>
      </c>
      <c r="C45" s="79">
        <v>53436.247583096207</v>
      </c>
      <c r="F45" s="51">
        <v>39</v>
      </c>
      <c r="G45" s="78">
        <f t="shared" si="0"/>
        <v>53439.066247541763</v>
      </c>
    </row>
    <row r="46" spans="2:7" x14ac:dyDescent="0.25">
      <c r="B46" s="51">
        <v>40</v>
      </c>
      <c r="C46" s="79">
        <v>53101.8661622293</v>
      </c>
      <c r="F46" s="51">
        <v>40</v>
      </c>
      <c r="G46" s="78">
        <f t="shared" si="0"/>
        <v>53103.217782511536</v>
      </c>
    </row>
    <row r="47" spans="2:7" x14ac:dyDescent="0.25">
      <c r="B47" s="51">
        <v>41</v>
      </c>
      <c r="C47" s="79">
        <v>52730.099300122194</v>
      </c>
      <c r="F47" s="51">
        <v>41</v>
      </c>
      <c r="G47" s="78">
        <f t="shared" si="0"/>
        <v>52733.650661467014</v>
      </c>
    </row>
    <row r="48" spans="2:7" x14ac:dyDescent="0.25">
      <c r="B48" s="51">
        <v>42</v>
      </c>
      <c r="C48" s="79">
        <v>52290.699178016301</v>
      </c>
      <c r="F48" s="51">
        <v>42</v>
      </c>
      <c r="G48" s="78">
        <f t="shared" si="0"/>
        <v>52289.514068008655</v>
      </c>
    </row>
    <row r="49" spans="2:7" x14ac:dyDescent="0.25">
      <c r="B49" s="51">
        <v>43</v>
      </c>
      <c r="C49" s="79">
        <v>51696.596195635895</v>
      </c>
      <c r="F49" s="51">
        <v>43</v>
      </c>
      <c r="G49" s="78">
        <f t="shared" si="0"/>
        <v>51692.278362741825</v>
      </c>
    </row>
    <row r="50" spans="2:7" x14ac:dyDescent="0.25">
      <c r="B50" s="51">
        <v>44</v>
      </c>
      <c r="C50" s="79">
        <v>50879.682512827596</v>
      </c>
      <c r="F50" s="51">
        <v>44</v>
      </c>
      <c r="G50" s="78">
        <f t="shared" si="0"/>
        <v>50879.376017865157</v>
      </c>
    </row>
    <row r="51" spans="2:7" x14ac:dyDescent="0.25">
      <c r="B51" s="51">
        <v>45</v>
      </c>
      <c r="C51" s="79">
        <v>49840.935615743205</v>
      </c>
      <c r="F51" s="51">
        <v>45</v>
      </c>
      <c r="G51" s="78">
        <f t="shared" si="0"/>
        <v>49839.946680444242</v>
      </c>
    </row>
    <row r="52" spans="2:7" x14ac:dyDescent="0.25">
      <c r="B52" s="51">
        <v>46</v>
      </c>
      <c r="C52" s="79">
        <v>48586.236909933607</v>
      </c>
      <c r="F52" s="51">
        <v>46</v>
      </c>
      <c r="G52" s="78">
        <f t="shared" si="0"/>
        <v>48584.558868256405</v>
      </c>
    </row>
    <row r="53" spans="2:7" x14ac:dyDescent="0.25">
      <c r="B53" s="51">
        <v>47</v>
      </c>
      <c r="C53" s="79">
        <v>47137.290765733094</v>
      </c>
      <c r="F53" s="51">
        <v>47</v>
      </c>
      <c r="G53" s="78">
        <f t="shared" si="0"/>
        <v>47137.751973256687</v>
      </c>
    </row>
    <row r="54" spans="2:7" x14ac:dyDescent="0.25">
      <c r="B54" s="51">
        <v>48</v>
      </c>
      <c r="C54" s="79">
        <v>45542.650220311101</v>
      </c>
      <c r="F54" s="51">
        <v>48</v>
      </c>
      <c r="G54" s="78">
        <f t="shared" si="0"/>
        <v>45543.156295182853</v>
      </c>
    </row>
    <row r="55" spans="2:7" x14ac:dyDescent="0.25">
      <c r="B55" s="51">
        <v>49</v>
      </c>
      <c r="C55" s="79">
        <v>43843.488990459598</v>
      </c>
      <c r="F55" s="51">
        <v>49</v>
      </c>
      <c r="G55" s="78">
        <f t="shared" si="0"/>
        <v>43843.219772148899</v>
      </c>
    </row>
    <row r="56" spans="2:7" x14ac:dyDescent="0.25">
      <c r="B56" s="51">
        <v>50</v>
      </c>
      <c r="C56" s="79">
        <v>42072.883595022504</v>
      </c>
      <c r="F56" s="51">
        <v>50</v>
      </c>
      <c r="G56" s="78">
        <f t="shared" si="0"/>
        <v>42072.53930945239</v>
      </c>
    </row>
    <row r="57" spans="2:7" x14ac:dyDescent="0.25">
      <c r="B57" s="51">
        <v>51</v>
      </c>
      <c r="C57" s="79">
        <v>40268.2180458148</v>
      </c>
      <c r="F57" s="51">
        <v>51</v>
      </c>
      <c r="G57" s="78">
        <f t="shared" si="0"/>
        <v>40268.823349245191</v>
      </c>
    </row>
    <row r="58" spans="2:7" x14ac:dyDescent="0.25">
      <c r="B58" s="51">
        <v>52</v>
      </c>
      <c r="C58" s="79">
        <v>38472.384923773294</v>
      </c>
      <c r="F58" s="51">
        <v>52</v>
      </c>
      <c r="G58" s="78">
        <f t="shared" si="0"/>
        <v>38473.785816874275</v>
      </c>
    </row>
    <row r="59" spans="2:7" x14ac:dyDescent="0.25">
      <c r="B59" s="51">
        <v>53</v>
      </c>
      <c r="C59" s="79">
        <v>36718.591954948497</v>
      </c>
      <c r="F59" s="51">
        <v>53</v>
      </c>
      <c r="G59" s="78">
        <f t="shared" si="0"/>
        <v>36719.795004103544</v>
      </c>
    </row>
    <row r="60" spans="2:7" x14ac:dyDescent="0.25">
      <c r="B60" s="51">
        <v>54</v>
      </c>
      <c r="C60" s="79">
        <v>35017.632575775104</v>
      </c>
      <c r="F60" s="51">
        <v>54</v>
      </c>
      <c r="G60" s="78">
        <f t="shared" si="0"/>
        <v>35017.949278200933</v>
      </c>
    </row>
    <row r="61" spans="2:7" x14ac:dyDescent="0.25">
      <c r="B61" s="51">
        <v>55</v>
      </c>
      <c r="C61" s="79">
        <v>33361.051436207097</v>
      </c>
      <c r="F61" s="51">
        <v>55</v>
      </c>
      <c r="G61" s="78">
        <f t="shared" si="0"/>
        <v>33360.719649866871</v>
      </c>
    </row>
    <row r="62" spans="2:7" x14ac:dyDescent="0.25">
      <c r="B62" s="51">
        <v>56</v>
      </c>
      <c r="C62" s="79">
        <v>31735.325947385201</v>
      </c>
      <c r="F62" s="51">
        <v>56</v>
      </c>
      <c r="G62" s="78">
        <f t="shared" si="0"/>
        <v>31735.062188659409</v>
      </c>
    </row>
    <row r="63" spans="2:7" x14ac:dyDescent="0.25">
      <c r="B63" s="51">
        <v>57</v>
      </c>
      <c r="C63" s="79">
        <v>30132.2421018938</v>
      </c>
      <c r="F63" s="51">
        <v>57</v>
      </c>
      <c r="G63" s="78">
        <f t="shared" si="0"/>
        <v>30131.580166205305</v>
      </c>
    </row>
    <row r="64" spans="2:7" x14ac:dyDescent="0.25">
      <c r="B64" s="51">
        <v>58</v>
      </c>
      <c r="C64" s="79">
        <v>28547.8060319299</v>
      </c>
      <c r="F64" s="51">
        <v>58</v>
      </c>
      <c r="G64" s="78">
        <f t="shared" si="0"/>
        <v>28546.964485345026</v>
      </c>
    </row>
    <row r="65" spans="2:7" x14ac:dyDescent="0.25">
      <c r="B65" s="51">
        <v>59</v>
      </c>
      <c r="C65" s="79">
        <v>26988.614840706399</v>
      </c>
      <c r="F65" s="51">
        <v>59</v>
      </c>
      <c r="G65" s="78">
        <f t="shared" si="0"/>
        <v>26988.886771658093</v>
      </c>
    </row>
    <row r="66" spans="2:7" x14ac:dyDescent="0.25">
      <c r="B66" s="51">
        <v>60</v>
      </c>
      <c r="C66" s="79">
        <v>25474.730376794199</v>
      </c>
      <c r="F66" s="51">
        <v>60</v>
      </c>
      <c r="G66" s="78">
        <f t="shared" si="0"/>
        <v>25475.505807345649</v>
      </c>
    </row>
    <row r="67" spans="2:7" x14ac:dyDescent="0.25">
      <c r="B67" s="51">
        <v>61</v>
      </c>
      <c r="C67" s="79">
        <v>24021.863593537098</v>
      </c>
      <c r="F67" s="51">
        <v>61</v>
      </c>
      <c r="G67" s="78">
        <f t="shared" si="0"/>
        <v>24021.751373062551</v>
      </c>
    </row>
    <row r="68" spans="2:7" x14ac:dyDescent="0.25">
      <c r="B68" s="51">
        <v>62</v>
      </c>
      <c r="C68" s="79">
        <v>22633.318555455699</v>
      </c>
      <c r="F68" s="51">
        <v>62</v>
      </c>
      <c r="G68" s="78">
        <f t="shared" si="0"/>
        <v>22633.002519685826</v>
      </c>
    </row>
    <row r="69" spans="2:7" x14ac:dyDescent="0.25">
      <c r="B69" s="51">
        <v>63</v>
      </c>
      <c r="C69" s="79">
        <v>21314.194854663401</v>
      </c>
      <c r="F69" s="51">
        <v>63</v>
      </c>
      <c r="G69" s="78">
        <f t="shared" si="0"/>
        <v>21314.637773367125</v>
      </c>
    </row>
    <row r="70" spans="2:7" x14ac:dyDescent="0.25">
      <c r="B70" s="51">
        <v>64</v>
      </c>
      <c r="C70" s="79">
        <v>20074.648655591562</v>
      </c>
      <c r="F70" s="51">
        <v>64</v>
      </c>
      <c r="G70" s="78">
        <f t="shared" si="0"/>
        <v>20074.98512811141</v>
      </c>
    </row>
    <row r="71" spans="2:7" x14ac:dyDescent="0.25">
      <c r="B71" s="51">
        <v>65</v>
      </c>
      <c r="C71" s="79">
        <v>18917.749423411908</v>
      </c>
      <c r="F71" s="51">
        <v>65</v>
      </c>
      <c r="G71" s="78">
        <f t="shared" si="0"/>
        <v>18917.68502592103</v>
      </c>
    </row>
    <row r="72" spans="2:7" x14ac:dyDescent="0.25">
      <c r="B72" s="51">
        <v>66</v>
      </c>
      <c r="C72" s="79">
        <v>17841.18306297862</v>
      </c>
      <c r="F72" s="51">
        <v>66</v>
      </c>
      <c r="G72" s="78">
        <f t="shared" ref="G72:G77" si="1">(-C70+4*C71+10*C72+4*C73-C74)/16</f>
        <v>17841.233521740509</v>
      </c>
    </row>
    <row r="73" spans="2:7" x14ac:dyDescent="0.25">
      <c r="B73" s="51">
        <v>67</v>
      </c>
      <c r="C73" s="79">
        <v>16843.665838999979</v>
      </c>
      <c r="F73" s="51">
        <v>67</v>
      </c>
      <c r="G73" s="78">
        <f t="shared" si="1"/>
        <v>16845.627673826893</v>
      </c>
    </row>
    <row r="74" spans="2:7" x14ac:dyDescent="0.25">
      <c r="B74" s="51">
        <v>68</v>
      </c>
      <c r="C74" s="79">
        <v>15923.10667599404</v>
      </c>
      <c r="F74" s="51">
        <v>68</v>
      </c>
      <c r="G74" s="78">
        <f t="shared" si="1"/>
        <v>15922.539642968595</v>
      </c>
    </row>
    <row r="75" spans="2:7" x14ac:dyDescent="0.25">
      <c r="B75" s="51">
        <v>69</v>
      </c>
      <c r="C75" s="79">
        <v>15046.02514124825</v>
      </c>
      <c r="F75" s="51">
        <v>69</v>
      </c>
      <c r="G75" s="78">
        <f t="shared" si="1"/>
        <v>15043.421239080431</v>
      </c>
    </row>
    <row r="76" spans="2:7" x14ac:dyDescent="0.25">
      <c r="B76" s="51">
        <v>70</v>
      </c>
      <c r="C76" s="79">
        <v>14188.01333045719</v>
      </c>
      <c r="F76" s="51">
        <v>70</v>
      </c>
      <c r="G76" s="78">
        <f t="shared" si="1"/>
        <v>14189.631100638564</v>
      </c>
    </row>
    <row r="77" spans="2:7" x14ac:dyDescent="0.25">
      <c r="B77" s="51">
        <v>71</v>
      </c>
      <c r="C77" s="79">
        <v>13366.32577400055</v>
      </c>
      <c r="F77" s="51">
        <v>71</v>
      </c>
      <c r="G77" s="78">
        <f t="shared" si="1"/>
        <v>13366.697418638334</v>
      </c>
    </row>
    <row r="78" spans="2:7" x14ac:dyDescent="0.25">
      <c r="B78" s="51">
        <v>72</v>
      </c>
      <c r="C78" s="79">
        <v>12572.33267935603</v>
      </c>
      <c r="F78" s="51">
        <v>72</v>
      </c>
      <c r="G78" s="78">
        <f>(-C76+4*C77+10*C78+4*C79-C80)/16</f>
        <v>12571.092801148818</v>
      </c>
    </row>
    <row r="79" spans="2:7" x14ac:dyDescent="0.25">
      <c r="B79" s="51">
        <v>73</v>
      </c>
      <c r="C79" s="79">
        <v>11791.45793979679</v>
      </c>
      <c r="F79" s="51">
        <v>73</v>
      </c>
      <c r="G79" s="78">
        <f t="shared" ref="G79:G101" si="2">(-C77+4*C78+10*C79+4*C80-C81)/16</f>
        <v>11791.85126411774</v>
      </c>
    </row>
    <row r="80" spans="2:7" x14ac:dyDescent="0.25">
      <c r="B80" s="51">
        <v>74</v>
      </c>
      <c r="C80" s="79">
        <v>11028.96349991135</v>
      </c>
      <c r="F80" s="51">
        <v>74</v>
      </c>
      <c r="G80" s="78">
        <f t="shared" si="2"/>
        <v>11029.213285569185</v>
      </c>
    </row>
    <row r="81" spans="2:7" x14ac:dyDescent="0.25">
      <c r="B81" s="51">
        <v>75</v>
      </c>
      <c r="C81" s="79">
        <v>10283.818115153001</v>
      </c>
      <c r="F81" s="51">
        <v>75</v>
      </c>
      <c r="G81" s="78">
        <f t="shared" si="2"/>
        <v>10283.642114164106</v>
      </c>
    </row>
    <row r="82" spans="2:7" x14ac:dyDescent="0.25">
      <c r="B82" s="51">
        <v>76</v>
      </c>
      <c r="C82" s="223">
        <v>9550.993970449661</v>
      </c>
      <c r="F82" s="51">
        <v>76</v>
      </c>
      <c r="G82" s="78">
        <f t="shared" si="2"/>
        <v>9550.7732252193618</v>
      </c>
    </row>
    <row r="83" spans="2:7" x14ac:dyDescent="0.25">
      <c r="B83" s="51">
        <v>77</v>
      </c>
      <c r="C83" s="223">
        <v>8828.2792665515699</v>
      </c>
      <c r="F83" s="51">
        <v>77</v>
      </c>
      <c r="G83" s="78">
        <f t="shared" si="2"/>
        <v>8828.0572861504297</v>
      </c>
    </row>
    <row r="84" spans="2:7" x14ac:dyDescent="0.25">
      <c r="B84" s="51">
        <v>78</v>
      </c>
      <c r="C84" s="223">
        <v>8116.9941278937704</v>
      </c>
      <c r="F84" s="51">
        <v>78</v>
      </c>
      <c r="G84" s="78">
        <f t="shared" si="2"/>
        <v>8116.9194831610148</v>
      </c>
    </row>
    <row r="85" spans="2:7" x14ac:dyDescent="0.25">
      <c r="B85" s="51">
        <v>79</v>
      </c>
      <c r="C85" s="223">
        <v>7422.01036532957</v>
      </c>
      <c r="F85" s="51">
        <v>79</v>
      </c>
      <c r="G85" s="78">
        <f t="shared" si="2"/>
        <v>7422.1162637019834</v>
      </c>
    </row>
    <row r="86" spans="2:7" x14ac:dyDescent="0.25">
      <c r="B86" s="51">
        <v>80</v>
      </c>
      <c r="C86" s="223">
        <v>6749.3941054363695</v>
      </c>
      <c r="F86" s="51">
        <v>80</v>
      </c>
      <c r="G86" s="78">
        <f t="shared" si="2"/>
        <v>6749.4323474480389</v>
      </c>
    </row>
    <row r="87" spans="2:7" x14ac:dyDescent="0.25">
      <c r="B87" s="51">
        <v>81</v>
      </c>
      <c r="C87" s="223">
        <v>6103.5171008329298</v>
      </c>
      <c r="F87" s="51">
        <v>81</v>
      </c>
      <c r="G87" s="78">
        <f t="shared" si="2"/>
        <v>6103.9029024682895</v>
      </c>
    </row>
    <row r="88" spans="2:7" x14ac:dyDescent="0.25">
      <c r="B88" s="51">
        <v>82</v>
      </c>
      <c r="C88" s="223">
        <v>5488.1392319513106</v>
      </c>
      <c r="F88" s="51">
        <v>82</v>
      </c>
      <c r="G88" s="78">
        <f t="shared" si="2"/>
        <v>5487.8828705357055</v>
      </c>
    </row>
    <row r="89" spans="2:7" x14ac:dyDescent="0.25">
      <c r="B89" s="51">
        <v>83</v>
      </c>
      <c r="C89" s="223">
        <v>4900.8475530578198</v>
      </c>
      <c r="F89" s="51">
        <v>83</v>
      </c>
      <c r="G89" s="78">
        <f t="shared" si="2"/>
        <v>4901.1725507371302</v>
      </c>
    </row>
    <row r="90" spans="2:7" x14ac:dyDescent="0.25">
      <c r="B90" s="51">
        <v>84</v>
      </c>
      <c r="C90" s="223">
        <v>4343.3309010684407</v>
      </c>
      <c r="F90" s="51">
        <v>84</v>
      </c>
      <c r="G90" s="78">
        <f>(-C88+4*C89+10*C90+4*C91-C92)/16</f>
        <v>4342.7822069883568</v>
      </c>
    </row>
    <row r="91" spans="2:7" x14ac:dyDescent="0.25">
      <c r="B91" s="51">
        <v>85</v>
      </c>
      <c r="C91" s="223">
        <v>3812.0781500302</v>
      </c>
      <c r="F91" s="51">
        <v>85</v>
      </c>
      <c r="G91" s="78">
        <f t="shared" si="2"/>
        <v>3812.1374579171575</v>
      </c>
    </row>
    <row r="92" spans="2:7" x14ac:dyDescent="0.25">
      <c r="B92" s="51">
        <v>86</v>
      </c>
      <c r="C92" s="223">
        <v>3312.3572792714699</v>
      </c>
      <c r="F92" s="51">
        <v>86</v>
      </c>
      <c r="G92" s="78">
        <f t="shared" si="2"/>
        <v>3312.4343306810783</v>
      </c>
    </row>
    <row r="93" spans="2:7" x14ac:dyDescent="0.25">
      <c r="B93" s="51">
        <v>87</v>
      </c>
      <c r="C93" s="223">
        <v>2848.4873419292999</v>
      </c>
      <c r="F93" s="51">
        <v>87</v>
      </c>
      <c r="G93" s="78">
        <f t="shared" si="2"/>
        <v>2848.7512671886725</v>
      </c>
    </row>
    <row r="94" spans="2:7" x14ac:dyDescent="0.25">
      <c r="B94" s="51">
        <v>88</v>
      </c>
      <c r="C94" s="223">
        <v>2423.5545685870102</v>
      </c>
      <c r="F94" s="51">
        <v>88</v>
      </c>
      <c r="G94" s="78">
        <f t="shared" si="2"/>
        <v>2422.9453709901632</v>
      </c>
    </row>
    <row r="95" spans="2:7" x14ac:dyDescent="0.25">
      <c r="B95" s="51">
        <v>89</v>
      </c>
      <c r="C95" s="223">
        <v>2036.4223856779581</v>
      </c>
      <c r="F95" s="51">
        <v>89</v>
      </c>
      <c r="G95" s="78">
        <f t="shared" si="2"/>
        <v>2037.2795197159994</v>
      </c>
    </row>
    <row r="96" spans="2:7" x14ac:dyDescent="0.25">
      <c r="B96" s="51">
        <v>90</v>
      </c>
      <c r="C96" s="223">
        <v>1695.7013811850579</v>
      </c>
      <c r="F96" s="51">
        <v>90</v>
      </c>
      <c r="G96" s="78">
        <f t="shared" si="2"/>
        <v>1695.4797473861931</v>
      </c>
    </row>
    <row r="97" spans="2:7" x14ac:dyDescent="0.25">
      <c r="B97" s="51">
        <v>91</v>
      </c>
      <c r="C97" s="223">
        <v>1396.287998482564</v>
      </c>
      <c r="F97" s="51">
        <v>91</v>
      </c>
      <c r="G97" s="78">
        <f t="shared" si="2"/>
        <v>1396.3501617098261</v>
      </c>
    </row>
    <row r="98" spans="2:7" x14ac:dyDescent="0.25">
      <c r="B98" s="51">
        <v>92</v>
      </c>
      <c r="C98" s="223">
        <v>1136.6248217265679</v>
      </c>
      <c r="F98" s="51">
        <v>92</v>
      </c>
      <c r="G98" s="78">
        <f t="shared" si="2"/>
        <v>1136.6664119508068</v>
      </c>
    </row>
    <row r="99" spans="2:7" x14ac:dyDescent="0.25">
      <c r="B99" s="51">
        <v>93</v>
      </c>
      <c r="C99" s="223">
        <v>914.15982343697101</v>
      </c>
      <c r="F99" s="51">
        <v>93</v>
      </c>
      <c r="G99" s="78">
        <f t="shared" si="2"/>
        <v>914.17725463112049</v>
      </c>
    </row>
    <row r="100" spans="2:7" x14ac:dyDescent="0.25">
      <c r="B100" s="51">
        <v>94</v>
      </c>
      <c r="C100" s="223">
        <v>725.67553254585096</v>
      </c>
      <c r="F100" s="51">
        <v>94</v>
      </c>
      <c r="G100" s="78">
        <f t="shared" si="2"/>
        <v>725.65341516242358</v>
      </c>
    </row>
    <row r="101" spans="2:7" x14ac:dyDescent="0.25">
      <c r="B101" s="51">
        <v>95</v>
      </c>
      <c r="C101" s="223">
        <v>567.67557887889302</v>
      </c>
      <c r="F101" s="51">
        <v>95</v>
      </c>
      <c r="G101" s="78">
        <f t="shared" si="2"/>
        <v>567.66519635775421</v>
      </c>
    </row>
    <row r="102" spans="2:7" x14ac:dyDescent="0.25">
      <c r="B102" s="51">
        <v>96</v>
      </c>
      <c r="C102" s="223">
        <v>437.01747039661996</v>
      </c>
      <c r="F102" s="51">
        <v>96</v>
      </c>
      <c r="G102" s="78">
        <f>(-C100+4*C101+10*C102+4*C103-C104)/16</f>
        <v>437.02645801760696</v>
      </c>
    </row>
    <row r="103" spans="2:7" x14ac:dyDescent="0.25">
      <c r="B103" s="51">
        <v>97</v>
      </c>
      <c r="C103" s="223">
        <v>330.724835397775</v>
      </c>
      <c r="F103" s="51">
        <v>97</v>
      </c>
      <c r="G103" s="78">
        <f>(-C101+4*C102+10*C103+4*C104-C105)/16</f>
        <v>330.70082807924376</v>
      </c>
    </row>
    <row r="104" spans="2:7" x14ac:dyDescent="0.25">
      <c r="B104" s="51">
        <v>98</v>
      </c>
      <c r="C104" s="223">
        <v>245.67750024531</v>
      </c>
      <c r="F104" s="51">
        <v>98</v>
      </c>
      <c r="G104" s="78">
        <f>C104</f>
        <v>245.67750024531</v>
      </c>
    </row>
    <row r="105" spans="2:7" x14ac:dyDescent="0.25">
      <c r="B105" s="51">
        <v>99</v>
      </c>
      <c r="C105" s="223">
        <v>179.1394083986774</v>
      </c>
      <c r="F105" s="51">
        <v>99</v>
      </c>
      <c r="G105" s="78">
        <f>C105</f>
        <v>179.1394083986774</v>
      </c>
    </row>
    <row r="106" spans="2:7" ht="15.75" thickBot="1" x14ac:dyDescent="0.3">
      <c r="B106" s="56" t="s">
        <v>137</v>
      </c>
      <c r="C106" s="217">
        <v>403</v>
      </c>
      <c r="F106" s="56" t="s">
        <v>137</v>
      </c>
      <c r="G106" s="224">
        <f>C106</f>
        <v>403</v>
      </c>
    </row>
    <row r="107" spans="2:7" x14ac:dyDescent="0.25">
      <c r="B107" s="218"/>
      <c r="C107" s="111"/>
      <c r="D107" s="111"/>
    </row>
    <row r="108" spans="2:7" x14ac:dyDescent="0.25">
      <c r="B108" s="218"/>
      <c r="C108" s="111"/>
      <c r="D108" s="111"/>
    </row>
    <row r="109" spans="2:7" x14ac:dyDescent="0.25">
      <c r="B109" s="218"/>
      <c r="C109" s="111"/>
      <c r="D109" s="111"/>
    </row>
    <row r="110" spans="2:7" x14ac:dyDescent="0.25">
      <c r="B110" s="111"/>
      <c r="C110" s="111"/>
      <c r="D110" s="111"/>
    </row>
  </sheetData>
  <mergeCells count="3">
    <mergeCell ref="B2:C3"/>
    <mergeCell ref="F2:G3"/>
    <mergeCell ref="K7:P10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FF00"/>
  </sheetPr>
  <dimension ref="A3:AG113"/>
  <sheetViews>
    <sheetView topLeftCell="J1" zoomScale="70" zoomScaleNormal="70" workbookViewId="0">
      <selection activeCell="O10" sqref="O10"/>
    </sheetView>
  </sheetViews>
  <sheetFormatPr baseColWidth="10" defaultColWidth="8.85546875" defaultRowHeight="15" x14ac:dyDescent="0.25"/>
  <cols>
    <col min="1" max="5" width="11.28515625"/>
    <col min="6" max="6" width="15.7109375"/>
    <col min="7" max="20" width="11.28515625"/>
    <col min="21" max="24" width="11.42578125" bestFit="1" customWidth="1"/>
    <col min="25" max="25" width="15.28515625" bestFit="1" customWidth="1"/>
    <col min="26" max="26" width="14.28515625" bestFit="1" customWidth="1"/>
    <col min="27" max="27" width="15.28515625" bestFit="1" customWidth="1"/>
    <col min="28" max="28" width="16.85546875" bestFit="1" customWidth="1"/>
    <col min="29" max="29" width="10.42578125" bestFit="1" customWidth="1"/>
    <col min="30" max="31" width="11.5703125" bestFit="1" customWidth="1"/>
    <col min="32" max="32" width="18.42578125" bestFit="1" customWidth="1"/>
    <col min="33" max="33" width="11.42578125" bestFit="1" customWidth="1"/>
    <col min="34" max="1025" width="11.28515625"/>
  </cols>
  <sheetData>
    <row r="3" spans="1:33" ht="15.75" thickBot="1" x14ac:dyDescent="0.3">
      <c r="A3" t="s">
        <v>24</v>
      </c>
      <c r="B3" t="s">
        <v>2</v>
      </c>
      <c r="C3" t="s">
        <v>3</v>
      </c>
      <c r="E3" t="s">
        <v>86</v>
      </c>
      <c r="F3" t="s">
        <v>87</v>
      </c>
      <c r="G3" t="s">
        <v>88</v>
      </c>
      <c r="H3" t="s">
        <v>86</v>
      </c>
      <c r="I3" t="s">
        <v>87</v>
      </c>
      <c r="J3" t="s">
        <v>88</v>
      </c>
    </row>
    <row r="4" spans="1:33" ht="24" customHeight="1" thickBot="1" x14ac:dyDescent="0.3">
      <c r="A4" s="81">
        <v>0</v>
      </c>
      <c r="B4" s="82">
        <v>34996.566694600202</v>
      </c>
      <c r="C4" s="82">
        <v>33406.943507173601</v>
      </c>
      <c r="E4" t="s">
        <v>89</v>
      </c>
      <c r="F4">
        <v>1</v>
      </c>
      <c r="G4" s="83">
        <f t="shared" ref="G4:G22" si="0">(F4/SUM($F$4:$F$22))*$F$23+F4</f>
        <v>1.1007751937984496</v>
      </c>
      <c r="H4" t="s">
        <v>89</v>
      </c>
      <c r="I4">
        <v>2</v>
      </c>
      <c r="J4" s="83">
        <f t="shared" ref="J4:J23" si="1">(I4/SUM($I$4:$I$23))*$I$24+I4</f>
        <v>2.4031007751937983</v>
      </c>
      <c r="U4" s="240" t="s">
        <v>90</v>
      </c>
      <c r="V4" s="241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2"/>
    </row>
    <row r="5" spans="1:33" ht="21.75" thickBot="1" x14ac:dyDescent="0.4">
      <c r="A5" s="81">
        <v>1</v>
      </c>
      <c r="B5" s="82">
        <v>34897.119236130602</v>
      </c>
      <c r="C5" s="82">
        <v>33288.618818190698</v>
      </c>
      <c r="E5" t="s">
        <v>91</v>
      </c>
      <c r="F5">
        <v>1</v>
      </c>
      <c r="G5" s="83">
        <f t="shared" si="0"/>
        <v>1.1007751937984496</v>
      </c>
      <c r="H5" t="s">
        <v>91</v>
      </c>
      <c r="I5">
        <v>5</v>
      </c>
      <c r="J5" s="83">
        <f t="shared" si="1"/>
        <v>6.0077519379844961</v>
      </c>
      <c r="U5" s="135" t="s">
        <v>92</v>
      </c>
      <c r="V5" s="136" t="s">
        <v>93</v>
      </c>
      <c r="W5" s="136" t="s">
        <v>94</v>
      </c>
      <c r="X5" s="136" t="s">
        <v>95</v>
      </c>
      <c r="Y5" s="137" t="s">
        <v>96</v>
      </c>
      <c r="Z5" s="136" t="s">
        <v>97</v>
      </c>
      <c r="AA5" s="136" t="s">
        <v>98</v>
      </c>
      <c r="AB5" s="136" t="s">
        <v>99</v>
      </c>
      <c r="AC5" s="137" t="s">
        <v>100</v>
      </c>
      <c r="AD5" s="136" t="s">
        <v>101</v>
      </c>
      <c r="AE5" s="136" t="s">
        <v>102</v>
      </c>
      <c r="AF5" s="136" t="s">
        <v>103</v>
      </c>
      <c r="AG5" s="138" t="s">
        <v>104</v>
      </c>
    </row>
    <row r="6" spans="1:33" x14ac:dyDescent="0.25">
      <c r="A6" s="81">
        <v>2</v>
      </c>
      <c r="B6" s="82">
        <v>34959.9965681256</v>
      </c>
      <c r="C6" s="82">
        <v>33288.484881885597</v>
      </c>
      <c r="E6" t="s">
        <v>105</v>
      </c>
      <c r="F6">
        <v>1</v>
      </c>
      <c r="G6" s="83">
        <f t="shared" si="0"/>
        <v>1.1007751937984496</v>
      </c>
      <c r="H6" t="s">
        <v>106</v>
      </c>
      <c r="I6">
        <v>1</v>
      </c>
      <c r="J6" s="83">
        <f t="shared" si="1"/>
        <v>1.2015503875968991</v>
      </c>
      <c r="U6" s="139">
        <v>1</v>
      </c>
      <c r="V6" s="120">
        <f t="shared" ref="V6:V27" si="2">O21/M21</f>
        <v>1.5372936571032574E-2</v>
      </c>
      <c r="W6" s="121">
        <f t="shared" ref="W6:W26" si="3">(V6*U6)/(1+(U6-S21)*V6)</f>
        <v>1.5160799884192489E-2</v>
      </c>
      <c r="X6" s="121">
        <f t="shared" ref="X6:X27" si="4">1-W6</f>
        <v>0.9848392001158075</v>
      </c>
      <c r="Y6" s="122">
        <v>100000</v>
      </c>
      <c r="Z6" s="122">
        <f t="shared" ref="Z6:Z27" si="5">Y6*W6</f>
        <v>1516.0799884192488</v>
      </c>
      <c r="AA6" s="123">
        <f t="shared" ref="AA6:AA26" si="6">Y7*U6+Z6*S21</f>
        <v>98620.063994540789</v>
      </c>
      <c r="AB6" s="121">
        <f t="shared" ref="AB6:AB26" si="7">AB7+AA6</f>
        <v>7038132.5805958472</v>
      </c>
      <c r="AC6" s="121">
        <f t="shared" ref="AC6:AC27" si="8">AB6/Y6</f>
        <v>70.381325805958468</v>
      </c>
      <c r="AD6" s="122">
        <f t="shared" ref="AD6:AD27" si="9">Z6*(Q21/O21)</f>
        <v>6.7719200658477723</v>
      </c>
      <c r="AE6" s="122">
        <v>0</v>
      </c>
      <c r="AF6" s="121">
        <f t="shared" ref="AF6:AF20" si="10">AD6*($AC$6-AE6-S21)</f>
        <v>476.00859406442669</v>
      </c>
      <c r="AG6" s="124">
        <f t="shared" ref="AG6:AG20" si="11">AF6/Y6</f>
        <v>4.7600859406442672E-3</v>
      </c>
    </row>
    <row r="7" spans="1:33" x14ac:dyDescent="0.25">
      <c r="A7" s="81">
        <v>3</v>
      </c>
      <c r="B7" s="82">
        <v>34992.3900719581</v>
      </c>
      <c r="C7" s="82">
        <v>33256.259419745598</v>
      </c>
      <c r="E7" t="s">
        <v>26</v>
      </c>
      <c r="F7">
        <v>2</v>
      </c>
      <c r="G7" s="83">
        <f t="shared" si="0"/>
        <v>2.2015503875968991</v>
      </c>
      <c r="H7" t="s">
        <v>105</v>
      </c>
      <c r="I7">
        <v>1</v>
      </c>
      <c r="J7" s="83">
        <f t="shared" si="1"/>
        <v>1.2015503875968991</v>
      </c>
      <c r="U7" s="140">
        <v>4</v>
      </c>
      <c r="V7" s="125">
        <f t="shared" si="2"/>
        <v>6.642631230868749E-4</v>
      </c>
      <c r="W7" s="126">
        <f t="shared" si="3"/>
        <v>2.652651046997519E-3</v>
      </c>
      <c r="X7" s="126">
        <f t="shared" si="4"/>
        <v>0.99734734895300248</v>
      </c>
      <c r="Y7" s="127">
        <f t="shared" ref="Y7:Y27" si="12">Y6-Z6</f>
        <v>98483.920011580747</v>
      </c>
      <c r="Z7" s="127">
        <f t="shared" si="5"/>
        <v>261.24347353113956</v>
      </c>
      <c r="AA7" s="128">
        <f t="shared" si="6"/>
        <v>393283.11997378955</v>
      </c>
      <c r="AB7" s="126">
        <f t="shared" si="7"/>
        <v>6939512.5166013064</v>
      </c>
      <c r="AC7" s="126">
        <f t="shared" si="8"/>
        <v>70.463406775291716</v>
      </c>
      <c r="AD7" s="127">
        <f t="shared" si="9"/>
        <v>23.735688998513297</v>
      </c>
      <c r="AE7" s="127">
        <v>1</v>
      </c>
      <c r="AF7" s="126">
        <f t="shared" si="10"/>
        <v>1611.1601931900884</v>
      </c>
      <c r="AG7" s="129">
        <f t="shared" si="11"/>
        <v>1.6359626962458761E-2</v>
      </c>
    </row>
    <row r="8" spans="1:33" x14ac:dyDescent="0.25">
      <c r="A8" s="81">
        <v>4</v>
      </c>
      <c r="B8" s="82">
        <v>34512.212120931799</v>
      </c>
      <c r="C8" s="82">
        <v>32674.553118759301</v>
      </c>
      <c r="E8" t="s">
        <v>27</v>
      </c>
      <c r="F8">
        <v>5</v>
      </c>
      <c r="G8" s="83">
        <f t="shared" si="0"/>
        <v>5.5038759689922481</v>
      </c>
      <c r="H8" t="s">
        <v>26</v>
      </c>
      <c r="I8">
        <v>3</v>
      </c>
      <c r="J8" s="83">
        <f t="shared" si="1"/>
        <v>3.6046511627906979</v>
      </c>
      <c r="U8" s="140">
        <v>5</v>
      </c>
      <c r="V8" s="125">
        <f t="shared" si="2"/>
        <v>2.6691101256839575E-4</v>
      </c>
      <c r="W8" s="126">
        <f t="shared" si="3"/>
        <v>1.3336651380609114E-3</v>
      </c>
      <c r="X8" s="126">
        <f t="shared" si="4"/>
        <v>0.99866633486193912</v>
      </c>
      <c r="Y8" s="127">
        <f t="shared" si="12"/>
        <v>98222.676538049607</v>
      </c>
      <c r="Z8" s="127">
        <f t="shared" si="5"/>
        <v>130.99615946583017</v>
      </c>
      <c r="AA8" s="128">
        <f t="shared" si="6"/>
        <v>490785.89229158347</v>
      </c>
      <c r="AB8" s="126">
        <f t="shared" si="7"/>
        <v>6546229.3966275165</v>
      </c>
      <c r="AC8" s="126">
        <f t="shared" si="8"/>
        <v>66.646823598740269</v>
      </c>
      <c r="AD8" s="127">
        <f t="shared" si="9"/>
        <v>9.7674865708126326</v>
      </c>
      <c r="AE8" s="127">
        <v>5</v>
      </c>
      <c r="AF8" s="126">
        <f t="shared" si="10"/>
        <v>614.19250536459322</v>
      </c>
      <c r="AG8" s="129">
        <f t="shared" si="11"/>
        <v>6.253062195130334E-3</v>
      </c>
    </row>
    <row r="9" spans="1:33" x14ac:dyDescent="0.25">
      <c r="A9" s="81">
        <v>5</v>
      </c>
      <c r="B9" s="82">
        <v>35385.257038694603</v>
      </c>
      <c r="C9" s="82">
        <v>33462.903750525198</v>
      </c>
      <c r="E9" t="s">
        <v>28</v>
      </c>
      <c r="F9">
        <v>8</v>
      </c>
      <c r="G9" s="83">
        <f t="shared" si="0"/>
        <v>8.8062015503875966</v>
      </c>
      <c r="H9" t="s">
        <v>27</v>
      </c>
      <c r="I9">
        <v>9</v>
      </c>
      <c r="J9" s="83">
        <f t="shared" si="1"/>
        <v>10.813953488372093</v>
      </c>
      <c r="U9" s="140">
        <v>5</v>
      </c>
      <c r="V9" s="125">
        <f t="shared" si="2"/>
        <v>3.4806893535597777E-4</v>
      </c>
      <c r="W9" s="126">
        <f t="shared" si="3"/>
        <v>1.738831593625997E-3</v>
      </c>
      <c r="X9" s="126">
        <f t="shared" si="4"/>
        <v>0.99826116840637402</v>
      </c>
      <c r="Y9" s="127">
        <f t="shared" si="12"/>
        <v>98091.680378583784</v>
      </c>
      <c r="Z9" s="127">
        <f t="shared" si="5"/>
        <v>170.56491291414477</v>
      </c>
      <c r="AA9" s="128">
        <f t="shared" si="6"/>
        <v>490031.98961063358</v>
      </c>
      <c r="AB9" s="126">
        <f t="shared" si="7"/>
        <v>6055443.5043359334</v>
      </c>
      <c r="AC9" s="126">
        <f t="shared" si="8"/>
        <v>61.732488229022223</v>
      </c>
      <c r="AD9" s="127">
        <f t="shared" si="9"/>
        <v>29.886965254290189</v>
      </c>
      <c r="AE9" s="127">
        <f t="shared" ref="AE9:AE27" si="13">+AE8+5</f>
        <v>10</v>
      </c>
      <c r="AF9" s="126">
        <f t="shared" si="10"/>
        <v>1729.8971732349307</v>
      </c>
      <c r="AG9" s="129">
        <f t="shared" si="11"/>
        <v>1.7635513700636089E-2</v>
      </c>
    </row>
    <row r="10" spans="1:33" x14ac:dyDescent="0.25">
      <c r="A10" s="81">
        <v>6</v>
      </c>
      <c r="B10" s="82">
        <v>36514.234840835597</v>
      </c>
      <c r="C10" s="82">
        <v>34610.675001827403</v>
      </c>
      <c r="E10" t="s">
        <v>29</v>
      </c>
      <c r="F10">
        <v>18</v>
      </c>
      <c r="G10" s="83">
        <f t="shared" si="0"/>
        <v>19.813953488372093</v>
      </c>
      <c r="H10" t="s">
        <v>28</v>
      </c>
      <c r="I10">
        <v>113</v>
      </c>
      <c r="J10" s="83">
        <f t="shared" si="1"/>
        <v>135.77519379844961</v>
      </c>
      <c r="U10" s="140">
        <v>5</v>
      </c>
      <c r="V10" s="125">
        <f t="shared" si="2"/>
        <v>1.8061762182719273E-3</v>
      </c>
      <c r="W10" s="126">
        <f t="shared" si="3"/>
        <v>8.990285989485456E-3</v>
      </c>
      <c r="X10" s="126">
        <f t="shared" si="4"/>
        <v>0.99100971401051452</v>
      </c>
      <c r="Y10" s="127">
        <f t="shared" si="12"/>
        <v>97921.115465669645</v>
      </c>
      <c r="Z10" s="127">
        <f t="shared" si="5"/>
        <v>880.33883244579738</v>
      </c>
      <c r="AA10" s="128">
        <f t="shared" si="6"/>
        <v>487404.73024723376</v>
      </c>
      <c r="AB10" s="126">
        <f t="shared" si="7"/>
        <v>5565411.5147252996</v>
      </c>
      <c r="AC10" s="126">
        <f t="shared" si="8"/>
        <v>56.835662954396064</v>
      </c>
      <c r="AD10" s="127">
        <f t="shared" si="9"/>
        <v>392.58839223310082</v>
      </c>
      <c r="AE10" s="127">
        <f t="shared" si="13"/>
        <v>15</v>
      </c>
      <c r="AF10" s="126">
        <f t="shared" si="10"/>
        <v>20760.594677316021</v>
      </c>
      <c r="AG10" s="129">
        <f t="shared" si="11"/>
        <v>0.21201346184209388</v>
      </c>
    </row>
    <row r="11" spans="1:33" x14ac:dyDescent="0.25">
      <c r="A11" s="81">
        <v>7</v>
      </c>
      <c r="B11" s="82">
        <v>36376.923679845298</v>
      </c>
      <c r="C11" s="82">
        <v>34549.2616082694</v>
      </c>
      <c r="E11" t="s">
        <v>30</v>
      </c>
      <c r="F11">
        <v>24</v>
      </c>
      <c r="G11" s="83">
        <f t="shared" si="0"/>
        <v>26.418604651162791</v>
      </c>
      <c r="H11" t="s">
        <v>29</v>
      </c>
      <c r="I11">
        <v>177</v>
      </c>
      <c r="J11" s="83">
        <f t="shared" si="1"/>
        <v>212.67441860465118</v>
      </c>
      <c r="U11" s="140">
        <v>5</v>
      </c>
      <c r="V11" s="125">
        <f t="shared" si="2"/>
        <v>2.8641197686993126E-3</v>
      </c>
      <c r="W11" s="126">
        <f t="shared" si="3"/>
        <v>1.4218788063547184E-2</v>
      </c>
      <c r="X11" s="126">
        <f t="shared" si="4"/>
        <v>0.98578121193645285</v>
      </c>
      <c r="Y11" s="127">
        <f t="shared" si="12"/>
        <v>97040.776633223853</v>
      </c>
      <c r="Z11" s="127">
        <f t="shared" si="5"/>
        <v>1379.8022364698318</v>
      </c>
      <c r="AA11" s="128">
        <f t="shared" si="6"/>
        <v>481754.37757494475</v>
      </c>
      <c r="AB11" s="126">
        <f t="shared" si="7"/>
        <v>5078006.7844780656</v>
      </c>
      <c r="AC11" s="126">
        <f t="shared" si="8"/>
        <v>52.328587637658167</v>
      </c>
      <c r="AD11" s="127">
        <f t="shared" si="9"/>
        <v>658.87507297600939</v>
      </c>
      <c r="AE11" s="127">
        <f t="shared" si="13"/>
        <v>20</v>
      </c>
      <c r="AF11" s="126">
        <f t="shared" si="10"/>
        <v>31547.812034588969</v>
      </c>
      <c r="AG11" s="129">
        <f t="shared" si="11"/>
        <v>0.3250985114621181</v>
      </c>
    </row>
    <row r="12" spans="1:33" x14ac:dyDescent="0.25">
      <c r="A12" s="81">
        <v>8</v>
      </c>
      <c r="B12" s="82">
        <v>36477.305860602602</v>
      </c>
      <c r="C12" s="82">
        <v>34714.785166932597</v>
      </c>
      <c r="E12" t="s">
        <v>31</v>
      </c>
      <c r="F12">
        <v>17</v>
      </c>
      <c r="G12" s="83">
        <f t="shared" si="0"/>
        <v>18.713178294573645</v>
      </c>
      <c r="H12" t="s">
        <v>30</v>
      </c>
      <c r="I12">
        <v>189</v>
      </c>
      <c r="J12" s="83">
        <f t="shared" si="1"/>
        <v>227.09302325581396</v>
      </c>
      <c r="U12" s="140">
        <v>5</v>
      </c>
      <c r="V12" s="125">
        <f t="shared" si="2"/>
        <v>3.2126064844740622E-3</v>
      </c>
      <c r="W12" s="126">
        <f t="shared" si="3"/>
        <v>1.5935049811483339E-2</v>
      </c>
      <c r="X12" s="126">
        <f t="shared" si="4"/>
        <v>0.9840649501885167</v>
      </c>
      <c r="Y12" s="127">
        <f t="shared" si="12"/>
        <v>95660.974396754027</v>
      </c>
      <c r="Z12" s="127">
        <f t="shared" si="5"/>
        <v>1524.3623920273078</v>
      </c>
      <c r="AA12" s="128">
        <f t="shared" si="6"/>
        <v>474493.96600370185</v>
      </c>
      <c r="AB12" s="126">
        <f t="shared" si="7"/>
        <v>4596252.4069031207</v>
      </c>
      <c r="AC12" s="126">
        <f t="shared" si="8"/>
        <v>48.047309113120228</v>
      </c>
      <c r="AD12" s="127">
        <f t="shared" si="9"/>
        <v>773.68047269700094</v>
      </c>
      <c r="AE12" s="127">
        <f t="shared" si="13"/>
        <v>25</v>
      </c>
      <c r="AF12" s="126">
        <f t="shared" si="10"/>
        <v>33176.444419428051</v>
      </c>
      <c r="AG12" s="129">
        <f t="shared" si="11"/>
        <v>0.34681273767742216</v>
      </c>
    </row>
    <row r="13" spans="1:33" x14ac:dyDescent="0.25">
      <c r="A13" s="81">
        <v>9</v>
      </c>
      <c r="B13" s="82">
        <v>36368.814506164701</v>
      </c>
      <c r="C13" s="82">
        <v>34659.735669565198</v>
      </c>
      <c r="E13" t="s">
        <v>32</v>
      </c>
      <c r="F13">
        <v>13</v>
      </c>
      <c r="G13" s="83">
        <f t="shared" si="0"/>
        <v>14.310077519379846</v>
      </c>
      <c r="H13" t="s">
        <v>31</v>
      </c>
      <c r="I13">
        <v>144</v>
      </c>
      <c r="J13" s="83">
        <f t="shared" si="1"/>
        <v>173.02325581395348</v>
      </c>
      <c r="U13" s="140">
        <v>5</v>
      </c>
      <c r="V13" s="125">
        <f t="shared" si="2"/>
        <v>3.4580251089474778E-3</v>
      </c>
      <c r="W13" s="126">
        <f t="shared" si="3"/>
        <v>1.7141932462558865E-2</v>
      </c>
      <c r="X13" s="126">
        <f t="shared" si="4"/>
        <v>0.98285806753744109</v>
      </c>
      <c r="Y13" s="127">
        <f t="shared" si="12"/>
        <v>94136.612004726718</v>
      </c>
      <c r="Z13" s="127">
        <f t="shared" si="5"/>
        <v>1613.6834452391336</v>
      </c>
      <c r="AA13" s="128">
        <f t="shared" si="6"/>
        <v>466648.85141053575</v>
      </c>
      <c r="AB13" s="126">
        <f t="shared" si="7"/>
        <v>4121758.4408994191</v>
      </c>
      <c r="AC13" s="126">
        <f t="shared" si="8"/>
        <v>43.784860673469538</v>
      </c>
      <c r="AD13" s="127">
        <f t="shared" si="9"/>
        <v>615.52133230840377</v>
      </c>
      <c r="AE13" s="127">
        <f t="shared" si="13"/>
        <v>30</v>
      </c>
      <c r="AF13" s="126">
        <f t="shared" si="10"/>
        <v>23316.764129692274</v>
      </c>
      <c r="AG13" s="129">
        <f t="shared" si="11"/>
        <v>0.2476907085685377</v>
      </c>
    </row>
    <row r="14" spans="1:33" x14ac:dyDescent="0.25">
      <c r="A14" s="81">
        <v>10</v>
      </c>
      <c r="B14" s="82">
        <v>36076.661916432</v>
      </c>
      <c r="C14" s="82">
        <v>34432.356066823399</v>
      </c>
      <c r="E14" t="s">
        <v>33</v>
      </c>
      <c r="F14">
        <v>17</v>
      </c>
      <c r="G14" s="83">
        <f t="shared" si="0"/>
        <v>18.713178294573645</v>
      </c>
      <c r="H14" t="s">
        <v>32</v>
      </c>
      <c r="I14">
        <v>154</v>
      </c>
      <c r="J14" s="83">
        <f t="shared" si="1"/>
        <v>185.03875968992247</v>
      </c>
      <c r="U14" s="140">
        <v>5</v>
      </c>
      <c r="V14" s="125">
        <f t="shared" si="2"/>
        <v>3.9811540146443636E-3</v>
      </c>
      <c r="W14" s="126">
        <f t="shared" si="3"/>
        <v>1.970960266379182E-2</v>
      </c>
      <c r="X14" s="126">
        <f t="shared" si="4"/>
        <v>0.98029039733620815</v>
      </c>
      <c r="Y14" s="127">
        <f t="shared" si="12"/>
        <v>92522.928559487584</v>
      </c>
      <c r="Z14" s="127">
        <f t="shared" si="5"/>
        <v>1823.5901591978968</v>
      </c>
      <c r="AA14" s="128">
        <f t="shared" si="6"/>
        <v>458055.66739944322</v>
      </c>
      <c r="AB14" s="126">
        <f t="shared" si="7"/>
        <v>3655109.5894888835</v>
      </c>
      <c r="AC14" s="126">
        <f t="shared" si="8"/>
        <v>39.504905934087809</v>
      </c>
      <c r="AD14" s="127">
        <f t="shared" si="9"/>
        <v>653.49926939326224</v>
      </c>
      <c r="AE14" s="127">
        <f t="shared" si="13"/>
        <v>35</v>
      </c>
      <c r="AF14" s="126">
        <f t="shared" si="10"/>
        <v>21487.922390875679</v>
      </c>
      <c r="AG14" s="129">
        <f t="shared" si="11"/>
        <v>0.23224429582403489</v>
      </c>
    </row>
    <row r="15" spans="1:33" x14ac:dyDescent="0.25">
      <c r="A15" s="81">
        <v>11</v>
      </c>
      <c r="B15" s="82">
        <v>35777.959133430697</v>
      </c>
      <c r="C15" s="82">
        <v>34211.6058281726</v>
      </c>
      <c r="E15" t="s">
        <v>34</v>
      </c>
      <c r="F15">
        <v>5</v>
      </c>
      <c r="G15" s="83">
        <f t="shared" si="0"/>
        <v>5.5038759689922481</v>
      </c>
      <c r="H15" t="s">
        <v>33</v>
      </c>
      <c r="I15">
        <v>135</v>
      </c>
      <c r="J15" s="83">
        <f t="shared" si="1"/>
        <v>162.2093023255814</v>
      </c>
      <c r="U15" s="140">
        <v>5</v>
      </c>
      <c r="V15" s="125">
        <f t="shared" si="2"/>
        <v>5.0504332329365806E-3</v>
      </c>
      <c r="W15" s="126">
        <f t="shared" si="3"/>
        <v>2.4937305671425734E-2</v>
      </c>
      <c r="X15" s="126">
        <f t="shared" si="4"/>
        <v>0.97506269432857429</v>
      </c>
      <c r="Y15" s="127">
        <f t="shared" si="12"/>
        <v>90699.338400289693</v>
      </c>
      <c r="Z15" s="127">
        <f t="shared" si="5"/>
        <v>2261.7971258841062</v>
      </c>
      <c r="AA15" s="128">
        <f t="shared" si="6"/>
        <v>447842.19918673811</v>
      </c>
      <c r="AB15" s="126">
        <f t="shared" si="7"/>
        <v>3197053.9220894403</v>
      </c>
      <c r="AC15" s="126">
        <f t="shared" si="8"/>
        <v>35.248922191468033</v>
      </c>
      <c r="AD15" s="127">
        <f t="shared" si="9"/>
        <v>578.10019397976805</v>
      </c>
      <c r="AE15" s="127">
        <f t="shared" si="13"/>
        <v>40</v>
      </c>
      <c r="AF15" s="126">
        <f t="shared" si="10"/>
        <v>16118.199856837704</v>
      </c>
      <c r="AG15" s="129">
        <f t="shared" si="11"/>
        <v>0.177710225246651</v>
      </c>
    </row>
    <row r="16" spans="1:33" x14ac:dyDescent="0.25">
      <c r="A16" s="81">
        <v>12</v>
      </c>
      <c r="B16" s="82">
        <v>35474.960817214996</v>
      </c>
      <c r="C16" s="82">
        <v>34000.026528769202</v>
      </c>
      <c r="E16" t="s">
        <v>35</v>
      </c>
      <c r="F16">
        <v>3</v>
      </c>
      <c r="G16" s="83">
        <f t="shared" si="0"/>
        <v>3.3023255813953489</v>
      </c>
      <c r="H16" t="s">
        <v>34</v>
      </c>
      <c r="I16">
        <v>85</v>
      </c>
      <c r="J16" s="83">
        <f t="shared" si="1"/>
        <v>102.13178294573643</v>
      </c>
      <c r="U16" s="140">
        <v>5</v>
      </c>
      <c r="V16" s="125">
        <f t="shared" si="2"/>
        <v>6.3557478737031091E-3</v>
      </c>
      <c r="W16" s="126">
        <f t="shared" si="3"/>
        <v>3.1281692984337951E-2</v>
      </c>
      <c r="X16" s="126">
        <f t="shared" si="4"/>
        <v>0.96871830701566208</v>
      </c>
      <c r="Y16" s="127">
        <f t="shared" si="12"/>
        <v>88437.541274405579</v>
      </c>
      <c r="Z16" s="127">
        <f t="shared" si="5"/>
        <v>2766.476014435671</v>
      </c>
      <c r="AA16" s="128">
        <f t="shared" si="6"/>
        <v>435271.51633593871</v>
      </c>
      <c r="AB16" s="126">
        <f t="shared" si="7"/>
        <v>2749211.7229027022</v>
      </c>
      <c r="AC16" s="126">
        <f t="shared" si="8"/>
        <v>31.086478471539582</v>
      </c>
      <c r="AD16" s="127">
        <f t="shared" si="9"/>
        <v>391.29976362824601</v>
      </c>
      <c r="AE16" s="127">
        <f t="shared" si="13"/>
        <v>45</v>
      </c>
      <c r="AF16" s="126">
        <f t="shared" si="10"/>
        <v>8953.4573793724339</v>
      </c>
      <c r="AG16" s="129">
        <f t="shared" si="11"/>
        <v>0.10124046022029815</v>
      </c>
    </row>
    <row r="17" spans="1:33" x14ac:dyDescent="0.25">
      <c r="A17" s="81">
        <v>13</v>
      </c>
      <c r="B17" s="82">
        <v>35147.569311445499</v>
      </c>
      <c r="C17" s="82">
        <v>33757.798540785901</v>
      </c>
      <c r="E17" t="s">
        <v>36</v>
      </c>
      <c r="F17">
        <v>6</v>
      </c>
      <c r="G17" s="83">
        <f t="shared" si="0"/>
        <v>6.6046511627906979</v>
      </c>
      <c r="H17" t="s">
        <v>35</v>
      </c>
      <c r="I17">
        <v>51</v>
      </c>
      <c r="J17" s="83">
        <f t="shared" si="1"/>
        <v>61.279069767441861</v>
      </c>
      <c r="U17" s="140">
        <v>5</v>
      </c>
      <c r="V17" s="125">
        <f t="shared" si="2"/>
        <v>8.8460745008711907E-3</v>
      </c>
      <c r="W17" s="126">
        <f t="shared" si="3"/>
        <v>4.3273373783376465E-2</v>
      </c>
      <c r="X17" s="126">
        <f t="shared" si="4"/>
        <v>0.95672662621662352</v>
      </c>
      <c r="Y17" s="127">
        <f t="shared" si="12"/>
        <v>85671.06525996991</v>
      </c>
      <c r="Z17" s="127">
        <f t="shared" si="5"/>
        <v>3707.276029414716</v>
      </c>
      <c r="AA17" s="128">
        <f t="shared" si="6"/>
        <v>419087.13622631272</v>
      </c>
      <c r="AB17" s="126">
        <f t="shared" si="7"/>
        <v>2313940.2065667636</v>
      </c>
      <c r="AC17" s="126">
        <f t="shared" si="8"/>
        <v>27.009588354540512</v>
      </c>
      <c r="AD17" s="127">
        <f t="shared" si="9"/>
        <v>276.42618668564245</v>
      </c>
      <c r="AE17" s="127">
        <f t="shared" si="13"/>
        <v>50</v>
      </c>
      <c r="AF17" s="126">
        <f t="shared" si="10"/>
        <v>4942.8667054246716</v>
      </c>
      <c r="AG17" s="129">
        <f t="shared" si="11"/>
        <v>5.769587071697406E-2</v>
      </c>
    </row>
    <row r="18" spans="1:33" ht="15.75" thickBot="1" x14ac:dyDescent="0.3">
      <c r="A18" s="81">
        <v>14</v>
      </c>
      <c r="B18" s="82">
        <v>34830.350549279297</v>
      </c>
      <c r="C18" s="82">
        <v>33546.947103381302</v>
      </c>
      <c r="E18" t="s">
        <v>37</v>
      </c>
      <c r="F18">
        <v>2</v>
      </c>
      <c r="G18" s="83">
        <f t="shared" si="0"/>
        <v>2.2015503875968991</v>
      </c>
      <c r="H18" t="s">
        <v>36</v>
      </c>
      <c r="I18">
        <v>32</v>
      </c>
      <c r="J18" s="83">
        <f t="shared" si="1"/>
        <v>38.449612403100772</v>
      </c>
      <c r="U18" s="140">
        <v>5</v>
      </c>
      <c r="V18" s="125">
        <f t="shared" si="2"/>
        <v>1.2523233615692004E-2</v>
      </c>
      <c r="W18" s="126">
        <f t="shared" si="3"/>
        <v>6.0715288716846866E-2</v>
      </c>
      <c r="X18" s="126">
        <f t="shared" si="4"/>
        <v>0.93928471128315316</v>
      </c>
      <c r="Y18" s="127">
        <f t="shared" si="12"/>
        <v>81963.789230555194</v>
      </c>
      <c r="Z18" s="127">
        <f t="shared" si="5"/>
        <v>4976.4551274599426</v>
      </c>
      <c r="AA18" s="128">
        <f t="shared" si="6"/>
        <v>397377.80833412614</v>
      </c>
      <c r="AB18" s="126">
        <f t="shared" si="7"/>
        <v>1894853.0703404509</v>
      </c>
      <c r="AC18" s="126">
        <f t="shared" si="8"/>
        <v>23.118173136315551</v>
      </c>
      <c r="AD18" s="127">
        <f t="shared" si="9"/>
        <v>212.11497987970409</v>
      </c>
      <c r="AE18" s="127">
        <f t="shared" si="13"/>
        <v>55</v>
      </c>
      <c r="AF18" s="126">
        <f t="shared" si="10"/>
        <v>2732.3221641547934</v>
      </c>
      <c r="AG18" s="129">
        <f t="shared" si="11"/>
        <v>3.3335722882077465E-2</v>
      </c>
    </row>
    <row r="19" spans="1:33" ht="31.9" customHeight="1" thickBot="1" x14ac:dyDescent="0.3">
      <c r="A19" s="81">
        <v>15</v>
      </c>
      <c r="B19" s="82">
        <v>34500.110166016697</v>
      </c>
      <c r="C19" s="82">
        <v>33416.474454748197</v>
      </c>
      <c r="E19" t="s">
        <v>38</v>
      </c>
      <c r="F19">
        <v>3</v>
      </c>
      <c r="G19" s="83">
        <f t="shared" si="0"/>
        <v>3.3023255813953489</v>
      </c>
      <c r="H19" t="s">
        <v>37</v>
      </c>
      <c r="I19">
        <v>23</v>
      </c>
      <c r="J19" s="83">
        <f t="shared" si="1"/>
        <v>27.635658914728683</v>
      </c>
      <c r="L19" s="177"/>
      <c r="M19" s="243" t="s">
        <v>51</v>
      </c>
      <c r="N19" s="243"/>
      <c r="O19" s="243" t="s">
        <v>107</v>
      </c>
      <c r="P19" s="243"/>
      <c r="Q19" s="243" t="s">
        <v>108</v>
      </c>
      <c r="R19" s="243"/>
      <c r="S19" s="178"/>
      <c r="U19" s="140">
        <v>5</v>
      </c>
      <c r="V19" s="125">
        <f t="shared" si="2"/>
        <v>1.7676860734541146E-2</v>
      </c>
      <c r="W19" s="126">
        <f t="shared" si="3"/>
        <v>8.4643715734953565E-2</v>
      </c>
      <c r="X19" s="126">
        <f t="shared" si="4"/>
        <v>0.91535628426504645</v>
      </c>
      <c r="Y19" s="127">
        <f t="shared" si="12"/>
        <v>76987.334103095258</v>
      </c>
      <c r="Z19" s="127">
        <f t="shared" si="5"/>
        <v>6516.4940230142911</v>
      </c>
      <c r="AA19" s="128">
        <f t="shared" si="6"/>
        <v>368645.43545794056</v>
      </c>
      <c r="AB19" s="126">
        <f t="shared" si="7"/>
        <v>1497475.2620063247</v>
      </c>
      <c r="AC19" s="126">
        <f t="shared" si="8"/>
        <v>19.450930201077309</v>
      </c>
      <c r="AD19" s="127">
        <f t="shared" si="9"/>
        <v>189.68849857860988</v>
      </c>
      <c r="AE19" s="127">
        <f t="shared" si="13"/>
        <v>60</v>
      </c>
      <c r="AF19" s="126">
        <f t="shared" si="10"/>
        <v>1494.9968589411144</v>
      </c>
      <c r="AG19" s="129">
        <f t="shared" si="11"/>
        <v>1.9418737852893237E-2</v>
      </c>
    </row>
    <row r="20" spans="1:33" ht="16.5" thickBot="1" x14ac:dyDescent="0.3">
      <c r="A20" s="81">
        <v>16</v>
      </c>
      <c r="B20" s="82">
        <v>34121.960626001201</v>
      </c>
      <c r="C20" s="82">
        <v>33286.835675141701</v>
      </c>
      <c r="E20" t="s">
        <v>109</v>
      </c>
      <c r="F20">
        <v>1</v>
      </c>
      <c r="G20" s="83">
        <f t="shared" si="0"/>
        <v>1.1007751937984496</v>
      </c>
      <c r="H20" t="s">
        <v>38</v>
      </c>
      <c r="I20">
        <v>14</v>
      </c>
      <c r="J20" s="83">
        <f t="shared" si="1"/>
        <v>16.821705426356591</v>
      </c>
      <c r="L20" s="191" t="s">
        <v>24</v>
      </c>
      <c r="M20" s="186" t="s">
        <v>2</v>
      </c>
      <c r="N20" s="184" t="s">
        <v>3</v>
      </c>
      <c r="O20" s="183" t="s">
        <v>2</v>
      </c>
      <c r="P20" s="184" t="s">
        <v>3</v>
      </c>
      <c r="Q20" s="183" t="s">
        <v>2</v>
      </c>
      <c r="R20" s="184" t="s">
        <v>3</v>
      </c>
      <c r="S20" s="185" t="s">
        <v>110</v>
      </c>
      <c r="U20" s="140">
        <v>5</v>
      </c>
      <c r="V20" s="125">
        <f t="shared" si="2"/>
        <v>2.7677586261861044E-2</v>
      </c>
      <c r="W20" s="126">
        <f t="shared" si="3"/>
        <v>0.12943201678525393</v>
      </c>
      <c r="X20" s="126">
        <f t="shared" si="4"/>
        <v>0.87056798321474604</v>
      </c>
      <c r="Y20" s="127">
        <f t="shared" si="12"/>
        <v>70470.840080080961</v>
      </c>
      <c r="Z20" s="127">
        <f t="shared" si="5"/>
        <v>9121.1829561159848</v>
      </c>
      <c r="AA20" s="128">
        <f t="shared" si="6"/>
        <v>329551.24301011488</v>
      </c>
      <c r="AB20" s="126">
        <f t="shared" si="7"/>
        <v>1128829.826548384</v>
      </c>
      <c r="AC20" s="126">
        <f t="shared" si="8"/>
        <v>16.018396052404306</v>
      </c>
      <c r="AD20" s="127">
        <f t="shared" si="9"/>
        <v>139.67182660520433</v>
      </c>
      <c r="AE20" s="127">
        <f t="shared" si="13"/>
        <v>65</v>
      </c>
      <c r="AF20" s="126">
        <f t="shared" si="10"/>
        <v>402.44003836293183</v>
      </c>
      <c r="AG20" s="129">
        <f t="shared" si="11"/>
        <v>5.7107313877003728E-3</v>
      </c>
    </row>
    <row r="21" spans="1:33" x14ac:dyDescent="0.25">
      <c r="A21" s="81">
        <v>17</v>
      </c>
      <c r="B21" s="82">
        <v>33727.974465507497</v>
      </c>
      <c r="C21" s="82">
        <v>33139.215338947797</v>
      </c>
      <c r="E21" t="s">
        <v>111</v>
      </c>
      <c r="F21">
        <v>1</v>
      </c>
      <c r="G21" s="83">
        <f t="shared" si="0"/>
        <v>1.1007751937984496</v>
      </c>
      <c r="H21" t="s">
        <v>39</v>
      </c>
      <c r="I21">
        <v>11</v>
      </c>
      <c r="J21" s="83">
        <f t="shared" si="1"/>
        <v>13.217054263565892</v>
      </c>
      <c r="L21" s="192">
        <v>0</v>
      </c>
      <c r="M21" s="187">
        <f>B4</f>
        <v>34996.566694600202</v>
      </c>
      <c r="N21" s="180">
        <f>C4</f>
        <v>33406.943507173601</v>
      </c>
      <c r="O21" s="179">
        <v>538</v>
      </c>
      <c r="P21" s="180">
        <v>408</v>
      </c>
      <c r="Q21" s="181">
        <f>J4</f>
        <v>2.4031007751937983</v>
      </c>
      <c r="R21" s="180">
        <v>1</v>
      </c>
      <c r="S21" s="182">
        <v>8.9800000000000005E-2</v>
      </c>
      <c r="U21" s="140">
        <v>5</v>
      </c>
      <c r="V21" s="125">
        <f t="shared" si="2"/>
        <v>4.081078446692938E-2</v>
      </c>
      <c r="W21" s="126">
        <f t="shared" si="3"/>
        <v>0.18516236854904394</v>
      </c>
      <c r="X21" s="126">
        <f t="shared" si="4"/>
        <v>0.814837631450956</v>
      </c>
      <c r="Y21" s="127">
        <f t="shared" si="12"/>
        <v>61349.657123964978</v>
      </c>
      <c r="Z21" s="127">
        <f t="shared" si="5"/>
        <v>11359.647822745083</v>
      </c>
      <c r="AA21" s="128">
        <f t="shared" si="6"/>
        <v>278349.16606296215</v>
      </c>
      <c r="AB21" s="126">
        <f t="shared" si="7"/>
        <v>799278.58353826916</v>
      </c>
      <c r="AC21" s="126">
        <f t="shared" si="8"/>
        <v>13.028248583740616</v>
      </c>
      <c r="AD21" s="127">
        <f t="shared" si="9"/>
        <v>125.18718241526066</v>
      </c>
      <c r="AE21" s="127">
        <f t="shared" si="13"/>
        <v>70</v>
      </c>
      <c r="AF21" s="126"/>
      <c r="AG21" s="129"/>
    </row>
    <row r="22" spans="1:33" x14ac:dyDescent="0.25">
      <c r="A22" s="81">
        <v>18</v>
      </c>
      <c r="B22" s="82">
        <v>33353.551381839898</v>
      </c>
      <c r="C22" s="82">
        <v>33026.4840936935</v>
      </c>
      <c r="E22" t="s">
        <v>112</v>
      </c>
      <c r="F22">
        <v>1</v>
      </c>
      <c r="G22" s="83">
        <f t="shared" si="0"/>
        <v>1.1007751937984496</v>
      </c>
      <c r="H22" t="s">
        <v>109</v>
      </c>
      <c r="I22">
        <v>8</v>
      </c>
      <c r="J22" s="83">
        <f t="shared" si="1"/>
        <v>9.6124031007751931</v>
      </c>
      <c r="L22" s="193" t="s">
        <v>113</v>
      </c>
      <c r="M22" s="188">
        <f>SUM(B5:B8)</f>
        <v>139361.7179971461</v>
      </c>
      <c r="N22" s="168">
        <f>SUM(C5:C8)</f>
        <v>132507.91623858118</v>
      </c>
      <c r="O22" s="165">
        <f>SUM(J29:J32)</f>
        <v>92.572850035536604</v>
      </c>
      <c r="P22" s="168">
        <f>SUM(G29:G32)</f>
        <v>99.276150627615067</v>
      </c>
      <c r="Q22" s="166">
        <f>SUM(J5:J7)</f>
        <v>8.4108527131782953</v>
      </c>
      <c r="R22" s="168">
        <v>2</v>
      </c>
      <c r="S22" s="171">
        <v>1.5021</v>
      </c>
      <c r="U22" s="140">
        <v>5</v>
      </c>
      <c r="V22" s="125">
        <f t="shared" si="2"/>
        <v>6.1100526920695772E-2</v>
      </c>
      <c r="W22" s="126">
        <f t="shared" si="3"/>
        <v>0.26502041682205407</v>
      </c>
      <c r="X22" s="126">
        <f t="shared" si="4"/>
        <v>0.73497958317794598</v>
      </c>
      <c r="Y22" s="127">
        <f t="shared" si="12"/>
        <v>49990.009301219892</v>
      </c>
      <c r="Z22" s="127">
        <f t="shared" si="5"/>
        <v>13248.373101947656</v>
      </c>
      <c r="AA22" s="128">
        <f t="shared" si="6"/>
        <v>216829.11375123032</v>
      </c>
      <c r="AB22" s="126">
        <f t="shared" si="7"/>
        <v>520929.41747530701</v>
      </c>
      <c r="AC22" s="126">
        <f t="shared" si="8"/>
        <v>10.420670545116201</v>
      </c>
      <c r="AD22" s="127">
        <f t="shared" si="9"/>
        <v>101.31697020428902</v>
      </c>
      <c r="AE22" s="127">
        <f t="shared" si="13"/>
        <v>75</v>
      </c>
      <c r="AF22" s="126"/>
      <c r="AG22" s="129"/>
    </row>
    <row r="23" spans="1:33" x14ac:dyDescent="0.25">
      <c r="A23" s="81">
        <v>19</v>
      </c>
      <c r="B23" s="82">
        <v>32863.464987628198</v>
      </c>
      <c r="C23" s="82">
        <v>32832.712411671899</v>
      </c>
      <c r="E23" t="s">
        <v>114</v>
      </c>
      <c r="F23">
        <v>13</v>
      </c>
      <c r="G23" s="83"/>
      <c r="H23" t="s">
        <v>111</v>
      </c>
      <c r="I23">
        <v>4</v>
      </c>
      <c r="J23" s="83">
        <f t="shared" si="1"/>
        <v>4.8062015503875966</v>
      </c>
      <c r="L23" s="193" t="s">
        <v>115</v>
      </c>
      <c r="M23" s="188">
        <f>SUM(B9:B13)</f>
        <v>181122.53592614277</v>
      </c>
      <c r="N23" s="168">
        <f>SUM(C9:C13)</f>
        <v>171997.36119711981</v>
      </c>
      <c r="O23" s="165">
        <v>48.343599463002398</v>
      </c>
      <c r="P23" s="168">
        <v>36.100418410041797</v>
      </c>
      <c r="Q23" s="167">
        <v>3.6046511627907001</v>
      </c>
      <c r="R23" s="170">
        <v>2.2015503875969</v>
      </c>
      <c r="S23" s="172">
        <v>2.5</v>
      </c>
      <c r="U23" s="140">
        <v>5</v>
      </c>
      <c r="V23" s="125">
        <f t="shared" si="2"/>
        <v>9.0886077674601259E-2</v>
      </c>
      <c r="W23" s="126">
        <f t="shared" si="3"/>
        <v>0.37029397168948786</v>
      </c>
      <c r="X23" s="126">
        <f t="shared" si="4"/>
        <v>0.62970602831051214</v>
      </c>
      <c r="Y23" s="127">
        <f t="shared" si="12"/>
        <v>36741.636199272238</v>
      </c>
      <c r="Z23" s="127">
        <f t="shared" si="5"/>
        <v>13605.206394598776</v>
      </c>
      <c r="AA23" s="128">
        <f t="shared" si="6"/>
        <v>149695.16500986426</v>
      </c>
      <c r="AB23" s="126">
        <f t="shared" si="7"/>
        <v>304100.30372407672</v>
      </c>
      <c r="AC23" s="126">
        <f t="shared" si="8"/>
        <v>8.2767218660256674</v>
      </c>
      <c r="AD23" s="127">
        <f t="shared" si="9"/>
        <v>57.015261591195141</v>
      </c>
      <c r="AE23" s="127">
        <f t="shared" si="13"/>
        <v>80</v>
      </c>
      <c r="AF23" s="126"/>
      <c r="AG23" s="129"/>
    </row>
    <row r="24" spans="1:33" x14ac:dyDescent="0.25">
      <c r="A24" s="81">
        <v>20</v>
      </c>
      <c r="B24" s="82">
        <v>32365.568085752901</v>
      </c>
      <c r="C24" s="82">
        <v>32641.1445949648</v>
      </c>
      <c r="H24" t="s">
        <v>114</v>
      </c>
      <c r="I24">
        <v>234</v>
      </c>
      <c r="L24" s="193" t="s">
        <v>116</v>
      </c>
      <c r="M24" s="188">
        <f>SUM(B14:B18)</f>
        <v>177307.5017278025</v>
      </c>
      <c r="N24" s="168">
        <f>SUM(C14:C18)</f>
        <v>169948.73406793241</v>
      </c>
      <c r="O24" s="165">
        <v>61.715233357024402</v>
      </c>
      <c r="P24" s="168">
        <v>57.158995815899601</v>
      </c>
      <c r="Q24" s="167">
        <v>10.8139534883721</v>
      </c>
      <c r="R24" s="170">
        <v>5.5038759689922498</v>
      </c>
      <c r="S24" s="172">
        <v>2.5</v>
      </c>
      <c r="U24" s="140">
        <v>5</v>
      </c>
      <c r="V24" s="125">
        <f t="shared" si="2"/>
        <v>0.12701697606420798</v>
      </c>
      <c r="W24" s="126">
        <f t="shared" si="3"/>
        <v>0.48202233261166572</v>
      </c>
      <c r="X24" s="126">
        <f t="shared" si="4"/>
        <v>0.51797766738833428</v>
      </c>
      <c r="Y24" s="127">
        <f t="shared" si="12"/>
        <v>23136.429804673462</v>
      </c>
      <c r="Z24" s="127">
        <f t="shared" si="5"/>
        <v>11152.275862754768</v>
      </c>
      <c r="AA24" s="128">
        <f t="shared" si="6"/>
        <v>87801.459366480383</v>
      </c>
      <c r="AB24" s="126">
        <f t="shared" si="7"/>
        <v>154405.13871421249</v>
      </c>
      <c r="AC24" s="126">
        <f t="shared" si="8"/>
        <v>6.6736804259671603</v>
      </c>
      <c r="AD24" s="127">
        <f t="shared" si="9"/>
        <v>0</v>
      </c>
      <c r="AE24" s="127">
        <f t="shared" si="13"/>
        <v>85</v>
      </c>
      <c r="AF24" s="126"/>
      <c r="AG24" s="129"/>
    </row>
    <row r="25" spans="1:33" x14ac:dyDescent="0.25">
      <c r="A25" s="81">
        <v>21</v>
      </c>
      <c r="B25" s="82">
        <v>31826.535192810799</v>
      </c>
      <c r="C25" s="82">
        <v>32368.819752264</v>
      </c>
      <c r="L25" s="193" t="s">
        <v>117</v>
      </c>
      <c r="M25" s="188">
        <f>SUM(B19:B23)</f>
        <v>168567.0616269935</v>
      </c>
      <c r="N25" s="168">
        <f>SUM(C19:C23)</f>
        <v>165701.7219742031</v>
      </c>
      <c r="O25" s="165">
        <v>304.46181789465402</v>
      </c>
      <c r="P25" s="168">
        <v>99.276150627615095</v>
      </c>
      <c r="Q25" s="167">
        <v>135.77519379845</v>
      </c>
      <c r="R25" s="170">
        <v>8.8062015503876001</v>
      </c>
      <c r="S25" s="172">
        <v>2.5</v>
      </c>
      <c r="U25" s="140">
        <v>5</v>
      </c>
      <c r="V25" s="125">
        <f t="shared" si="2"/>
        <v>0.16804599038762225</v>
      </c>
      <c r="W25" s="126">
        <f t="shared" si="3"/>
        <v>0.59166332737583904</v>
      </c>
      <c r="X25" s="126">
        <f t="shared" si="4"/>
        <v>0.40833667262416096</v>
      </c>
      <c r="Y25" s="127">
        <f t="shared" si="12"/>
        <v>11984.153941918694</v>
      </c>
      <c r="Z25" s="127">
        <f t="shared" si="5"/>
        <v>7090.5843970598917</v>
      </c>
      <c r="AA25" s="128">
        <f t="shared" si="6"/>
        <v>42194.308716943735</v>
      </c>
      <c r="AB25" s="126">
        <f t="shared" si="7"/>
        <v>66603.679347732104</v>
      </c>
      <c r="AC25" s="126">
        <f t="shared" si="8"/>
        <v>5.5576455101067141</v>
      </c>
      <c r="AD25" s="127">
        <f t="shared" si="9"/>
        <v>0</v>
      </c>
      <c r="AE25" s="127">
        <f t="shared" si="13"/>
        <v>90</v>
      </c>
      <c r="AF25" s="126"/>
      <c r="AG25" s="129"/>
    </row>
    <row r="26" spans="1:33" x14ac:dyDescent="0.25">
      <c r="A26" s="81">
        <v>22</v>
      </c>
      <c r="B26" s="82">
        <v>31056.978806310799</v>
      </c>
      <c r="C26" s="82">
        <v>31824.408750850602</v>
      </c>
      <c r="L26" s="193" t="s">
        <v>118</v>
      </c>
      <c r="M26" s="188">
        <f>SUM(B24:B28)</f>
        <v>155502.66865950701</v>
      </c>
      <c r="N26" s="168">
        <f>SUM(C24:C28)</f>
        <v>159116.8266314076</v>
      </c>
      <c r="O26" s="165">
        <v>445.37826739319303</v>
      </c>
      <c r="P26" s="168">
        <v>128.357043235704</v>
      </c>
      <c r="Q26" s="167">
        <v>212.67441860465101</v>
      </c>
      <c r="R26" s="170">
        <v>19.8139534883721</v>
      </c>
      <c r="S26" s="172">
        <v>2.5</v>
      </c>
      <c r="U26" s="140">
        <v>5</v>
      </c>
      <c r="V26" s="125">
        <f t="shared" si="2"/>
        <v>0.20122741169946182</v>
      </c>
      <c r="W26" s="126">
        <f t="shared" si="3"/>
        <v>0.66938867983634198</v>
      </c>
      <c r="X26" s="126">
        <f t="shared" si="4"/>
        <v>0.33061132016365802</v>
      </c>
      <c r="Y26" s="127">
        <f t="shared" si="12"/>
        <v>4893.5695448588021</v>
      </c>
      <c r="Z26" s="127">
        <f t="shared" si="5"/>
        <v>3275.7000573203622</v>
      </c>
      <c r="AA26" s="128">
        <f t="shared" si="6"/>
        <v>16278.597580993104</v>
      </c>
      <c r="AB26" s="126">
        <f t="shared" si="7"/>
        <v>24409.370630788377</v>
      </c>
      <c r="AC26" s="126">
        <f t="shared" si="8"/>
        <v>4.9880502171329981</v>
      </c>
      <c r="AD26" s="127">
        <f t="shared" si="9"/>
        <v>0</v>
      </c>
      <c r="AE26" s="127">
        <f t="shared" si="13"/>
        <v>95</v>
      </c>
      <c r="AF26" s="126"/>
      <c r="AG26" s="129"/>
    </row>
    <row r="27" spans="1:33" ht="15.75" thickBot="1" x14ac:dyDescent="0.3">
      <c r="A27" s="81">
        <v>23</v>
      </c>
      <c r="B27" s="82">
        <v>30391.4149941744</v>
      </c>
      <c r="C27" s="82">
        <v>31340.3081040004</v>
      </c>
      <c r="E27" t="s">
        <v>86</v>
      </c>
      <c r="F27" t="s">
        <v>87</v>
      </c>
      <c r="G27" t="s">
        <v>119</v>
      </c>
      <c r="H27" t="s">
        <v>86</v>
      </c>
      <c r="I27" t="s">
        <v>87</v>
      </c>
      <c r="J27" t="s">
        <v>88</v>
      </c>
      <c r="L27" s="193" t="s">
        <v>120</v>
      </c>
      <c r="M27" s="188">
        <f>SUM(B29:B33)</f>
        <v>139274.8984355228</v>
      </c>
      <c r="N27" s="168">
        <f>SUM(C29:C33)</f>
        <v>146019.98976789092</v>
      </c>
      <c r="O27" s="165">
        <v>447.43544183842698</v>
      </c>
      <c r="P27" s="168">
        <v>114.317991631799</v>
      </c>
      <c r="Q27" s="167">
        <v>227.09302325581399</v>
      </c>
      <c r="R27" s="170">
        <v>26.418604651162799</v>
      </c>
      <c r="S27" s="172">
        <v>2.5</v>
      </c>
      <c r="U27" s="141"/>
      <c r="V27" s="130">
        <f t="shared" si="2"/>
        <v>0.19898101664259055</v>
      </c>
      <c r="W27" s="131">
        <v>1</v>
      </c>
      <c r="X27" s="131">
        <f t="shared" si="4"/>
        <v>0</v>
      </c>
      <c r="Y27" s="132">
        <f t="shared" si="12"/>
        <v>1617.8694875384399</v>
      </c>
      <c r="Z27" s="132">
        <f t="shared" si="5"/>
        <v>1617.8694875384399</v>
      </c>
      <c r="AA27" s="133">
        <f>Z27/V27</f>
        <v>8130.7730497952725</v>
      </c>
      <c r="AB27" s="131">
        <f>AA27</f>
        <v>8130.7730497952725</v>
      </c>
      <c r="AC27" s="131">
        <f t="shared" si="8"/>
        <v>5.0256050394807197</v>
      </c>
      <c r="AD27" s="132">
        <f t="shared" si="9"/>
        <v>0</v>
      </c>
      <c r="AE27" s="132">
        <f t="shared" si="13"/>
        <v>100</v>
      </c>
      <c r="AF27" s="131"/>
      <c r="AG27" s="134"/>
    </row>
    <row r="28" spans="1:33" ht="18.75" x14ac:dyDescent="0.3">
      <c r="A28" s="81">
        <v>24</v>
      </c>
      <c r="B28" s="82">
        <v>29862.1715804581</v>
      </c>
      <c r="C28" s="82">
        <v>30942.1454293278</v>
      </c>
      <c r="E28" t="s">
        <v>89</v>
      </c>
      <c r="F28">
        <v>407</v>
      </c>
      <c r="G28" s="83">
        <f t="shared" ref="G28:G53" si="14">(F28/SUM($F$28:$F$53))*$F$54+F28</f>
        <v>408.13528591352861</v>
      </c>
      <c r="H28" t="s">
        <v>89</v>
      </c>
      <c r="I28">
        <v>523</v>
      </c>
      <c r="J28" s="83">
        <f t="shared" ref="J28:J54" si="15">(I28/SUM($I$28:$I$54))*$I$55+I28</f>
        <v>537.95111742872939</v>
      </c>
      <c r="L28" s="193" t="s">
        <v>121</v>
      </c>
      <c r="M28" s="188">
        <f>SUM(B34:B38)</f>
        <v>131175.15081091871</v>
      </c>
      <c r="N28" s="168">
        <f>SUM(C34:C38)</f>
        <v>140496.06552070621</v>
      </c>
      <c r="O28" s="165">
        <v>453.60696517412902</v>
      </c>
      <c r="P28" s="168">
        <v>154.42956764295701</v>
      </c>
      <c r="Q28" s="167">
        <v>173.023255813953</v>
      </c>
      <c r="R28" s="170">
        <v>18.713178294573598</v>
      </c>
      <c r="S28" s="172">
        <v>2.5</v>
      </c>
      <c r="U28" s="117"/>
      <c r="V28" s="117"/>
      <c r="W28" s="117"/>
      <c r="X28" s="117"/>
      <c r="Y28" s="118"/>
      <c r="Z28" s="117"/>
      <c r="AA28" s="117"/>
      <c r="AB28" s="117"/>
      <c r="AC28" s="117"/>
      <c r="AD28" s="117"/>
      <c r="AE28" s="117"/>
      <c r="AF28" s="119">
        <f>SUM(AF6:AF27)</f>
        <v>169365.07912084868</v>
      </c>
      <c r="AG28" s="119">
        <f>SUM(AG6:AG27)</f>
        <v>1.8039797524796704</v>
      </c>
    </row>
    <row r="29" spans="1:33" ht="15.75" thickBot="1" x14ac:dyDescent="0.3">
      <c r="A29" s="81">
        <v>25</v>
      </c>
      <c r="B29" s="82">
        <v>29206.6042497118</v>
      </c>
      <c r="C29" s="82">
        <v>30379.123232112201</v>
      </c>
      <c r="E29" t="s">
        <v>91</v>
      </c>
      <c r="F29">
        <v>43</v>
      </c>
      <c r="G29" s="83">
        <f t="shared" si="14"/>
        <v>43.119944211994422</v>
      </c>
      <c r="H29" t="s">
        <v>91</v>
      </c>
      <c r="I29">
        <v>50</v>
      </c>
      <c r="J29" s="83">
        <f t="shared" si="15"/>
        <v>51.429361130853671</v>
      </c>
      <c r="L29" s="193" t="s">
        <v>122</v>
      </c>
      <c r="M29" s="188">
        <f>SUM(B39:B43)</f>
        <v>129698.77172659361</v>
      </c>
      <c r="N29" s="168">
        <f>SUM(C39:C43)</f>
        <v>139673.27720826142</v>
      </c>
      <c r="O29" s="165">
        <v>516.35078575377099</v>
      </c>
      <c r="P29" s="168">
        <v>185.516039051604</v>
      </c>
      <c r="Q29" s="167">
        <v>185.03875968992199</v>
      </c>
      <c r="R29" s="170">
        <v>14.310077519379799</v>
      </c>
      <c r="S29" s="172">
        <v>2.5</v>
      </c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</row>
    <row r="30" spans="1:33" ht="19.5" thickBot="1" x14ac:dyDescent="0.3">
      <c r="A30" s="81">
        <v>26</v>
      </c>
      <c r="B30" s="82">
        <v>28367.724783110702</v>
      </c>
      <c r="C30" s="82">
        <v>29571.4507184547</v>
      </c>
      <c r="E30" t="s">
        <v>106</v>
      </c>
      <c r="F30">
        <v>19</v>
      </c>
      <c r="G30" s="83">
        <f t="shared" si="14"/>
        <v>19.052998605299859</v>
      </c>
      <c r="H30" t="s">
        <v>106</v>
      </c>
      <c r="I30">
        <v>15</v>
      </c>
      <c r="J30" s="83">
        <f t="shared" si="15"/>
        <v>15.428808339256101</v>
      </c>
      <c r="L30" s="193" t="s">
        <v>123</v>
      </c>
      <c r="M30" s="188">
        <f>SUM(B44:B48)</f>
        <v>125660.1735106441</v>
      </c>
      <c r="N30" s="168">
        <f>SUM(C44:C48)</f>
        <v>135038.7698381872</v>
      </c>
      <c r="O30" s="165">
        <v>634.638316354734</v>
      </c>
      <c r="P30" s="168">
        <v>266.74198047419799</v>
      </c>
      <c r="Q30" s="167">
        <v>162.20930232558101</v>
      </c>
      <c r="R30" s="170">
        <v>18.713178294573598</v>
      </c>
      <c r="S30" s="172">
        <v>2.5</v>
      </c>
      <c r="U30" s="244" t="s">
        <v>124</v>
      </c>
      <c r="V30" s="245"/>
      <c r="W30" s="245"/>
      <c r="X30" s="245"/>
      <c r="Y30" s="245"/>
      <c r="Z30" s="245"/>
      <c r="AA30" s="245"/>
      <c r="AB30" s="245"/>
      <c r="AC30" s="245"/>
      <c r="AD30" s="245"/>
      <c r="AE30" s="245"/>
      <c r="AF30" s="245"/>
      <c r="AG30" s="246"/>
    </row>
    <row r="31" spans="1:33" ht="21.75" thickBot="1" x14ac:dyDescent="0.4">
      <c r="A31" s="81">
        <v>27</v>
      </c>
      <c r="B31" s="82">
        <v>27658.4312436951</v>
      </c>
      <c r="C31" s="82">
        <v>28939.2154577859</v>
      </c>
      <c r="E31" t="s">
        <v>125</v>
      </c>
      <c r="F31">
        <v>22</v>
      </c>
      <c r="G31" s="83">
        <f t="shared" si="14"/>
        <v>22.061366806136682</v>
      </c>
      <c r="H31" t="s">
        <v>125</v>
      </c>
      <c r="I31">
        <v>9</v>
      </c>
      <c r="J31" s="83">
        <f t="shared" si="15"/>
        <v>9.25728500355366</v>
      </c>
      <c r="L31" s="193" t="s">
        <v>126</v>
      </c>
      <c r="M31" s="188">
        <f>SUM(B49:B53)</f>
        <v>113608.69635259471</v>
      </c>
      <c r="N31" s="168">
        <f>SUM(C49:C53)</f>
        <v>121341.90614958591</v>
      </c>
      <c r="O31" s="165">
        <v>722.06823027718599</v>
      </c>
      <c r="P31" s="168">
        <v>342.95397489539698</v>
      </c>
      <c r="Q31" s="167">
        <v>102.13178294573601</v>
      </c>
      <c r="R31" s="170">
        <v>5.5038759689922498</v>
      </c>
      <c r="S31" s="172">
        <v>2.5</v>
      </c>
      <c r="U31" s="161" t="s">
        <v>92</v>
      </c>
      <c r="V31" s="162" t="s">
        <v>93</v>
      </c>
      <c r="W31" s="162" t="s">
        <v>94</v>
      </c>
      <c r="X31" s="162" t="s">
        <v>95</v>
      </c>
      <c r="Y31" s="163" t="s">
        <v>96</v>
      </c>
      <c r="Z31" s="162" t="s">
        <v>97</v>
      </c>
      <c r="AA31" s="162" t="s">
        <v>98</v>
      </c>
      <c r="AB31" s="162" t="s">
        <v>99</v>
      </c>
      <c r="AC31" s="163" t="s">
        <v>100</v>
      </c>
      <c r="AD31" s="162" t="s">
        <v>101</v>
      </c>
      <c r="AE31" s="162" t="s">
        <v>102</v>
      </c>
      <c r="AF31" s="162" t="s">
        <v>103</v>
      </c>
      <c r="AG31" s="164" t="s">
        <v>104</v>
      </c>
    </row>
    <row r="32" spans="1:33" x14ac:dyDescent="0.25">
      <c r="A32" s="81">
        <v>28</v>
      </c>
      <c r="B32" s="82">
        <v>27218.039646367499</v>
      </c>
      <c r="C32" s="82">
        <v>28693.448648962902</v>
      </c>
      <c r="E32" t="s">
        <v>105</v>
      </c>
      <c r="F32">
        <v>15</v>
      </c>
      <c r="G32" s="83">
        <f t="shared" si="14"/>
        <v>15.0418410041841</v>
      </c>
      <c r="H32" t="s">
        <v>105</v>
      </c>
      <c r="I32">
        <v>16</v>
      </c>
      <c r="J32" s="83">
        <f t="shared" si="15"/>
        <v>16.457395561873174</v>
      </c>
      <c r="L32" s="193" t="s">
        <v>127</v>
      </c>
      <c r="M32" s="188">
        <f>SUM(B54:B58)</f>
        <v>92904.620099017295</v>
      </c>
      <c r="N32" s="168">
        <f>SUM(C54:C58)</f>
        <v>99645.090996316896</v>
      </c>
      <c r="O32" s="165">
        <v>821.84119087104204</v>
      </c>
      <c r="P32" s="168">
        <v>456.26917712691801</v>
      </c>
      <c r="Q32" s="167">
        <v>61.279069767441896</v>
      </c>
      <c r="R32" s="170">
        <v>3.3023255813953498</v>
      </c>
      <c r="S32" s="172">
        <v>2.5</v>
      </c>
      <c r="U32" s="143">
        <v>1</v>
      </c>
      <c r="V32" s="146">
        <f t="shared" ref="V32:V53" si="16">P21/N21</f>
        <v>1.2213029902373098E-2</v>
      </c>
      <c r="W32" s="147">
        <f t="shared" ref="W32:W52" si="17">(V32*U32)/(1+(U32-S21)*V32)</f>
        <v>1.2078758798153903E-2</v>
      </c>
      <c r="X32" s="147">
        <f t="shared" ref="X32:X53" si="18">1-W32</f>
        <v>0.9879212412018461</v>
      </c>
      <c r="Y32" s="148">
        <v>100000</v>
      </c>
      <c r="Z32" s="148">
        <f t="shared" ref="Z32:Z53" si="19">Y32*W32</f>
        <v>1207.8758798153904</v>
      </c>
      <c r="AA32" s="149">
        <f t="shared" ref="AA32:AA52" si="20">Y33*U32+Z32*S21</f>
        <v>98900.591374192038</v>
      </c>
      <c r="AB32" s="147">
        <f t="shared" ref="AB32:AB52" si="21">AA32+AB33</f>
        <v>7719204.928345006</v>
      </c>
      <c r="AC32" s="147">
        <f t="shared" ref="AC32:AC53" si="22">AB32/Y32</f>
        <v>77.192049283450061</v>
      </c>
      <c r="AD32" s="148">
        <f t="shared" ref="AD32:AD53" si="23">Z32*(R21/P21)</f>
        <v>2.9604800975867409</v>
      </c>
      <c r="AE32" s="148">
        <v>0</v>
      </c>
      <c r="AF32" s="147">
        <f t="shared" ref="AF32:AF47" si="24">AD32*($AC$32-AE32-S21)</f>
        <v>228.25967448282546</v>
      </c>
      <c r="AG32" s="150">
        <f t="shared" ref="AG32:AG47" si="25">AF32/Y32</f>
        <v>2.2825967448282546E-3</v>
      </c>
    </row>
    <row r="33" spans="1:33" x14ac:dyDescent="0.25">
      <c r="A33" s="81">
        <v>29</v>
      </c>
      <c r="B33" s="82">
        <v>26824.098512637702</v>
      </c>
      <c r="C33" s="82">
        <v>28436.751710575201</v>
      </c>
      <c r="E33" t="s">
        <v>26</v>
      </c>
      <c r="F33">
        <v>36</v>
      </c>
      <c r="G33" s="83">
        <f t="shared" si="14"/>
        <v>36.10041841004184</v>
      </c>
      <c r="H33" t="s">
        <v>26</v>
      </c>
      <c r="I33">
        <v>47</v>
      </c>
      <c r="J33" s="83">
        <f t="shared" si="15"/>
        <v>48.343599463002448</v>
      </c>
      <c r="L33" s="193" t="s">
        <v>128</v>
      </c>
      <c r="M33" s="188">
        <f>SUM(B59:B63)</f>
        <v>72031.794815745496</v>
      </c>
      <c r="N33" s="168">
        <f>SUM(C59:C63)</f>
        <v>78733.245542376899</v>
      </c>
      <c r="O33" s="165">
        <v>902.07099423517298</v>
      </c>
      <c r="P33" s="168">
        <v>600.67085076708497</v>
      </c>
      <c r="Q33" s="167">
        <v>38.449612403100801</v>
      </c>
      <c r="R33" s="170">
        <v>6.6046511627906996</v>
      </c>
      <c r="S33" s="172">
        <v>2.5</v>
      </c>
      <c r="U33" s="144">
        <v>4</v>
      </c>
      <c r="V33" s="151">
        <f t="shared" si="16"/>
        <v>7.492092053494212E-4</v>
      </c>
      <c r="W33" s="152">
        <f t="shared" si="17"/>
        <v>2.9912388683924489E-3</v>
      </c>
      <c r="X33" s="152">
        <f t="shared" si="18"/>
        <v>0.99700876113160752</v>
      </c>
      <c r="Y33" s="153">
        <f t="shared" ref="Y33:Y53" si="26">Y32-Z32</f>
        <v>98792.124120184613</v>
      </c>
      <c r="Z33" s="153">
        <f t="shared" si="19"/>
        <v>295.5108415593474</v>
      </c>
      <c r="AA33" s="154">
        <f t="shared" si="20"/>
        <v>394430.33994960738</v>
      </c>
      <c r="AB33" s="152">
        <f t="shared" si="21"/>
        <v>7620304.3369708136</v>
      </c>
      <c r="AC33" s="152">
        <f t="shared" si="22"/>
        <v>77.134735231529234</v>
      </c>
      <c r="AD33" s="153">
        <f t="shared" si="23"/>
        <v>5.9533098270058611</v>
      </c>
      <c r="AE33" s="153">
        <v>1</v>
      </c>
      <c r="AF33" s="152">
        <f t="shared" si="24"/>
        <v>444.65240904773265</v>
      </c>
      <c r="AG33" s="155">
        <f t="shared" si="25"/>
        <v>4.5008892460576613E-3</v>
      </c>
    </row>
    <row r="34" spans="1:33" x14ac:dyDescent="0.25">
      <c r="A34" s="81">
        <v>30</v>
      </c>
      <c r="B34" s="82">
        <v>26534.268842338799</v>
      </c>
      <c r="C34" s="82">
        <v>28224.1389581451</v>
      </c>
      <c r="E34" t="s">
        <v>27</v>
      </c>
      <c r="F34">
        <v>57</v>
      </c>
      <c r="G34" s="83">
        <f t="shared" si="14"/>
        <v>57.15899581589958</v>
      </c>
      <c r="H34" t="s">
        <v>27</v>
      </c>
      <c r="I34">
        <v>60</v>
      </c>
      <c r="J34" s="83">
        <f t="shared" si="15"/>
        <v>61.715233357024402</v>
      </c>
      <c r="L34" s="193" t="s">
        <v>129</v>
      </c>
      <c r="M34" s="188">
        <f>SUM(B64:B68)</f>
        <v>53707.839911892763</v>
      </c>
      <c r="N34" s="168">
        <f>SUM(C64:C68)</f>
        <v>59810.916124149197</v>
      </c>
      <c r="O34" s="165">
        <v>949.38600647555904</v>
      </c>
      <c r="P34" s="168">
        <v>752.09205020920501</v>
      </c>
      <c r="Q34" s="167">
        <v>27.635658914728701</v>
      </c>
      <c r="R34" s="170">
        <v>2.2015503875969</v>
      </c>
      <c r="S34" s="172">
        <v>2.5</v>
      </c>
      <c r="U34" s="144">
        <v>5</v>
      </c>
      <c r="V34" s="151">
        <f t="shared" si="16"/>
        <v>2.0988937364375284E-4</v>
      </c>
      <c r="W34" s="152">
        <f t="shared" si="17"/>
        <v>1.0488964876517381E-3</v>
      </c>
      <c r="X34" s="152">
        <f t="shared" si="18"/>
        <v>0.99895110351234828</v>
      </c>
      <c r="Y34" s="153">
        <f t="shared" si="26"/>
        <v>98496.613278625271</v>
      </c>
      <c r="Z34" s="153">
        <f t="shared" si="19"/>
        <v>103.3127517135416</v>
      </c>
      <c r="AA34" s="154">
        <f t="shared" si="20"/>
        <v>492224.78451384249</v>
      </c>
      <c r="AB34" s="152">
        <f t="shared" si="21"/>
        <v>7225873.9970212057</v>
      </c>
      <c r="AC34" s="152">
        <f t="shared" si="22"/>
        <v>73.361649263825925</v>
      </c>
      <c r="AD34" s="153">
        <f t="shared" si="23"/>
        <v>6.3004319228439236</v>
      </c>
      <c r="AE34" s="153">
        <v>5</v>
      </c>
      <c r="AF34" s="152">
        <f t="shared" si="24"/>
        <v>439.09001207386075</v>
      </c>
      <c r="AG34" s="155">
        <f t="shared" si="25"/>
        <v>4.4579198965122952E-3</v>
      </c>
    </row>
    <row r="35" spans="1:33" x14ac:dyDescent="0.25">
      <c r="A35" s="81">
        <v>31</v>
      </c>
      <c r="B35" s="82">
        <v>26337.826830349</v>
      </c>
      <c r="C35" s="82">
        <v>28132.596832734602</v>
      </c>
      <c r="E35" t="s">
        <v>28</v>
      </c>
      <c r="F35">
        <v>99</v>
      </c>
      <c r="G35" s="83">
        <f t="shared" si="14"/>
        <v>99.276150627615067</v>
      </c>
      <c r="H35" t="s">
        <v>28</v>
      </c>
      <c r="I35">
        <v>296</v>
      </c>
      <c r="J35" s="83">
        <f t="shared" si="15"/>
        <v>304.46181789465373</v>
      </c>
      <c r="L35" s="193" t="s">
        <v>130</v>
      </c>
      <c r="M35" s="188">
        <f>SUM(B69:B73)</f>
        <v>39690.280191404396</v>
      </c>
      <c r="N35" s="168">
        <f>SUM(C69:C73)</f>
        <v>44881.449951228402</v>
      </c>
      <c r="O35" s="165">
        <v>1098.5311537550299</v>
      </c>
      <c r="P35" s="168">
        <v>864.40446304044599</v>
      </c>
      <c r="Q35" s="167">
        <v>16.821705426356601</v>
      </c>
      <c r="R35" s="170">
        <v>3.3023255813953498</v>
      </c>
      <c r="S35" s="172">
        <v>2.5</v>
      </c>
      <c r="U35" s="144">
        <v>5</v>
      </c>
      <c r="V35" s="151">
        <f t="shared" si="16"/>
        <v>3.3633081252050891E-4</v>
      </c>
      <c r="W35" s="152">
        <f t="shared" si="17"/>
        <v>1.6802412703233488E-3</v>
      </c>
      <c r="X35" s="152">
        <f t="shared" si="18"/>
        <v>0.9983197587296766</v>
      </c>
      <c r="Y35" s="153">
        <f t="shared" si="26"/>
        <v>98393.300526911728</v>
      </c>
      <c r="Z35" s="153">
        <f t="shared" si="19"/>
        <v>165.32448426864519</v>
      </c>
      <c r="AA35" s="154">
        <f t="shared" si="20"/>
        <v>491553.19142388704</v>
      </c>
      <c r="AB35" s="152">
        <f t="shared" si="21"/>
        <v>6733649.2125073634</v>
      </c>
      <c r="AC35" s="152">
        <f t="shared" si="22"/>
        <v>68.436053841548201</v>
      </c>
      <c r="AD35" s="153">
        <f t="shared" si="23"/>
        <v>15.919199472694805</v>
      </c>
      <c r="AE35" s="153">
        <f t="shared" ref="AE35:AE53" si="27">+AE34+5</f>
        <v>10</v>
      </c>
      <c r="AF35" s="152">
        <f t="shared" si="24"/>
        <v>1029.8456368406446</v>
      </c>
      <c r="AG35" s="155">
        <f t="shared" si="25"/>
        <v>1.0466623553897042E-2</v>
      </c>
    </row>
    <row r="36" spans="1:33" x14ac:dyDescent="0.25">
      <c r="A36" s="81">
        <v>32</v>
      </c>
      <c r="B36" s="82">
        <v>26167.504348540999</v>
      </c>
      <c r="C36" s="82">
        <v>28061.374122427598</v>
      </c>
      <c r="E36" t="s">
        <v>29</v>
      </c>
      <c r="F36">
        <v>128</v>
      </c>
      <c r="G36" s="83">
        <f t="shared" si="14"/>
        <v>128.35704323570431</v>
      </c>
      <c r="H36" t="s">
        <v>29</v>
      </c>
      <c r="I36">
        <v>433</v>
      </c>
      <c r="J36" s="83">
        <f t="shared" si="15"/>
        <v>445.37826739319274</v>
      </c>
      <c r="L36" s="193" t="s">
        <v>131</v>
      </c>
      <c r="M36" s="188">
        <f>SUM(B74:B78)</f>
        <v>29387.641458923128</v>
      </c>
      <c r="N36" s="168">
        <f>SUM(C74:C78)</f>
        <v>33559.45176459878</v>
      </c>
      <c r="O36" s="165">
        <v>1199.3327015715099</v>
      </c>
      <c r="P36" s="168">
        <v>1004.7949790795</v>
      </c>
      <c r="Q36" s="167">
        <v>13.217054263565901</v>
      </c>
      <c r="R36" s="170">
        <v>1.10077519379845</v>
      </c>
      <c r="S36" s="172">
        <v>2.5</v>
      </c>
      <c r="U36" s="144">
        <v>5</v>
      </c>
      <c r="V36" s="151">
        <f t="shared" si="16"/>
        <v>5.9912564241831282E-4</v>
      </c>
      <c r="W36" s="152">
        <f t="shared" si="17"/>
        <v>2.9911480283813835E-3</v>
      </c>
      <c r="X36" s="152">
        <f t="shared" si="18"/>
        <v>0.99700885197161859</v>
      </c>
      <c r="Y36" s="153">
        <f t="shared" si="26"/>
        <v>98227.976042643088</v>
      </c>
      <c r="Z36" s="153">
        <f t="shared" si="19"/>
        <v>293.81441687184565</v>
      </c>
      <c r="AA36" s="154">
        <f t="shared" si="20"/>
        <v>490405.34417103586</v>
      </c>
      <c r="AB36" s="152">
        <f t="shared" si="21"/>
        <v>6242096.021083476</v>
      </c>
      <c r="AC36" s="152">
        <f t="shared" si="22"/>
        <v>63.547028785095137</v>
      </c>
      <c r="AD36" s="153">
        <f t="shared" si="23"/>
        <v>26.062543289861971</v>
      </c>
      <c r="AE36" s="153">
        <f t="shared" si="27"/>
        <v>15</v>
      </c>
      <c r="AF36" s="152">
        <f t="shared" si="24"/>
        <v>1555.7266185104913</v>
      </c>
      <c r="AG36" s="155">
        <f t="shared" si="25"/>
        <v>1.583791788436233E-2</v>
      </c>
    </row>
    <row r="37" spans="1:33" x14ac:dyDescent="0.25">
      <c r="A37" s="81">
        <v>33</v>
      </c>
      <c r="B37" s="82">
        <v>26077.366781177101</v>
      </c>
      <c r="C37" s="82">
        <v>28038.287039025301</v>
      </c>
      <c r="E37" t="s">
        <v>30</v>
      </c>
      <c r="F37">
        <v>114</v>
      </c>
      <c r="G37" s="83">
        <f t="shared" si="14"/>
        <v>114.31799163179916</v>
      </c>
      <c r="H37" t="s">
        <v>30</v>
      </c>
      <c r="I37">
        <v>435</v>
      </c>
      <c r="J37" s="83">
        <f t="shared" si="15"/>
        <v>447.43544183842693</v>
      </c>
      <c r="L37" s="193" t="s">
        <v>132</v>
      </c>
      <c r="M37" s="189">
        <f>SUM(B79:B83)</f>
        <v>20571.56704506775</v>
      </c>
      <c r="N37" s="169">
        <f>SUM(C79:C83)</f>
        <v>23630.528800309825</v>
      </c>
      <c r="O37" s="165">
        <v>1256.93358603806</v>
      </c>
      <c r="P37" s="168">
        <v>1065.96513249651</v>
      </c>
      <c r="Q37" s="167">
        <v>9.6124031007751896</v>
      </c>
      <c r="R37" s="170">
        <v>1.10077519379845</v>
      </c>
      <c r="S37" s="172">
        <v>2.5</v>
      </c>
      <c r="U37" s="144">
        <v>5</v>
      </c>
      <c r="V37" s="151">
        <f t="shared" si="16"/>
        <v>8.0668428319678406E-4</v>
      </c>
      <c r="W37" s="152">
        <f t="shared" si="17"/>
        <v>4.0253035432253797E-3</v>
      </c>
      <c r="X37" s="152">
        <f t="shared" si="18"/>
        <v>0.99597469645677461</v>
      </c>
      <c r="Y37" s="153">
        <f t="shared" si="26"/>
        <v>97934.161625771245</v>
      </c>
      <c r="Z37" s="153">
        <f t="shared" si="19"/>
        <v>394.21472779502398</v>
      </c>
      <c r="AA37" s="154">
        <f t="shared" si="20"/>
        <v>488685.27130936866</v>
      </c>
      <c r="AB37" s="152">
        <f t="shared" si="21"/>
        <v>5751690.67691244</v>
      </c>
      <c r="AC37" s="152">
        <f t="shared" si="22"/>
        <v>58.730177309231081</v>
      </c>
      <c r="AD37" s="153">
        <f t="shared" si="23"/>
        <v>60.853320426043958</v>
      </c>
      <c r="AE37" s="153">
        <f t="shared" si="27"/>
        <v>20</v>
      </c>
      <c r="AF37" s="152">
        <f t="shared" si="24"/>
        <v>3328.1927998027745</v>
      </c>
      <c r="AG37" s="155">
        <f t="shared" si="25"/>
        <v>3.398398214221262E-2</v>
      </c>
    </row>
    <row r="38" spans="1:33" x14ac:dyDescent="0.25">
      <c r="A38" s="81">
        <v>34</v>
      </c>
      <c r="B38" s="82">
        <v>26058.184008512799</v>
      </c>
      <c r="C38" s="82">
        <v>28039.6685683736</v>
      </c>
      <c r="E38" t="s">
        <v>31</v>
      </c>
      <c r="F38">
        <v>154</v>
      </c>
      <c r="G38" s="83">
        <f t="shared" si="14"/>
        <v>154.42956764295675</v>
      </c>
      <c r="H38" t="s">
        <v>31</v>
      </c>
      <c r="I38">
        <v>441</v>
      </c>
      <c r="J38" s="83">
        <f t="shared" si="15"/>
        <v>453.60696517412936</v>
      </c>
      <c r="L38" s="193" t="s">
        <v>133</v>
      </c>
      <c r="M38" s="189">
        <f>SUM(B84:B88)</f>
        <v>12618.816683058842</v>
      </c>
      <c r="N38" s="169">
        <f>SUM(C84:C88)</f>
        <v>14966.412209288032</v>
      </c>
      <c r="O38" s="165">
        <v>1146.87475321804</v>
      </c>
      <c r="P38" s="168">
        <v>1059.9483960948401</v>
      </c>
      <c r="Q38" s="167">
        <v>4.8062015503876001</v>
      </c>
      <c r="R38" s="170">
        <v>1.10077519379845</v>
      </c>
      <c r="S38" s="172">
        <v>2.5</v>
      </c>
      <c r="U38" s="144">
        <v>5</v>
      </c>
      <c r="V38" s="151">
        <f t="shared" si="16"/>
        <v>7.8289275196851825E-4</v>
      </c>
      <c r="W38" s="152">
        <f t="shared" si="17"/>
        <v>3.9068172126449779E-3</v>
      </c>
      <c r="X38" s="152">
        <f t="shared" si="18"/>
        <v>0.99609318278735504</v>
      </c>
      <c r="Y38" s="153">
        <f t="shared" si="26"/>
        <v>97539.946897976217</v>
      </c>
      <c r="Z38" s="153">
        <f t="shared" si="19"/>
        <v>381.07074346149062</v>
      </c>
      <c r="AA38" s="154">
        <f t="shared" si="20"/>
        <v>486747.05763122736</v>
      </c>
      <c r="AB38" s="152">
        <f t="shared" si="21"/>
        <v>5263005.4056030717</v>
      </c>
      <c r="AC38" s="152">
        <f t="shared" si="22"/>
        <v>53.957435624893392</v>
      </c>
      <c r="AD38" s="153">
        <f t="shared" si="23"/>
        <v>88.064504737445347</v>
      </c>
      <c r="AE38" s="153">
        <f t="shared" si="27"/>
        <v>25</v>
      </c>
      <c r="AF38" s="152">
        <f t="shared" si="24"/>
        <v>4376.1057095357555</v>
      </c>
      <c r="AG38" s="155">
        <f t="shared" si="25"/>
        <v>4.4864753864516937E-2</v>
      </c>
    </row>
    <row r="39" spans="1:33" x14ac:dyDescent="0.25">
      <c r="A39" s="81">
        <v>35</v>
      </c>
      <c r="B39" s="82">
        <v>26066.013662578702</v>
      </c>
      <c r="C39" s="82">
        <v>28046.200253063402</v>
      </c>
      <c r="E39" t="s">
        <v>32</v>
      </c>
      <c r="F39">
        <v>185</v>
      </c>
      <c r="G39" s="83">
        <f t="shared" si="14"/>
        <v>185.51603905160391</v>
      </c>
      <c r="H39" t="s">
        <v>32</v>
      </c>
      <c r="I39">
        <v>502</v>
      </c>
      <c r="J39" s="83">
        <f t="shared" si="15"/>
        <v>516.35078575377088</v>
      </c>
      <c r="L39" s="193" t="s">
        <v>134</v>
      </c>
      <c r="M39" s="189">
        <f>SUM(B89:B93)</f>
        <v>6340.7571197572979</v>
      </c>
      <c r="N39" s="169">
        <f>SUM(C89:C93)</f>
        <v>8092.1426057386398</v>
      </c>
      <c r="O39" s="165">
        <v>805.38379530916905</v>
      </c>
      <c r="P39" s="168">
        <v>909.52998605299899</v>
      </c>
      <c r="Q39" s="165">
        <v>0</v>
      </c>
      <c r="R39" s="168">
        <v>0</v>
      </c>
      <c r="S39" s="172">
        <v>2.5</v>
      </c>
      <c r="U39" s="144">
        <v>5</v>
      </c>
      <c r="V39" s="151">
        <f t="shared" si="16"/>
        <v>1.0991736108097439E-3</v>
      </c>
      <c r="W39" s="152">
        <f t="shared" si="17"/>
        <v>5.4808071575648881E-3</v>
      </c>
      <c r="X39" s="152">
        <f t="shared" si="18"/>
        <v>0.99451919284243506</v>
      </c>
      <c r="Y39" s="153">
        <f t="shared" si="26"/>
        <v>97158.876154514728</v>
      </c>
      <c r="Z39" s="153">
        <f t="shared" si="19"/>
        <v>532.50906384862481</v>
      </c>
      <c r="AA39" s="154">
        <f t="shared" si="20"/>
        <v>484463.10811295203</v>
      </c>
      <c r="AB39" s="152">
        <f t="shared" si="21"/>
        <v>4776258.3479718445</v>
      </c>
      <c r="AC39" s="152">
        <f t="shared" si="22"/>
        <v>49.159258906782895</v>
      </c>
      <c r="AD39" s="153">
        <f t="shared" si="23"/>
        <v>64.527390754048113</v>
      </c>
      <c r="AE39" s="153">
        <f t="shared" si="27"/>
        <v>30</v>
      </c>
      <c r="AF39" s="152">
        <f t="shared" si="24"/>
        <v>2883.8613277123582</v>
      </c>
      <c r="AG39" s="155">
        <f t="shared" si="25"/>
        <v>2.9681913190577312E-2</v>
      </c>
    </row>
    <row r="40" spans="1:33" x14ac:dyDescent="0.25">
      <c r="A40" s="81">
        <v>36</v>
      </c>
      <c r="B40" s="82">
        <v>26055.7282846419</v>
      </c>
      <c r="C40" s="82">
        <v>28043.750647557499</v>
      </c>
      <c r="E40" t="s">
        <v>33</v>
      </c>
      <c r="F40">
        <v>266</v>
      </c>
      <c r="G40" s="83">
        <f t="shared" si="14"/>
        <v>266.74198047419804</v>
      </c>
      <c r="H40" t="s">
        <v>33</v>
      </c>
      <c r="I40">
        <v>617</v>
      </c>
      <c r="J40" s="83">
        <f t="shared" si="15"/>
        <v>634.63831635473423</v>
      </c>
      <c r="L40" s="193" t="s">
        <v>135</v>
      </c>
      <c r="M40" s="189">
        <f>SUM(B94:B98)</f>
        <v>2442.2260886888812</v>
      </c>
      <c r="N40" s="169">
        <f>SUM(C94:C98)</f>
        <v>3426.2234686881311</v>
      </c>
      <c r="O40" s="165">
        <v>410.40630182421199</v>
      </c>
      <c r="P40" s="168">
        <v>506.40864714086501</v>
      </c>
      <c r="Q40" s="165">
        <v>0</v>
      </c>
      <c r="R40" s="168">
        <v>0</v>
      </c>
      <c r="S40" s="172">
        <v>2.5</v>
      </c>
      <c r="U40" s="144">
        <v>5</v>
      </c>
      <c r="V40" s="151">
        <f t="shared" si="16"/>
        <v>1.3282142637420055E-3</v>
      </c>
      <c r="W40" s="152">
        <f t="shared" si="17"/>
        <v>6.6190923864083923E-3</v>
      </c>
      <c r="X40" s="152">
        <f t="shared" si="18"/>
        <v>0.99338090761359166</v>
      </c>
      <c r="Y40" s="153">
        <f t="shared" si="26"/>
        <v>96626.367090666099</v>
      </c>
      <c r="Z40" s="153">
        <f t="shared" si="19"/>
        <v>639.57885073613045</v>
      </c>
      <c r="AA40" s="154">
        <f t="shared" si="20"/>
        <v>481532.88832649012</v>
      </c>
      <c r="AB40" s="152">
        <f t="shared" si="21"/>
        <v>4291795.2398588927</v>
      </c>
      <c r="AC40" s="152">
        <f t="shared" si="22"/>
        <v>44.41639864025759</v>
      </c>
      <c r="AD40" s="153">
        <f t="shared" si="23"/>
        <v>49.33494149928454</v>
      </c>
      <c r="AE40" s="153">
        <f t="shared" si="27"/>
        <v>35</v>
      </c>
      <c r="AF40" s="152">
        <f t="shared" si="24"/>
        <v>1958.2049293857276</v>
      </c>
      <c r="AG40" s="155">
        <f t="shared" si="25"/>
        <v>2.0265741001607895E-2</v>
      </c>
    </row>
    <row r="41" spans="1:33" x14ac:dyDescent="0.25">
      <c r="A41" s="81">
        <v>37</v>
      </c>
      <c r="B41" s="82">
        <v>25990.781899542599</v>
      </c>
      <c r="C41" s="82">
        <v>27991.461147409002</v>
      </c>
      <c r="E41" t="s">
        <v>34</v>
      </c>
      <c r="F41">
        <v>342</v>
      </c>
      <c r="G41" s="83">
        <f t="shared" si="14"/>
        <v>342.95397489539749</v>
      </c>
      <c r="H41" t="s">
        <v>34</v>
      </c>
      <c r="I41">
        <v>702</v>
      </c>
      <c r="J41" s="83">
        <f t="shared" si="15"/>
        <v>722.06823027718553</v>
      </c>
      <c r="L41" s="193" t="s">
        <v>136</v>
      </c>
      <c r="M41" s="189">
        <f>SUM(B99:B103)</f>
        <v>695.17299404937944</v>
      </c>
      <c r="N41" s="169">
        <f>SUM(C99:C103)</f>
        <v>1065.0617992678958</v>
      </c>
      <c r="O41" s="165">
        <v>139.887862275922</v>
      </c>
      <c r="P41" s="168">
        <v>186.518828451883</v>
      </c>
      <c r="Q41" s="165">
        <v>0</v>
      </c>
      <c r="R41" s="168">
        <v>0</v>
      </c>
      <c r="S41" s="172">
        <v>2.5</v>
      </c>
      <c r="U41" s="144">
        <v>5</v>
      </c>
      <c r="V41" s="151">
        <f t="shared" si="16"/>
        <v>1.975299247718464E-3</v>
      </c>
      <c r="W41" s="152">
        <f t="shared" si="17"/>
        <v>9.8279633172245248E-3</v>
      </c>
      <c r="X41" s="152">
        <f t="shared" si="18"/>
        <v>0.99017203668277542</v>
      </c>
      <c r="Y41" s="153">
        <f t="shared" si="26"/>
        <v>95986.788239929971</v>
      </c>
      <c r="Z41" s="153">
        <f t="shared" si="19"/>
        <v>943.35463376023017</v>
      </c>
      <c r="AA41" s="154">
        <f t="shared" si="20"/>
        <v>477575.55461524928</v>
      </c>
      <c r="AB41" s="152">
        <f t="shared" si="21"/>
        <v>3810262.3515324029</v>
      </c>
      <c r="AC41" s="152">
        <f t="shared" si="22"/>
        <v>39.695695849393523</v>
      </c>
      <c r="AD41" s="153">
        <f t="shared" si="23"/>
        <v>66.180671768218204</v>
      </c>
      <c r="AE41" s="153">
        <f t="shared" si="27"/>
        <v>40</v>
      </c>
      <c r="AF41" s="152">
        <f t="shared" si="24"/>
        <v>2295.9431265948579</v>
      </c>
      <c r="AG41" s="155">
        <f t="shared" si="25"/>
        <v>2.3919366078338666E-2</v>
      </c>
    </row>
    <row r="42" spans="1:33" ht="15.75" thickBot="1" x14ac:dyDescent="0.3">
      <c r="A42" s="81">
        <v>38</v>
      </c>
      <c r="B42" s="82">
        <v>25867.887383366698</v>
      </c>
      <c r="C42" s="82">
        <v>27873.978073598999</v>
      </c>
      <c r="E42" t="s">
        <v>35</v>
      </c>
      <c r="F42">
        <v>455</v>
      </c>
      <c r="G42" s="83">
        <f t="shared" si="14"/>
        <v>456.26917712691773</v>
      </c>
      <c r="H42" t="s">
        <v>35</v>
      </c>
      <c r="I42">
        <v>799</v>
      </c>
      <c r="J42" s="83">
        <f t="shared" si="15"/>
        <v>821.84119087104159</v>
      </c>
      <c r="L42" s="194" t="s">
        <v>137</v>
      </c>
      <c r="M42" s="190">
        <f>SUM(B104:B113)</f>
        <v>149.90892075636538</v>
      </c>
      <c r="N42" s="173">
        <f>SUM(C104:C113)</f>
        <v>252.63335452839846</v>
      </c>
      <c r="O42" s="174">
        <f>SUM(J52:J54)</f>
        <v>29.829029455895128</v>
      </c>
      <c r="P42" s="175">
        <f>SUM(G52:G53)</f>
        <v>48.13389121338912</v>
      </c>
      <c r="Q42" s="174">
        <v>0</v>
      </c>
      <c r="R42" s="175">
        <v>0</v>
      </c>
      <c r="S42" s="176"/>
      <c r="U42" s="144">
        <v>5</v>
      </c>
      <c r="V42" s="151">
        <f t="shared" si="16"/>
        <v>2.8263440535754875E-3</v>
      </c>
      <c r="W42" s="152">
        <f t="shared" si="17"/>
        <v>1.4032568104332259E-2</v>
      </c>
      <c r="X42" s="152">
        <f t="shared" si="18"/>
        <v>0.98596743189566771</v>
      </c>
      <c r="Y42" s="153">
        <f t="shared" si="26"/>
        <v>95043.43360616974</v>
      </c>
      <c r="Z42" s="153">
        <f t="shared" si="19"/>
        <v>1333.7034549481582</v>
      </c>
      <c r="AA42" s="154">
        <f t="shared" si="20"/>
        <v>471882.90939347824</v>
      </c>
      <c r="AB42" s="152">
        <f t="shared" si="21"/>
        <v>3332686.7969171535</v>
      </c>
      <c r="AC42" s="152">
        <f t="shared" si="22"/>
        <v>35.064882133012631</v>
      </c>
      <c r="AD42" s="153">
        <f t="shared" si="23"/>
        <v>21.403858630564095</v>
      </c>
      <c r="AE42" s="153">
        <f t="shared" si="27"/>
        <v>45</v>
      </c>
      <c r="AF42" s="152">
        <f t="shared" si="24"/>
        <v>635.52442531470706</v>
      </c>
      <c r="AG42" s="155">
        <f t="shared" si="25"/>
        <v>6.6866736733031075E-3</v>
      </c>
    </row>
    <row r="43" spans="1:33" x14ac:dyDescent="0.25">
      <c r="A43" s="81">
        <v>39</v>
      </c>
      <c r="B43" s="82">
        <v>25718.360496463702</v>
      </c>
      <c r="C43" s="82">
        <v>27717.887086632501</v>
      </c>
      <c r="E43" t="s">
        <v>36</v>
      </c>
      <c r="F43">
        <v>599</v>
      </c>
      <c r="G43" s="83">
        <f t="shared" si="14"/>
        <v>600.67085076708508</v>
      </c>
      <c r="H43" t="s">
        <v>36</v>
      </c>
      <c r="I43">
        <v>877</v>
      </c>
      <c r="J43" s="83">
        <f t="shared" si="15"/>
        <v>902.07099423517332</v>
      </c>
      <c r="U43" s="144">
        <v>5</v>
      </c>
      <c r="V43" s="151">
        <f t="shared" si="16"/>
        <v>4.5789428517234504E-3</v>
      </c>
      <c r="W43" s="152">
        <f t="shared" si="17"/>
        <v>2.2635596501628188E-2</v>
      </c>
      <c r="X43" s="152">
        <f t="shared" si="18"/>
        <v>0.97736440349837184</v>
      </c>
      <c r="Y43" s="153">
        <f t="shared" si="26"/>
        <v>93709.730151221578</v>
      </c>
      <c r="Z43" s="153">
        <f t="shared" si="19"/>
        <v>2121.1756399795127</v>
      </c>
      <c r="AA43" s="154">
        <f t="shared" si="20"/>
        <v>463245.71165615914</v>
      </c>
      <c r="AB43" s="152">
        <f t="shared" si="21"/>
        <v>2860803.8875236753</v>
      </c>
      <c r="AC43" s="152">
        <f t="shared" si="22"/>
        <v>30.528354770706621</v>
      </c>
      <c r="AD43" s="153">
        <f t="shared" si="23"/>
        <v>15.352368579104141</v>
      </c>
      <c r="AE43" s="153">
        <f t="shared" si="27"/>
        <v>50</v>
      </c>
      <c r="AF43" s="152">
        <f t="shared" si="24"/>
        <v>379.08144157292963</v>
      </c>
      <c r="AG43" s="155">
        <f t="shared" si="25"/>
        <v>4.0452730037873023E-3</v>
      </c>
    </row>
    <row r="44" spans="1:33" x14ac:dyDescent="0.25">
      <c r="A44" s="81">
        <v>40</v>
      </c>
      <c r="B44" s="82">
        <v>25562.9238474392</v>
      </c>
      <c r="C44" s="82">
        <v>27538.9423147901</v>
      </c>
      <c r="E44" t="s">
        <v>37</v>
      </c>
      <c r="F44">
        <v>750</v>
      </c>
      <c r="G44" s="83">
        <f t="shared" si="14"/>
        <v>752.09205020920501</v>
      </c>
      <c r="H44" t="s">
        <v>37</v>
      </c>
      <c r="I44">
        <v>923</v>
      </c>
      <c r="J44" s="83">
        <f t="shared" si="15"/>
        <v>949.3860064755587</v>
      </c>
      <c r="U44" s="144">
        <v>5</v>
      </c>
      <c r="V44" s="151">
        <f t="shared" si="16"/>
        <v>7.6291895072937588E-3</v>
      </c>
      <c r="W44" s="152">
        <f t="shared" si="17"/>
        <v>3.7432007832978058E-2</v>
      </c>
      <c r="X44" s="152">
        <f t="shared" si="18"/>
        <v>0.96256799216702194</v>
      </c>
      <c r="Y44" s="153">
        <f t="shared" si="26"/>
        <v>91588.554511242066</v>
      </c>
      <c r="Z44" s="153">
        <f t="shared" si="19"/>
        <v>3428.343489875951</v>
      </c>
      <c r="AA44" s="154">
        <f t="shared" si="20"/>
        <v>449371.91383152048</v>
      </c>
      <c r="AB44" s="152">
        <f t="shared" si="21"/>
        <v>2397558.1758675161</v>
      </c>
      <c r="AC44" s="152">
        <f t="shared" si="22"/>
        <v>26.177486790374303</v>
      </c>
      <c r="AD44" s="153">
        <f t="shared" si="23"/>
        <v>37.696207145625479</v>
      </c>
      <c r="AE44" s="153">
        <f t="shared" si="27"/>
        <v>55</v>
      </c>
      <c r="AF44" s="152">
        <f t="shared" si="24"/>
        <v>742.31556891079924</v>
      </c>
      <c r="AG44" s="155">
        <f t="shared" si="25"/>
        <v>8.1048944693158514E-3</v>
      </c>
    </row>
    <row r="45" spans="1:33" x14ac:dyDescent="0.25">
      <c r="A45" s="81">
        <v>41</v>
      </c>
      <c r="B45" s="82">
        <v>25396.934767189799</v>
      </c>
      <c r="C45" s="82">
        <v>27333.164532932398</v>
      </c>
      <c r="E45" t="s">
        <v>38</v>
      </c>
      <c r="F45">
        <v>862</v>
      </c>
      <c r="G45" s="83">
        <f t="shared" si="14"/>
        <v>864.40446304044633</v>
      </c>
      <c r="H45" t="s">
        <v>38</v>
      </c>
      <c r="I45">
        <v>1068</v>
      </c>
      <c r="J45" s="83">
        <f t="shared" si="15"/>
        <v>1098.5311537550344</v>
      </c>
      <c r="U45" s="144">
        <v>5</v>
      </c>
      <c r="V45" s="151">
        <f t="shared" si="16"/>
        <v>1.2574494740192435E-2</v>
      </c>
      <c r="W45" s="152">
        <f t="shared" si="17"/>
        <v>6.0956238936247777E-2</v>
      </c>
      <c r="X45" s="152">
        <f t="shared" si="18"/>
        <v>0.9390437610637522</v>
      </c>
      <c r="Y45" s="153">
        <f t="shared" si="26"/>
        <v>88160.211021366122</v>
      </c>
      <c r="Z45" s="153">
        <f t="shared" si="19"/>
        <v>5373.9148876884183</v>
      </c>
      <c r="AA45" s="154">
        <f t="shared" si="20"/>
        <v>427366.2678876096</v>
      </c>
      <c r="AB45" s="152">
        <f t="shared" si="21"/>
        <v>1948186.2620359955</v>
      </c>
      <c r="AC45" s="152">
        <f t="shared" si="22"/>
        <v>22.098248625605507</v>
      </c>
      <c r="AD45" s="153">
        <f t="shared" si="23"/>
        <v>15.7307132825194</v>
      </c>
      <c r="AE45" s="153">
        <f t="shared" si="27"/>
        <v>60</v>
      </c>
      <c r="AF45" s="152">
        <f t="shared" si="24"/>
        <v>231.11641481059749</v>
      </c>
      <c r="AG45" s="155">
        <f t="shared" si="25"/>
        <v>2.6215501543500747E-3</v>
      </c>
    </row>
    <row r="46" spans="1:33" x14ac:dyDescent="0.25">
      <c r="A46" s="81">
        <v>42</v>
      </c>
      <c r="B46" s="82">
        <v>25204.147550418202</v>
      </c>
      <c r="C46" s="82">
        <v>27086.551627598099</v>
      </c>
      <c r="E46" t="s">
        <v>39</v>
      </c>
      <c r="F46">
        <v>1002</v>
      </c>
      <c r="G46" s="83">
        <f t="shared" si="14"/>
        <v>1004.7949790794979</v>
      </c>
      <c r="H46" t="s">
        <v>39</v>
      </c>
      <c r="I46">
        <v>1166</v>
      </c>
      <c r="J46" s="83">
        <f t="shared" si="15"/>
        <v>1199.3327015715076</v>
      </c>
      <c r="U46" s="144">
        <v>5</v>
      </c>
      <c r="V46" s="151">
        <f t="shared" si="16"/>
        <v>1.9259726768626539E-2</v>
      </c>
      <c r="W46" s="152">
        <f t="shared" si="17"/>
        <v>9.1874919239525468E-2</v>
      </c>
      <c r="X46" s="152">
        <f t="shared" si="18"/>
        <v>0.90812508076047449</v>
      </c>
      <c r="Y46" s="153">
        <f t="shared" si="26"/>
        <v>82786.296133677708</v>
      </c>
      <c r="Z46" s="153">
        <f t="shared" si="19"/>
        <v>7605.984271421079</v>
      </c>
      <c r="AA46" s="154">
        <f t="shared" si="20"/>
        <v>394916.5199898358</v>
      </c>
      <c r="AB46" s="152">
        <f t="shared" si="21"/>
        <v>1520819.9941483859</v>
      </c>
      <c r="AC46" s="152">
        <f t="shared" si="22"/>
        <v>18.37043164357382</v>
      </c>
      <c r="AD46" s="153">
        <f t="shared" si="23"/>
        <v>29.057504334090002</v>
      </c>
      <c r="AE46" s="153">
        <f t="shared" si="27"/>
        <v>65</v>
      </c>
      <c r="AF46" s="152">
        <f t="shared" si="24"/>
        <v>281.62676406006403</v>
      </c>
      <c r="AG46" s="155">
        <f t="shared" si="25"/>
        <v>3.4018524467541366E-3</v>
      </c>
    </row>
    <row r="47" spans="1:33" x14ac:dyDescent="0.25">
      <c r="A47" s="81">
        <v>43</v>
      </c>
      <c r="B47" s="82">
        <v>24936.999778720299</v>
      </c>
      <c r="C47" s="82">
        <v>26759.5964169156</v>
      </c>
      <c r="E47" t="s">
        <v>109</v>
      </c>
      <c r="F47">
        <v>1063</v>
      </c>
      <c r="G47" s="83">
        <f t="shared" si="14"/>
        <v>1065.9651324965132</v>
      </c>
      <c r="H47" t="s">
        <v>109</v>
      </c>
      <c r="I47">
        <v>1222</v>
      </c>
      <c r="J47" s="83">
        <f t="shared" si="15"/>
        <v>1256.9335860380636</v>
      </c>
      <c r="U47" s="144">
        <v>5</v>
      </c>
      <c r="V47" s="151">
        <f t="shared" si="16"/>
        <v>2.9940744745402512E-2</v>
      </c>
      <c r="W47" s="152">
        <f t="shared" si="17"/>
        <v>0.13927847086524672</v>
      </c>
      <c r="X47" s="152">
        <f t="shared" si="18"/>
        <v>0.8607215291347533</v>
      </c>
      <c r="Y47" s="153">
        <f t="shared" si="26"/>
        <v>75180.311862256625</v>
      </c>
      <c r="Z47" s="153">
        <f t="shared" si="19"/>
        <v>10470.998875347472</v>
      </c>
      <c r="AA47" s="154">
        <f t="shared" si="20"/>
        <v>349724.06212291447</v>
      </c>
      <c r="AB47" s="152">
        <f t="shared" si="21"/>
        <v>1125903.4741585501</v>
      </c>
      <c r="AC47" s="152">
        <f t="shared" si="22"/>
        <v>14.976041549566869</v>
      </c>
      <c r="AD47" s="153">
        <f t="shared" si="23"/>
        <v>11.471211596651505</v>
      </c>
      <c r="AE47" s="153">
        <f t="shared" si="27"/>
        <v>70</v>
      </c>
      <c r="AF47" s="152">
        <f t="shared" si="24"/>
        <v>53.82349015237272</v>
      </c>
      <c r="AG47" s="155">
        <f t="shared" si="25"/>
        <v>7.1592533762012973E-4</v>
      </c>
    </row>
    <row r="48" spans="1:33" x14ac:dyDescent="0.25">
      <c r="A48" s="81">
        <v>44</v>
      </c>
      <c r="B48" s="82">
        <v>24559.1675668766</v>
      </c>
      <c r="C48" s="82">
        <v>26320.514945950999</v>
      </c>
      <c r="E48" t="s">
        <v>111</v>
      </c>
      <c r="F48">
        <v>1057</v>
      </c>
      <c r="G48" s="83">
        <f t="shared" si="14"/>
        <v>1059.9483960948396</v>
      </c>
      <c r="H48" t="s">
        <v>111</v>
      </c>
      <c r="I48">
        <v>1115</v>
      </c>
      <c r="J48" s="83">
        <f t="shared" si="15"/>
        <v>1146.8747532180369</v>
      </c>
      <c r="U48" s="144">
        <v>5</v>
      </c>
      <c r="V48" s="151">
        <f t="shared" si="16"/>
        <v>4.5109660537200245E-2</v>
      </c>
      <c r="W48" s="152">
        <f t="shared" si="17"/>
        <v>0.20269009880737102</v>
      </c>
      <c r="X48" s="152">
        <f t="shared" si="18"/>
        <v>0.79730990119262901</v>
      </c>
      <c r="Y48" s="153">
        <f t="shared" si="26"/>
        <v>64709.31298690915</v>
      </c>
      <c r="Z48" s="153">
        <f t="shared" si="19"/>
        <v>13115.937043073713</v>
      </c>
      <c r="AA48" s="154">
        <f t="shared" si="20"/>
        <v>290756.72232686146</v>
      </c>
      <c r="AB48" s="152">
        <f t="shared" si="21"/>
        <v>776179.41203563579</v>
      </c>
      <c r="AC48" s="152">
        <f t="shared" si="22"/>
        <v>11.994864049826317</v>
      </c>
      <c r="AD48" s="153">
        <f t="shared" si="23"/>
        <v>13.544249901142996</v>
      </c>
      <c r="AE48" s="153">
        <f t="shared" si="27"/>
        <v>75</v>
      </c>
      <c r="AF48" s="152"/>
      <c r="AG48" s="155"/>
    </row>
    <row r="49" spans="1:33" x14ac:dyDescent="0.25">
      <c r="A49" s="81">
        <v>45</v>
      </c>
      <c r="B49" s="82">
        <v>24074.746770843001</v>
      </c>
      <c r="C49" s="82">
        <v>25766.1888449002</v>
      </c>
      <c r="E49" t="s">
        <v>112</v>
      </c>
      <c r="F49">
        <v>907</v>
      </c>
      <c r="G49" s="83">
        <f t="shared" si="14"/>
        <v>909.52998605299865</v>
      </c>
      <c r="H49" t="s">
        <v>112</v>
      </c>
      <c r="I49">
        <v>783</v>
      </c>
      <c r="J49" s="83">
        <f t="shared" si="15"/>
        <v>805.38379530916848</v>
      </c>
      <c r="U49" s="144">
        <v>5</v>
      </c>
      <c r="V49" s="151">
        <f t="shared" si="16"/>
        <v>7.0821809614267123E-2</v>
      </c>
      <c r="W49" s="152">
        <f t="shared" si="17"/>
        <v>0.30084336862937472</v>
      </c>
      <c r="X49" s="152">
        <f t="shared" si="18"/>
        <v>0.69915663137062523</v>
      </c>
      <c r="Y49" s="153">
        <f t="shared" si="26"/>
        <v>51593.375943835439</v>
      </c>
      <c r="Z49" s="153">
        <f t="shared" si="19"/>
        <v>15521.525017905198</v>
      </c>
      <c r="AA49" s="154">
        <f t="shared" si="20"/>
        <v>219163.0671744142</v>
      </c>
      <c r="AB49" s="152">
        <f t="shared" si="21"/>
        <v>485422.68970877433</v>
      </c>
      <c r="AC49" s="152">
        <f t="shared" si="22"/>
        <v>9.4086242822568078</v>
      </c>
      <c r="AD49" s="153">
        <f t="shared" si="23"/>
        <v>16.119378804270884</v>
      </c>
      <c r="AE49" s="153">
        <f t="shared" si="27"/>
        <v>80</v>
      </c>
      <c r="AF49" s="152"/>
      <c r="AG49" s="155"/>
    </row>
    <row r="50" spans="1:33" x14ac:dyDescent="0.25">
      <c r="A50" s="81">
        <v>46</v>
      </c>
      <c r="B50" s="82">
        <v>23486.120039557401</v>
      </c>
      <c r="C50" s="82">
        <v>25100.116870376201</v>
      </c>
      <c r="E50" t="s">
        <v>138</v>
      </c>
      <c r="F50">
        <v>505</v>
      </c>
      <c r="G50" s="83">
        <f t="shared" si="14"/>
        <v>506.40864714086473</v>
      </c>
      <c r="H50" t="s">
        <v>138</v>
      </c>
      <c r="I50">
        <v>399</v>
      </c>
      <c r="J50" s="83">
        <f t="shared" si="15"/>
        <v>410.40630182421228</v>
      </c>
      <c r="U50" s="144">
        <v>5</v>
      </c>
      <c r="V50" s="151">
        <f t="shared" si="16"/>
        <v>0.11239668285232578</v>
      </c>
      <c r="W50" s="152">
        <f t="shared" si="17"/>
        <v>0.4387096427972732</v>
      </c>
      <c r="X50" s="152">
        <f t="shared" si="18"/>
        <v>0.5612903572027268</v>
      </c>
      <c r="Y50" s="153">
        <f t="shared" si="26"/>
        <v>36071.850925930237</v>
      </c>
      <c r="Z50" s="153">
        <f t="shared" si="19"/>
        <v>15825.068834751342</v>
      </c>
      <c r="AA50" s="154">
        <f t="shared" si="20"/>
        <v>140796.58254277284</v>
      </c>
      <c r="AB50" s="152">
        <f t="shared" si="21"/>
        <v>266259.62253436015</v>
      </c>
      <c r="AC50" s="152">
        <f t="shared" si="22"/>
        <v>7.3813684548956573</v>
      </c>
      <c r="AD50" s="153">
        <f t="shared" si="23"/>
        <v>0</v>
      </c>
      <c r="AE50" s="153">
        <f t="shared" si="27"/>
        <v>85</v>
      </c>
      <c r="AF50" s="152"/>
      <c r="AG50" s="155"/>
    </row>
    <row r="51" spans="1:33" x14ac:dyDescent="0.25">
      <c r="A51" s="81">
        <v>47</v>
      </c>
      <c r="B51" s="82">
        <v>22798.839455679699</v>
      </c>
      <c r="C51" s="82">
        <v>24338.451310053399</v>
      </c>
      <c r="E51" t="s">
        <v>139</v>
      </c>
      <c r="F51">
        <v>186</v>
      </c>
      <c r="G51" s="83">
        <f t="shared" si="14"/>
        <v>186.51882845188285</v>
      </c>
      <c r="H51" t="s">
        <v>139</v>
      </c>
      <c r="I51">
        <v>136</v>
      </c>
      <c r="J51" s="83">
        <f t="shared" si="15"/>
        <v>139.88786227592198</v>
      </c>
      <c r="U51" s="144">
        <v>5</v>
      </c>
      <c r="V51" s="151">
        <f t="shared" si="16"/>
        <v>0.14780374128216575</v>
      </c>
      <c r="W51" s="152">
        <f t="shared" si="17"/>
        <v>0.53962297130801884</v>
      </c>
      <c r="X51" s="152">
        <f t="shared" si="18"/>
        <v>0.46037702869198116</v>
      </c>
      <c r="Y51" s="153">
        <f t="shared" si="26"/>
        <v>20246.782091178895</v>
      </c>
      <c r="Z51" s="153">
        <f t="shared" si="19"/>
        <v>10925.628711467938</v>
      </c>
      <c r="AA51" s="154">
        <f t="shared" si="20"/>
        <v>73919.83867722463</v>
      </c>
      <c r="AB51" s="152">
        <f t="shared" si="21"/>
        <v>125463.03999158733</v>
      </c>
      <c r="AC51" s="152">
        <f t="shared" si="22"/>
        <v>6.1966903889506959</v>
      </c>
      <c r="AD51" s="153">
        <f t="shared" si="23"/>
        <v>0</v>
      </c>
      <c r="AE51" s="153">
        <f t="shared" si="27"/>
        <v>90</v>
      </c>
      <c r="AF51" s="152"/>
      <c r="AG51" s="155"/>
    </row>
    <row r="52" spans="1:33" x14ac:dyDescent="0.25">
      <c r="A52" s="81">
        <v>48</v>
      </c>
      <c r="B52" s="82">
        <v>22034.717339386902</v>
      </c>
      <c r="C52" s="82">
        <v>23507.9328809242</v>
      </c>
      <c r="E52" t="s">
        <v>140</v>
      </c>
      <c r="F52">
        <v>39</v>
      </c>
      <c r="G52" s="83">
        <f t="shared" si="14"/>
        <v>39.10878661087866</v>
      </c>
      <c r="H52" t="s">
        <v>140</v>
      </c>
      <c r="I52">
        <v>22</v>
      </c>
      <c r="J52" s="83">
        <f t="shared" si="15"/>
        <v>22.628918897575613</v>
      </c>
      <c r="U52" s="144">
        <v>5</v>
      </c>
      <c r="V52" s="151">
        <f t="shared" si="16"/>
        <v>0.17512488813333899</v>
      </c>
      <c r="W52" s="152">
        <f t="shared" si="17"/>
        <v>0.60899777334183947</v>
      </c>
      <c r="X52" s="152">
        <f t="shared" si="18"/>
        <v>0.39100222665816053</v>
      </c>
      <c r="Y52" s="153">
        <f t="shared" si="26"/>
        <v>9321.1533797109569</v>
      </c>
      <c r="Z52" s="153">
        <f t="shared" si="19"/>
        <v>5676.5616532217346</v>
      </c>
      <c r="AA52" s="154">
        <f t="shared" si="20"/>
        <v>32414.362765500449</v>
      </c>
      <c r="AB52" s="152">
        <f t="shared" si="21"/>
        <v>51543.201314362697</v>
      </c>
      <c r="AC52" s="152">
        <f t="shared" si="22"/>
        <v>5.5297020888589881</v>
      </c>
      <c r="AD52" s="153">
        <f t="shared" si="23"/>
        <v>0</v>
      </c>
      <c r="AE52" s="153">
        <f t="shared" si="27"/>
        <v>95</v>
      </c>
      <c r="AF52" s="152"/>
      <c r="AG52" s="155"/>
    </row>
    <row r="53" spans="1:33" ht="15.75" thickBot="1" x14ac:dyDescent="0.3">
      <c r="A53" s="81">
        <v>49</v>
      </c>
      <c r="B53" s="82">
        <v>21214.272747127699</v>
      </c>
      <c r="C53" s="82">
        <v>22629.216243331899</v>
      </c>
      <c r="E53" t="s">
        <v>141</v>
      </c>
      <c r="F53">
        <v>9</v>
      </c>
      <c r="G53" s="83">
        <f t="shared" si="14"/>
        <v>9.02510460251046</v>
      </c>
      <c r="H53" t="s">
        <v>141</v>
      </c>
      <c r="I53">
        <v>6</v>
      </c>
      <c r="J53" s="83">
        <f t="shared" si="15"/>
        <v>6.1715233357024406</v>
      </c>
      <c r="U53" s="145"/>
      <c r="V53" s="156">
        <f t="shared" si="16"/>
        <v>0.19052864695258756</v>
      </c>
      <c r="W53" s="157">
        <v>1</v>
      </c>
      <c r="X53" s="157">
        <f t="shared" si="18"/>
        <v>0</v>
      </c>
      <c r="Y53" s="158">
        <f t="shared" si="26"/>
        <v>3644.5917264892223</v>
      </c>
      <c r="Z53" s="158">
        <f t="shared" si="19"/>
        <v>3644.5917264892223</v>
      </c>
      <c r="AA53" s="159">
        <f>Z53/V53</f>
        <v>19128.838548862248</v>
      </c>
      <c r="AB53" s="157">
        <f>AA53</f>
        <v>19128.838548862248</v>
      </c>
      <c r="AC53" s="157">
        <f t="shared" si="22"/>
        <v>5.2485545664366517</v>
      </c>
      <c r="AD53" s="158">
        <f t="shared" si="23"/>
        <v>0</v>
      </c>
      <c r="AE53" s="158">
        <f t="shared" si="27"/>
        <v>100</v>
      </c>
      <c r="AF53" s="157"/>
      <c r="AG53" s="160"/>
    </row>
    <row r="54" spans="1:33" ht="18.75" x14ac:dyDescent="0.3">
      <c r="A54" s="81">
        <v>50</v>
      </c>
      <c r="B54" s="82">
        <v>20352.4393316764</v>
      </c>
      <c r="C54" s="82">
        <v>21720.4442633461</v>
      </c>
      <c r="E54" t="s">
        <v>114</v>
      </c>
      <c r="F54">
        <v>26</v>
      </c>
      <c r="H54" t="s">
        <v>142</v>
      </c>
      <c r="I54">
        <v>1</v>
      </c>
      <c r="J54" s="83">
        <f t="shared" si="15"/>
        <v>1.0285872226170734</v>
      </c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42">
        <f>SUM(AF32:AF47)</f>
        <v>20863.370348808494</v>
      </c>
      <c r="AG54" s="142">
        <f>SUM(AG32:AG47)</f>
        <v>0.21583787268804161</v>
      </c>
    </row>
    <row r="55" spans="1:33" x14ac:dyDescent="0.25">
      <c r="A55" s="81">
        <v>51</v>
      </c>
      <c r="B55" s="82">
        <v>19464.113473870701</v>
      </c>
      <c r="C55" s="82">
        <v>20804.104571944099</v>
      </c>
      <c r="H55" t="s">
        <v>114</v>
      </c>
      <c r="I55">
        <v>362</v>
      </c>
      <c r="U55" s="117"/>
      <c r="V55" s="117"/>
      <c r="W55" s="117"/>
      <c r="X55" s="117"/>
      <c r="Y55" s="117"/>
      <c r="Z55" s="117"/>
      <c r="AA55" s="117"/>
      <c r="AB55" s="117"/>
      <c r="AC55" s="117"/>
      <c r="AD55" s="117"/>
      <c r="AE55" s="117"/>
      <c r="AF55" s="117"/>
      <c r="AG55" s="117"/>
    </row>
    <row r="56" spans="1:33" x14ac:dyDescent="0.25">
      <c r="A56" s="81">
        <v>52</v>
      </c>
      <c r="B56" s="82">
        <v>18569.625944574698</v>
      </c>
      <c r="C56" s="82">
        <v>19902.758979198599</v>
      </c>
    </row>
    <row r="57" spans="1:33" x14ac:dyDescent="0.25">
      <c r="A57" s="81">
        <v>53</v>
      </c>
      <c r="B57" s="82">
        <v>17688.171388270799</v>
      </c>
      <c r="C57" s="82">
        <v>19030.420566677702</v>
      </c>
    </row>
    <row r="58" spans="1:33" x14ac:dyDescent="0.25">
      <c r="A58" s="81">
        <v>54</v>
      </c>
      <c r="B58" s="82">
        <v>16830.269960624701</v>
      </c>
      <c r="C58" s="82">
        <v>18187.3626151504</v>
      </c>
    </row>
    <row r="59" spans="1:33" x14ac:dyDescent="0.25">
      <c r="A59" s="81">
        <v>55</v>
      </c>
      <c r="B59" s="82">
        <v>15998.343478764</v>
      </c>
      <c r="C59" s="82">
        <v>17362.707957443101</v>
      </c>
    </row>
    <row r="60" spans="1:33" x14ac:dyDescent="0.25">
      <c r="A60" s="81">
        <v>56</v>
      </c>
      <c r="B60" s="82">
        <v>15188.2102350492</v>
      </c>
      <c r="C60" s="82">
        <v>16547.115712335999</v>
      </c>
    </row>
    <row r="61" spans="1:33" x14ac:dyDescent="0.25">
      <c r="A61" s="81">
        <v>57</v>
      </c>
      <c r="B61" s="82">
        <v>14393.8650534564</v>
      </c>
      <c r="C61" s="82">
        <v>15738.3770484374</v>
      </c>
    </row>
    <row r="62" spans="1:33" x14ac:dyDescent="0.25">
      <c r="A62" s="81">
        <v>58</v>
      </c>
      <c r="B62" s="82">
        <v>13610.5102285269</v>
      </c>
      <c r="C62" s="82">
        <v>14937.295803403</v>
      </c>
    </row>
    <row r="63" spans="1:33" x14ac:dyDescent="0.25">
      <c r="A63" s="81">
        <v>59</v>
      </c>
      <c r="B63" s="82">
        <v>12840.865819949</v>
      </c>
      <c r="C63" s="82">
        <v>14147.749020757399</v>
      </c>
    </row>
    <row r="64" spans="1:33" x14ac:dyDescent="0.25">
      <c r="A64" s="81">
        <v>60</v>
      </c>
      <c r="B64" s="82">
        <v>12095.4373044689</v>
      </c>
      <c r="C64" s="82">
        <v>13379.293072325299</v>
      </c>
    </row>
    <row r="65" spans="1:3" x14ac:dyDescent="0.25">
      <c r="A65" s="81">
        <v>61</v>
      </c>
      <c r="B65" s="82">
        <v>11382.5570454463</v>
      </c>
      <c r="C65" s="82">
        <v>12639.306548090801</v>
      </c>
    </row>
    <row r="66" spans="1:3" x14ac:dyDescent="0.25">
      <c r="A66" s="81">
        <v>62</v>
      </c>
      <c r="B66" s="82">
        <v>10704.625330061101</v>
      </c>
      <c r="C66" s="82">
        <v>11928.6932253946</v>
      </c>
    </row>
    <row r="67" spans="1:3" x14ac:dyDescent="0.25">
      <c r="A67" s="81">
        <v>63</v>
      </c>
      <c r="B67" s="82">
        <v>10063.1730951728</v>
      </c>
      <c r="C67" s="82">
        <v>11251.021759490601</v>
      </c>
    </row>
    <row r="68" spans="1:3" x14ac:dyDescent="0.25">
      <c r="A68" s="81">
        <v>64</v>
      </c>
      <c r="B68" s="82">
        <v>9462.0471367436603</v>
      </c>
      <c r="C68" s="82">
        <v>10612.6015188479</v>
      </c>
    </row>
    <row r="69" spans="1:3" x14ac:dyDescent="0.25">
      <c r="A69" s="81">
        <v>65</v>
      </c>
      <c r="B69" s="82">
        <v>8901.56078229591</v>
      </c>
      <c r="C69" s="82">
        <v>10016.188641115999</v>
      </c>
    </row>
    <row r="70" spans="1:3" x14ac:dyDescent="0.25">
      <c r="A70" s="81">
        <v>66</v>
      </c>
      <c r="B70" s="82">
        <v>8380.5797967332692</v>
      </c>
      <c r="C70" s="82">
        <v>9460.6032662453508</v>
      </c>
    </row>
    <row r="71" spans="1:3" x14ac:dyDescent="0.25">
      <c r="A71" s="81">
        <v>67</v>
      </c>
      <c r="B71" s="82">
        <v>7900.3406599029204</v>
      </c>
      <c r="C71" s="82">
        <v>8943.3251790970608</v>
      </c>
    </row>
    <row r="72" spans="1:3" x14ac:dyDescent="0.25">
      <c r="A72" s="81">
        <v>68</v>
      </c>
      <c r="B72" s="82">
        <v>7463.2261073312202</v>
      </c>
      <c r="C72" s="82">
        <v>8459.8805686628202</v>
      </c>
    </row>
    <row r="73" spans="1:3" x14ac:dyDescent="0.25">
      <c r="A73" s="81">
        <v>69</v>
      </c>
      <c r="B73" s="82">
        <v>7044.5728451410796</v>
      </c>
      <c r="C73" s="82">
        <v>8001.4522961071698</v>
      </c>
    </row>
    <row r="74" spans="1:3" x14ac:dyDescent="0.25">
      <c r="A74" s="81">
        <v>70</v>
      </c>
      <c r="B74" s="82">
        <v>6629.4679701037403</v>
      </c>
      <c r="C74" s="82">
        <v>7558.5453603534497</v>
      </c>
    </row>
    <row r="75" spans="1:3" x14ac:dyDescent="0.25">
      <c r="A75" s="81">
        <v>71</v>
      </c>
      <c r="B75" s="82">
        <v>6240.0493869718402</v>
      </c>
      <c r="C75" s="82">
        <v>7126.2763870287099</v>
      </c>
    </row>
    <row r="76" spans="1:3" x14ac:dyDescent="0.25">
      <c r="A76" s="81">
        <v>72</v>
      </c>
      <c r="B76" s="82">
        <v>5869.2212331805504</v>
      </c>
      <c r="C76" s="82">
        <v>6703.1114461754796</v>
      </c>
    </row>
    <row r="77" spans="1:3" x14ac:dyDescent="0.25">
      <c r="A77" s="81">
        <v>73</v>
      </c>
      <c r="B77" s="82">
        <v>5503.1174402525903</v>
      </c>
      <c r="C77" s="82">
        <v>6288.3404995441997</v>
      </c>
    </row>
    <row r="78" spans="1:3" x14ac:dyDescent="0.25">
      <c r="A78" s="81">
        <v>74</v>
      </c>
      <c r="B78" s="82">
        <v>5145.7854284144096</v>
      </c>
      <c r="C78" s="82">
        <v>5883.17807149694</v>
      </c>
    </row>
    <row r="79" spans="1:3" x14ac:dyDescent="0.25">
      <c r="A79" s="81">
        <v>75</v>
      </c>
      <c r="B79" s="82">
        <v>4796.3446210145703</v>
      </c>
      <c r="C79" s="82">
        <v>5487.4734941384304</v>
      </c>
    </row>
    <row r="80" spans="1:3" x14ac:dyDescent="0.25">
      <c r="A80" s="81">
        <v>76</v>
      </c>
      <c r="B80" s="82">
        <v>4452.0945287293698</v>
      </c>
      <c r="C80" s="82">
        <v>5098.8994417202903</v>
      </c>
    </row>
    <row r="81" spans="1:3" x14ac:dyDescent="0.25">
      <c r="A81" s="81">
        <v>77</v>
      </c>
      <c r="B81" s="82">
        <v>4110.9550239706296</v>
      </c>
      <c r="C81" s="82">
        <v>4717.3242425809403</v>
      </c>
    </row>
    <row r="82" spans="1:3" x14ac:dyDescent="0.25">
      <c r="A82" s="81">
        <v>78</v>
      </c>
      <c r="B82" s="82">
        <v>3772.4394688858201</v>
      </c>
      <c r="C82" s="82">
        <v>4344.5546590079502</v>
      </c>
    </row>
    <row r="83" spans="1:3" x14ac:dyDescent="0.25">
      <c r="A83" s="81">
        <v>79</v>
      </c>
      <c r="B83" s="82">
        <v>3439.7334024673601</v>
      </c>
      <c r="C83" s="82">
        <v>3982.27696286221</v>
      </c>
    </row>
    <row r="84" spans="1:3" x14ac:dyDescent="0.25">
      <c r="A84" s="81">
        <v>80</v>
      </c>
      <c r="B84" s="82">
        <v>3117.2464050143099</v>
      </c>
      <c r="C84" s="82">
        <v>3632.1477004220601</v>
      </c>
    </row>
    <row r="85" spans="1:3" x14ac:dyDescent="0.25">
      <c r="A85" s="81">
        <v>81</v>
      </c>
      <c r="B85" s="82">
        <v>2807.15760628826</v>
      </c>
      <c r="C85" s="82">
        <v>3296.3594945446698</v>
      </c>
    </row>
    <row r="86" spans="1:3" x14ac:dyDescent="0.25">
      <c r="A86" s="81">
        <v>82</v>
      </c>
      <c r="B86" s="82">
        <v>2510.6399415215701</v>
      </c>
      <c r="C86" s="82">
        <v>2977.4992904297401</v>
      </c>
    </row>
    <row r="87" spans="1:3" x14ac:dyDescent="0.25">
      <c r="A87" s="81">
        <v>83</v>
      </c>
      <c r="B87" s="82">
        <v>2226.1232067135002</v>
      </c>
      <c r="C87" s="82">
        <v>2674.7243463443201</v>
      </c>
    </row>
    <row r="88" spans="1:3" x14ac:dyDescent="0.25">
      <c r="A88" s="81">
        <v>84</v>
      </c>
      <c r="B88" s="82">
        <v>1957.6495235212001</v>
      </c>
      <c r="C88" s="82">
        <v>2385.6813775472401</v>
      </c>
    </row>
    <row r="89" spans="1:3" x14ac:dyDescent="0.25">
      <c r="A89" s="81">
        <v>85</v>
      </c>
      <c r="B89" s="82">
        <v>1703.51994872562</v>
      </c>
      <c r="C89" s="82">
        <v>2108.5582013045801</v>
      </c>
    </row>
    <row r="90" spans="1:3" x14ac:dyDescent="0.25">
      <c r="A90" s="81">
        <v>86</v>
      </c>
      <c r="B90" s="82">
        <v>1465.8827624729699</v>
      </c>
      <c r="C90" s="82">
        <v>1846.4745167985</v>
      </c>
    </row>
    <row r="91" spans="1:3" x14ac:dyDescent="0.25">
      <c r="A91" s="81">
        <v>87</v>
      </c>
      <c r="B91" s="82">
        <v>1247.72987794043</v>
      </c>
      <c r="C91" s="82">
        <v>1600.7574639888701</v>
      </c>
    </row>
    <row r="92" spans="1:3" x14ac:dyDescent="0.25">
      <c r="A92" s="81">
        <v>88</v>
      </c>
      <c r="B92" s="82">
        <v>1050.54092217124</v>
      </c>
      <c r="C92" s="82">
        <v>1373.0136464157699</v>
      </c>
    </row>
    <row r="93" spans="1:3" x14ac:dyDescent="0.25">
      <c r="A93" s="81">
        <v>89</v>
      </c>
      <c r="B93" s="82">
        <v>873.08360844703805</v>
      </c>
      <c r="C93" s="82">
        <v>1163.33877723092</v>
      </c>
    </row>
    <row r="94" spans="1:3" x14ac:dyDescent="0.25">
      <c r="A94" s="81">
        <v>90</v>
      </c>
      <c r="B94" s="82">
        <v>718.74562590560595</v>
      </c>
      <c r="C94" s="82">
        <v>976.95575527945198</v>
      </c>
    </row>
    <row r="95" spans="1:3" x14ac:dyDescent="0.25">
      <c r="A95" s="81">
        <v>91</v>
      </c>
      <c r="B95" s="82">
        <v>584.80373940364905</v>
      </c>
      <c r="C95" s="82">
        <v>811.48425907891499</v>
      </c>
    </row>
    <row r="96" spans="1:3" x14ac:dyDescent="0.25">
      <c r="A96" s="81">
        <v>92</v>
      </c>
      <c r="B96" s="82">
        <v>470.42474369821502</v>
      </c>
      <c r="C96" s="82">
        <v>666.200078028353</v>
      </c>
    </row>
    <row r="97" spans="1:3" x14ac:dyDescent="0.25">
      <c r="A97" s="81">
        <v>93</v>
      </c>
      <c r="B97" s="82">
        <v>374.26269005851401</v>
      </c>
      <c r="C97" s="82">
        <v>539.89713337845706</v>
      </c>
    </row>
    <row r="98" spans="1:3" x14ac:dyDescent="0.25">
      <c r="A98" s="81">
        <v>94</v>
      </c>
      <c r="B98" s="82">
        <v>293.98928962289699</v>
      </c>
      <c r="C98" s="82">
        <v>431.68624292295402</v>
      </c>
    </row>
    <row r="99" spans="1:3" x14ac:dyDescent="0.25">
      <c r="A99" s="81">
        <v>95</v>
      </c>
      <c r="B99" s="82">
        <v>227.566237999951</v>
      </c>
      <c r="C99" s="82">
        <v>340.10934087894202</v>
      </c>
    </row>
    <row r="100" spans="1:3" x14ac:dyDescent="0.25">
      <c r="A100" s="81">
        <v>96</v>
      </c>
      <c r="B100" s="82">
        <v>173.432499022266</v>
      </c>
      <c r="C100" s="82">
        <v>263.58497137435398</v>
      </c>
    </row>
    <row r="101" spans="1:3" x14ac:dyDescent="0.25">
      <c r="A101" s="81">
        <v>97</v>
      </c>
      <c r="B101" s="82">
        <v>129.923160757007</v>
      </c>
      <c r="C101" s="82">
        <v>200.801674640768</v>
      </c>
    </row>
    <row r="102" spans="1:3" x14ac:dyDescent="0.25">
      <c r="A102" s="81">
        <v>98</v>
      </c>
      <c r="B102" s="82">
        <v>95.462324730299002</v>
      </c>
      <c r="C102" s="82">
        <v>150.215175515011</v>
      </c>
    </row>
    <row r="103" spans="1:3" x14ac:dyDescent="0.25">
      <c r="A103" s="81">
        <v>99</v>
      </c>
      <c r="B103" s="82">
        <v>68.788771539856398</v>
      </c>
      <c r="C103" s="82">
        <v>110.35063685882101</v>
      </c>
    </row>
    <row r="104" spans="1:3" x14ac:dyDescent="0.25">
      <c r="A104" s="81">
        <v>100</v>
      </c>
      <c r="B104" s="82">
        <v>48.7900988316838</v>
      </c>
      <c r="C104" s="82">
        <v>79.762387827736902</v>
      </c>
    </row>
    <row r="105" spans="1:3" x14ac:dyDescent="0.25">
      <c r="A105" s="81">
        <v>101</v>
      </c>
      <c r="B105" s="82">
        <v>34.154645370267097</v>
      </c>
      <c r="C105" s="82">
        <v>56.830252562857901</v>
      </c>
    </row>
    <row r="106" spans="1:3" x14ac:dyDescent="0.25">
      <c r="A106" s="81">
        <v>102</v>
      </c>
      <c r="B106" s="82">
        <v>23.586889967660099</v>
      </c>
      <c r="C106" s="82">
        <v>39.929555734079102</v>
      </c>
    </row>
    <row r="107" spans="1:3" x14ac:dyDescent="0.25">
      <c r="A107" s="81">
        <v>103</v>
      </c>
      <c r="B107" s="82">
        <v>16.0595747852587</v>
      </c>
      <c r="C107" s="82">
        <v>27.644850375565699</v>
      </c>
    </row>
    <row r="108" spans="1:3" x14ac:dyDescent="0.25">
      <c r="A108" s="81">
        <v>104</v>
      </c>
      <c r="B108" s="82">
        <v>10.7403066650723</v>
      </c>
      <c r="C108" s="82">
        <v>18.807107728672001</v>
      </c>
    </row>
    <row r="109" spans="1:3" x14ac:dyDescent="0.25">
      <c r="A109" s="81">
        <v>105</v>
      </c>
      <c r="B109" s="82">
        <v>7.0156128640417501</v>
      </c>
      <c r="C109" s="82">
        <v>12.475339505655599</v>
      </c>
    </row>
    <row r="110" spans="1:3" x14ac:dyDescent="0.25">
      <c r="A110" s="81">
        <v>106</v>
      </c>
      <c r="B110" s="82">
        <v>4.4550045501958602</v>
      </c>
      <c r="C110" s="82">
        <v>7.9921185637869296</v>
      </c>
    </row>
    <row r="111" spans="1:3" x14ac:dyDescent="0.25">
      <c r="A111" s="81">
        <v>107</v>
      </c>
      <c r="B111" s="82">
        <v>2.7822073960339901</v>
      </c>
      <c r="C111" s="82">
        <v>5.0029496152119597</v>
      </c>
    </row>
    <row r="112" spans="1:3" x14ac:dyDescent="0.25">
      <c r="A112" s="81">
        <v>108</v>
      </c>
      <c r="B112" s="82">
        <v>1.71253532699267</v>
      </c>
      <c r="C112" s="82">
        <v>3.0814178033413202</v>
      </c>
    </row>
    <row r="113" spans="1:3" x14ac:dyDescent="0.25">
      <c r="A113" s="81">
        <v>109</v>
      </c>
      <c r="B113" s="82">
        <v>0.61204499915911803</v>
      </c>
      <c r="C113" s="82">
        <v>1.10737481149108</v>
      </c>
    </row>
  </sheetData>
  <mergeCells count="5">
    <mergeCell ref="U4:AG4"/>
    <mergeCell ref="M19:N19"/>
    <mergeCell ref="O19:P19"/>
    <mergeCell ref="Q19:R19"/>
    <mergeCell ref="U30:AG30"/>
  </mergeCell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Portada</vt:lpstr>
      <vt:lpstr>Población INEGI</vt:lpstr>
      <vt:lpstr>Población (CONAPO)</vt:lpstr>
      <vt:lpstr>Piramide poblacional</vt:lpstr>
      <vt:lpstr>Interpolación de Beers (INEGI)</vt:lpstr>
      <vt:lpstr>Interpolación de Beers (CONAPO)</vt:lpstr>
      <vt:lpstr>Correción e Indice (INEGI)</vt:lpstr>
      <vt:lpstr>Correción e Indice (CONAPO)</vt:lpstr>
      <vt:lpstr>Tablas de Mortalidad</vt:lpstr>
      <vt:lpstr>'Población INEGI'!IDX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 montoya</dc:creator>
  <dc:description/>
  <cp:lastModifiedBy>Alejandro López</cp:lastModifiedBy>
  <cp:revision>4</cp:revision>
  <dcterms:created xsi:type="dcterms:W3CDTF">2017-10-29T19:57:25Z</dcterms:created>
  <dcterms:modified xsi:type="dcterms:W3CDTF">2017-11-04T00:59:09Z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