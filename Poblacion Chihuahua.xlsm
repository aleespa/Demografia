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uisa\OneDrive\Documentos\UNAM\Septimo semestre\Demografía\project\"/>
    </mc:Choice>
  </mc:AlternateContent>
  <bookViews>
    <workbookView xWindow="0" yWindow="0" windowWidth="23040" windowHeight="9084" activeTab="3"/>
  </bookViews>
  <sheets>
    <sheet name="Hoja1" sheetId="1" r:id="rId1"/>
    <sheet name="Piramide poblacional" sheetId="2" r:id="rId2"/>
    <sheet name="Interpolacion de beers" sheetId="3" r:id="rId3"/>
    <sheet name="Hoja2" sheetId="4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9" i="4" l="1"/>
  <c r="G81" i="4"/>
  <c r="G80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8" i="4"/>
  <c r="V12" i="3" l="1"/>
  <c r="R32" i="3" a="1"/>
  <c r="R34" i="3" s="1"/>
  <c r="R32" i="3"/>
  <c r="R33" i="3"/>
  <c r="R35" i="3"/>
  <c r="R36" i="3"/>
  <c r="R37" i="3" a="1"/>
  <c r="R37" i="3" s="1"/>
  <c r="U7" i="3" a="1"/>
  <c r="U10" i="3" s="1"/>
  <c r="U12" i="3"/>
  <c r="R27" i="3" a="1"/>
  <c r="R27" i="3" s="1"/>
  <c r="R22" i="3" a="1"/>
  <c r="R22" i="3" s="1"/>
  <c r="R17" i="3" a="1"/>
  <c r="R20" i="3" s="1"/>
  <c r="R12" i="3" a="1"/>
  <c r="R12" i="3" s="1"/>
  <c r="R7" i="3" a="1"/>
  <c r="R10" i="3" s="1"/>
  <c r="R7" i="3"/>
  <c r="R11" i="3"/>
  <c r="O37" i="3" a="1"/>
  <c r="O38" i="3" s="1"/>
  <c r="O37" i="3"/>
  <c r="O40" i="3"/>
  <c r="O41" i="3"/>
  <c r="O32" i="3" a="1"/>
  <c r="O33" i="3" s="1"/>
  <c r="O27" i="3" a="1"/>
  <c r="O30" i="3" s="1"/>
  <c r="O22" i="3" a="1"/>
  <c r="O23" i="3" s="1"/>
  <c r="O17" i="3" a="1"/>
  <c r="O17" i="3" s="1"/>
  <c r="O12" i="3" a="1"/>
  <c r="O14" i="3" s="1"/>
  <c r="O12" i="3"/>
  <c r="O13" i="3"/>
  <c r="O15" i="3"/>
  <c r="O16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7" i="3"/>
  <c r="O7" i="3" s="1" a="1"/>
  <c r="R40" i="3" l="1"/>
  <c r="R39" i="3"/>
  <c r="R38" i="3"/>
  <c r="R41" i="3"/>
  <c r="U9" i="3"/>
  <c r="U8" i="3"/>
  <c r="V7" i="3" s="1"/>
  <c r="U11" i="3"/>
  <c r="U7" i="3"/>
  <c r="S32" i="3"/>
  <c r="R29" i="3"/>
  <c r="R28" i="3"/>
  <c r="R30" i="3"/>
  <c r="R31" i="3"/>
  <c r="S27" i="3"/>
  <c r="R24" i="3"/>
  <c r="R23" i="3"/>
  <c r="R25" i="3"/>
  <c r="R26" i="3"/>
  <c r="R19" i="3"/>
  <c r="R18" i="3"/>
  <c r="S17" i="3" s="1"/>
  <c r="R21" i="3"/>
  <c r="R17" i="3"/>
  <c r="R15" i="3"/>
  <c r="R14" i="3"/>
  <c r="R13" i="3"/>
  <c r="R16" i="3"/>
  <c r="S12" i="3" s="1"/>
  <c r="R9" i="3"/>
  <c r="R8" i="3"/>
  <c r="S7" i="3"/>
  <c r="O39" i="3"/>
  <c r="P37" i="3" s="1"/>
  <c r="O36" i="3"/>
  <c r="O32" i="3"/>
  <c r="O35" i="3"/>
  <c r="P32" i="3" s="1"/>
  <c r="O34" i="3"/>
  <c r="O29" i="3"/>
  <c r="O28" i="3"/>
  <c r="O31" i="3"/>
  <c r="O27" i="3"/>
  <c r="P27" i="3"/>
  <c r="O26" i="3"/>
  <c r="O22" i="3"/>
  <c r="P22" i="3" s="1"/>
  <c r="O25" i="3"/>
  <c r="O24" i="3"/>
  <c r="O20" i="3"/>
  <c r="O19" i="3"/>
  <c r="O18" i="3"/>
  <c r="O21" i="3"/>
  <c r="P17" i="3" s="1"/>
  <c r="O8" i="3"/>
  <c r="O10" i="3"/>
  <c r="O7" i="3"/>
  <c r="O11" i="3"/>
  <c r="O9" i="3"/>
  <c r="S37" i="3" l="1"/>
  <c r="S22" i="3"/>
  <c r="P12" i="3"/>
  <c r="P7" i="3"/>
  <c r="H22" i="2" l="1"/>
  <c r="G22" i="2"/>
  <c r="H21" i="2"/>
  <c r="G21" i="2"/>
  <c r="H20" i="2"/>
  <c r="G20" i="2"/>
  <c r="H19" i="2"/>
  <c r="G19" i="2"/>
  <c r="H18" i="2"/>
  <c r="G18" i="2"/>
  <c r="H17" i="2"/>
  <c r="G17" i="2"/>
  <c r="H16" i="2"/>
  <c r="G16" i="2"/>
  <c r="H15" i="2"/>
  <c r="G15" i="2"/>
  <c r="H14" i="2"/>
  <c r="G14" i="2"/>
  <c r="H13" i="2"/>
  <c r="G13" i="2"/>
  <c r="H12" i="2"/>
  <c r="G12" i="2"/>
  <c r="H11" i="2"/>
  <c r="G11" i="2"/>
  <c r="H10" i="2"/>
  <c r="G10" i="2"/>
  <c r="H9" i="2"/>
  <c r="G9" i="2"/>
  <c r="H8" i="2"/>
  <c r="G8" i="2"/>
  <c r="H7" i="2"/>
  <c r="G7" i="2"/>
  <c r="K7" i="2" l="1"/>
  <c r="K11" i="2"/>
  <c r="K19" i="2"/>
  <c r="K10" i="2"/>
  <c r="L12" i="2"/>
  <c r="K14" i="2"/>
  <c r="L16" i="2"/>
  <c r="K18" i="2"/>
  <c r="L20" i="2"/>
  <c r="K22" i="2"/>
  <c r="K15" i="2"/>
  <c r="L17" i="2"/>
  <c r="L7" i="2"/>
  <c r="K9" i="2"/>
  <c r="L11" i="2"/>
  <c r="K13" i="2"/>
  <c r="L15" i="2"/>
  <c r="K17" i="2"/>
  <c r="L19" i="2"/>
  <c r="K21" i="2"/>
  <c r="L9" i="2"/>
  <c r="L13" i="2"/>
  <c r="L21" i="2"/>
  <c r="L8" i="2"/>
  <c r="K8" i="2"/>
  <c r="L10" i="2"/>
  <c r="K12" i="2"/>
  <c r="L14" i="2"/>
  <c r="K16" i="2"/>
  <c r="L18" i="2"/>
  <c r="K20" i="2"/>
  <c r="L22" i="2"/>
</calcChain>
</file>

<file path=xl/sharedStrings.xml><?xml version="1.0" encoding="utf-8"?>
<sst xmlns="http://schemas.openxmlformats.org/spreadsheetml/2006/main" count="157" uniqueCount="86">
  <si>
    <t>Población total</t>
  </si>
  <si>
    <t>Hombres</t>
  </si>
  <si>
    <t>Mujeres</t>
  </si>
  <si>
    <t>Grupos quinquenales de edad</t>
  </si>
  <si>
    <t>00-04 años</t>
  </si>
  <si>
    <t>05-09 años</t>
  </si>
  <si>
    <t>10-14 años</t>
  </si>
  <si>
    <t>15-19 años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</si>
  <si>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</si>
  <si>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</si>
  <si>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</si>
  <si>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</si>
  <si>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</si>
  <si>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</si>
  <si>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</si>
  <si>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55-59 años</t>
  </si>
  <si>
    <t>60-64 años</t>
  </si>
  <si>
    <t>65-69 años</t>
  </si>
  <si>
    <t>70-74 años</t>
  </si>
  <si>
    <t>75 años y más</t>
  </si>
  <si>
    <t>No especificado</t>
  </si>
  <si>
    <t>Distribuyendo no especificados</t>
  </si>
  <si>
    <t>Porcentajes</t>
  </si>
  <si>
    <t>Edad</t>
  </si>
  <si>
    <t>De 0 a 4 años</t>
  </si>
  <si>
    <t>De 5 a 9 años</t>
  </si>
  <si>
    <t>De 10 a 14 años</t>
  </si>
  <si>
    <t>De 15 a 19 años</t>
  </si>
  <si>
    <t>De 20 a 24 años</t>
  </si>
  <si>
    <t>De 25 a 29 años</t>
  </si>
  <si>
    <t>De 30 a 34 años</t>
  </si>
  <si>
    <t>De 35 a 39 años</t>
  </si>
  <si>
    <t>De 40 a 44 años</t>
  </si>
  <si>
    <t>De 45 a 49 años</t>
  </si>
  <si>
    <t>De 50 a 54 años</t>
  </si>
  <si>
    <t>De 55 a 59 años</t>
  </si>
  <si>
    <t>De 60 a 64 años</t>
  </si>
  <si>
    <t>De 65 a 69 años</t>
  </si>
  <si>
    <t>De 70 a 74 años</t>
  </si>
  <si>
    <t>De 75 y más</t>
  </si>
  <si>
    <t>Población quinquenal de Chihuahua.</t>
  </si>
  <si>
    <t>Interpolation Coefficients based on the Beers "Ordinary" Formula</t>
  </si>
  <si>
    <t>For subdivision of groups into fifiths</t>
  </si>
  <si>
    <t>Interpolated
subgroup</t>
  </si>
  <si>
    <t>Coefficients to be applied to</t>
  </si>
  <si>
    <t>G1</t>
  </si>
  <si>
    <t>G2</t>
  </si>
  <si>
    <t>G3</t>
  </si>
  <si>
    <t>G4</t>
  </si>
  <si>
    <t>G5</t>
  </si>
  <si>
    <t>First panel</t>
  </si>
  <si>
    <t>1st fifth of G1</t>
  </si>
  <si>
    <t>2nd fifth of G1</t>
  </si>
  <si>
    <t>3th fifth of G1</t>
  </si>
  <si>
    <t>4th fifth of G1</t>
  </si>
  <si>
    <t>5th fifth of G1</t>
  </si>
  <si>
    <t>Next to first panel</t>
  </si>
  <si>
    <t>1st fifth of G2</t>
  </si>
  <si>
    <t>2nd fifth of G2</t>
  </si>
  <si>
    <t>3th fifth of G2</t>
  </si>
  <si>
    <t>4th fifth of G2</t>
  </si>
  <si>
    <t>5th fifth of G2</t>
  </si>
  <si>
    <t>Middle panel</t>
  </si>
  <si>
    <t>1st fifth of G3</t>
  </si>
  <si>
    <t>2nd fifth of G3</t>
  </si>
  <si>
    <t>3th fifth of G3</t>
  </si>
  <si>
    <t>4th fifth of G3</t>
  </si>
  <si>
    <t>5th fifth of G3</t>
  </si>
  <si>
    <t>Next to last panel</t>
  </si>
  <si>
    <t>1st fifth of G4</t>
  </si>
  <si>
    <t>2nd fifth of G4</t>
  </si>
  <si>
    <t>3th fifth of G4</t>
  </si>
  <si>
    <t>4th fifth of G4</t>
  </si>
  <si>
    <t>5th fifth of G4</t>
  </si>
  <si>
    <t>Last panel</t>
  </si>
  <si>
    <t>1st fifth of G5</t>
  </si>
  <si>
    <t>2nd fifth of G5</t>
  </si>
  <si>
    <t>3th fifth of G5</t>
  </si>
  <si>
    <t>4th fifth of G5</t>
  </si>
  <si>
    <t>5th fifth of G5</t>
  </si>
  <si>
    <t xml:space="preserve">Source: Beers, Henry S. (1945) "Six-Term Formulas for Routine Actuarial 
Interpolation" in Discussion of Papers Presented in the Record, No.68, The 
Record of the American Institute of Actuaries, 34, Part I (69):59-60. </t>
  </si>
  <si>
    <t>Pob</t>
  </si>
  <si>
    <t>Población</t>
  </si>
  <si>
    <t>75 y mas</t>
  </si>
  <si>
    <t>Población interpolada por el metodo de Beers.</t>
  </si>
  <si>
    <t>Población corregida por el metodo de 1/16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</si>
</sst>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##,##0.00"/>
    <numFmt numFmtId="165" formatCode="##,##0"/>
    <numFmt numFmtId="166" formatCode="_-* #,##0_-;\-* #,##0_-;_-* &quot;-&quot;??_-;_-@_-"/>
    <numFmt numFmtId="167" formatCode="_-* #,##0.0000_-;\-* #,##0.0000_-;_-* &quot;-&quot;??_-;_-@_-"/>
  </numFmts>
  <fonts count="16" x14ac:knownFonts="1">
    <font>
      <sz val="11"/>
      <color theme="1"/>
      <name val="Calibri"/>
      <family val="2"/>
      <scheme val="minor"/>
    </font>
    <font>
      <b/>
      <sz val="7"/>
      <color rgb="FFFFFFFF"/>
      <name val="Arial Narrow"/>
      <family val="2"/>
    </font>
    <font>
      <b/>
      <sz val="7"/>
      <color rgb="FF000000"/>
      <name val="Arial Narrow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Book Antiqua"/>
      <family val="1"/>
    </font>
    <font>
      <b/>
      <sz val="9"/>
      <color theme="1"/>
      <name val="Calibri"/>
      <family val="2"/>
      <scheme val="minor"/>
    </font>
    <font>
      <b/>
      <sz val="9"/>
      <name val="Arial"/>
      <family val="2"/>
    </font>
    <font>
      <b/>
      <sz val="9"/>
      <color rgb="FF000000"/>
      <name val="Arial Narrow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306A5C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AE2FC"/>
        <bgColor indexed="64"/>
      </patternFill>
    </fill>
    <fill>
      <patternFill patternType="solid">
        <fgColor rgb="FFFFCB9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2DFF2D"/>
        <bgColor indexed="64"/>
      </patternFill>
    </fill>
    <fill>
      <patternFill patternType="solid">
        <fgColor rgb="FF34F0EC"/>
        <bgColor indexed="64"/>
      </patternFill>
    </fill>
    <fill>
      <patternFill patternType="solid">
        <fgColor rgb="FFE3FDFC"/>
        <bgColor indexed="64"/>
      </patternFill>
    </fill>
    <fill>
      <patternFill patternType="solid">
        <fgColor rgb="FFCBFDB5"/>
        <bgColor indexed="64"/>
      </patternFill>
    </fill>
    <fill>
      <patternFill patternType="solid">
        <fgColor rgb="FFC5ECFF"/>
        <bgColor indexed="64"/>
      </patternFill>
    </fill>
  </fills>
  <borders count="45">
    <border>
      <left/>
      <right/>
      <top/>
      <bottom/>
      <diagonal/>
    </border>
    <border>
      <left style="thin">
        <color rgb="FFE0E0E0"/>
      </left>
      <right style="thin">
        <color rgb="FFE0E0E0"/>
      </right>
      <top style="thin">
        <color rgb="FF808080"/>
      </top>
      <bottom style="thin">
        <color rgb="FFE0E0E0"/>
      </bottom>
      <diagonal/>
    </border>
    <border>
      <left style="thin">
        <color rgb="FFE0E0E0"/>
      </left>
      <right style="thin">
        <color indexed="9"/>
      </right>
      <top style="thin">
        <color rgb="FF808080"/>
      </top>
      <bottom style="thin">
        <color rgb="FFE0E0E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</cellStyleXfs>
  <cellXfs count="110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164" fontId="2" fillId="3" borderId="0" xfId="0" applyNumberFormat="1" applyFont="1" applyFill="1" applyAlignment="1">
      <alignment horizontal="left" vertical="top" wrapText="1"/>
    </xf>
    <xf numFmtId="165" fontId="2" fillId="3" borderId="0" xfId="0" applyNumberFormat="1" applyFont="1" applyFill="1" applyAlignment="1">
      <alignment horizontal="right" vertical="top" wrapText="1"/>
    </xf>
    <xf numFmtId="164" fontId="2" fillId="4" borderId="0" xfId="0" applyNumberFormat="1" applyFont="1" applyFill="1" applyAlignment="1">
      <alignment horizontal="left" vertical="top" wrapText="1"/>
    </xf>
    <xf numFmtId="165" fontId="2" fillId="4" borderId="0" xfId="0" applyNumberFormat="1" applyFont="1" applyFill="1" applyAlignment="1">
      <alignment horizontal="right" vertical="top" wrapText="1"/>
    </xf>
    <xf numFmtId="0" fontId="4" fillId="0" borderId="0" xfId="0" applyFont="1"/>
    <xf numFmtId="0" fontId="4" fillId="6" borderId="11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7" fillId="7" borderId="14" xfId="0" applyFont="1" applyFill="1" applyBorder="1" applyAlignment="1">
      <alignment vertical="center" wrapText="1"/>
    </xf>
    <xf numFmtId="166" fontId="8" fillId="8" borderId="16" xfId="1" applyNumberFormat="1" applyFont="1" applyFill="1" applyBorder="1" applyAlignment="1">
      <alignment horizontal="right" vertical="center"/>
    </xf>
    <xf numFmtId="0" fontId="7" fillId="0" borderId="0" xfId="0" applyFont="1"/>
    <xf numFmtId="0" fontId="7" fillId="7" borderId="14" xfId="0" applyFont="1" applyFill="1" applyBorder="1" applyAlignment="1">
      <alignment vertical="center"/>
    </xf>
    <xf numFmtId="10" fontId="8" fillId="8" borderId="16" xfId="2" applyNumberFormat="1" applyFont="1" applyFill="1" applyBorder="1" applyAlignment="1">
      <alignment horizontal="right" vertical="center"/>
    </xf>
    <xf numFmtId="0" fontId="7" fillId="7" borderId="17" xfId="0" applyFont="1" applyFill="1" applyBorder="1" applyAlignment="1">
      <alignment vertical="center" wrapText="1"/>
    </xf>
    <xf numFmtId="0" fontId="7" fillId="7" borderId="17" xfId="0" applyFont="1" applyFill="1" applyBorder="1" applyAlignment="1">
      <alignment vertical="center"/>
    </xf>
    <xf numFmtId="0" fontId="7" fillId="7" borderId="20" xfId="0" applyFont="1" applyFill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66" fontId="8" fillId="9" borderId="15" xfId="1" applyNumberFormat="1" applyFont="1" applyFill="1" applyBorder="1" applyAlignment="1">
      <alignment horizontal="right" vertical="center"/>
    </xf>
    <xf numFmtId="10" fontId="8" fillId="9" borderId="15" xfId="2" applyNumberFormat="1" applyFont="1" applyFill="1" applyBorder="1" applyAlignment="1">
      <alignment horizontal="right" vertical="center"/>
    </xf>
    <xf numFmtId="0" fontId="4" fillId="6" borderId="23" xfId="0" applyFont="1" applyFill="1" applyBorder="1" applyAlignment="1">
      <alignment horizontal="center" vertical="center"/>
    </xf>
    <xf numFmtId="0" fontId="4" fillId="6" borderId="24" xfId="0" applyFont="1" applyFill="1" applyBorder="1" applyAlignment="1">
      <alignment horizontal="center" vertical="center"/>
    </xf>
    <xf numFmtId="0" fontId="4" fillId="6" borderId="25" xfId="0" applyFont="1" applyFill="1" applyBorder="1" applyAlignment="1">
      <alignment horizontal="center" vertical="center"/>
    </xf>
    <xf numFmtId="166" fontId="9" fillId="9" borderId="18" xfId="1" applyNumberFormat="1" applyFont="1" applyFill="1" applyBorder="1" applyAlignment="1">
      <alignment horizontal="center" vertical="center" wrapText="1"/>
    </xf>
    <xf numFmtId="0" fontId="7" fillId="7" borderId="27" xfId="0" applyFont="1" applyFill="1" applyBorder="1" applyAlignment="1">
      <alignment vertical="center" wrapText="1"/>
    </xf>
    <xf numFmtId="166" fontId="9" fillId="9" borderId="28" xfId="1" applyNumberFormat="1" applyFont="1" applyFill="1" applyBorder="1" applyAlignment="1">
      <alignment horizontal="center" vertical="center" wrapText="1"/>
    </xf>
    <xf numFmtId="166" fontId="9" fillId="9" borderId="21" xfId="1" applyNumberFormat="1" applyFont="1" applyFill="1" applyBorder="1" applyAlignment="1">
      <alignment horizontal="center" vertical="center" wrapText="1"/>
    </xf>
    <xf numFmtId="0" fontId="10" fillId="0" borderId="0" xfId="3" applyFont="1"/>
    <xf numFmtId="0" fontId="11" fillId="0" borderId="0" xfId="3" applyFont="1"/>
    <xf numFmtId="0" fontId="12" fillId="0" borderId="0" xfId="3" applyFont="1"/>
    <xf numFmtId="0" fontId="11" fillId="11" borderId="18" xfId="3" applyFont="1" applyFill="1" applyBorder="1" applyAlignment="1">
      <alignment horizontal="center"/>
    </xf>
    <xf numFmtId="0" fontId="11" fillId="11" borderId="35" xfId="3" applyFont="1" applyFill="1" applyBorder="1" applyAlignment="1">
      <alignment horizontal="center"/>
    </xf>
    <xf numFmtId="0" fontId="11" fillId="11" borderId="37" xfId="3" applyFont="1" applyFill="1" applyBorder="1"/>
    <xf numFmtId="167" fontId="11" fillId="11" borderId="30" xfId="4" applyNumberFormat="1" applyFont="1" applyFill="1" applyBorder="1" applyProtection="1">
      <protection locked="0"/>
    </xf>
    <xf numFmtId="167" fontId="11" fillId="11" borderId="38" xfId="4" applyNumberFormat="1" applyFont="1" applyFill="1" applyBorder="1" applyProtection="1">
      <protection locked="0"/>
    </xf>
    <xf numFmtId="167" fontId="11" fillId="11" borderId="39" xfId="4" applyNumberFormat="1" applyFont="1" applyFill="1" applyBorder="1" applyProtection="1">
      <protection locked="0"/>
    </xf>
    <xf numFmtId="0" fontId="11" fillId="11" borderId="40" xfId="3" applyFont="1" applyFill="1" applyBorder="1"/>
    <xf numFmtId="167" fontId="11" fillId="11" borderId="34" xfId="4" applyNumberFormat="1" applyFont="1" applyFill="1" applyBorder="1" applyProtection="1">
      <protection locked="0"/>
    </xf>
    <xf numFmtId="167" fontId="11" fillId="11" borderId="0" xfId="4" applyNumberFormat="1" applyFont="1" applyFill="1" applyBorder="1" applyProtection="1">
      <protection locked="0"/>
    </xf>
    <xf numFmtId="167" fontId="11" fillId="11" borderId="35" xfId="4" applyNumberFormat="1" applyFont="1" applyFill="1" applyBorder="1" applyProtection="1">
      <protection locked="0"/>
    </xf>
    <xf numFmtId="167" fontId="11" fillId="11" borderId="36" xfId="4" applyNumberFormat="1" applyFont="1" applyFill="1" applyBorder="1" applyProtection="1">
      <protection locked="0"/>
    </xf>
    <xf numFmtId="167" fontId="11" fillId="11" borderId="41" xfId="4" applyNumberFormat="1" applyFont="1" applyFill="1" applyBorder="1" applyProtection="1">
      <protection locked="0"/>
    </xf>
    <xf numFmtId="167" fontId="11" fillId="11" borderId="42" xfId="4" applyNumberFormat="1" applyFont="1" applyFill="1" applyBorder="1" applyProtection="1">
      <protection locked="0"/>
    </xf>
    <xf numFmtId="167" fontId="11" fillId="11" borderId="30" xfId="3" applyNumberFormat="1" applyFont="1" applyFill="1" applyBorder="1" applyProtection="1">
      <protection locked="0"/>
    </xf>
    <xf numFmtId="167" fontId="11" fillId="11" borderId="38" xfId="3" applyNumberFormat="1" applyFont="1" applyFill="1" applyBorder="1" applyProtection="1">
      <protection locked="0"/>
    </xf>
    <xf numFmtId="167" fontId="11" fillId="11" borderId="39" xfId="3" applyNumberFormat="1" applyFont="1" applyFill="1" applyBorder="1" applyProtection="1">
      <protection locked="0"/>
    </xf>
    <xf numFmtId="167" fontId="11" fillId="11" borderId="34" xfId="3" applyNumberFormat="1" applyFont="1" applyFill="1" applyBorder="1" applyProtection="1">
      <protection locked="0"/>
    </xf>
    <xf numFmtId="167" fontId="11" fillId="11" borderId="0" xfId="3" applyNumberFormat="1" applyFont="1" applyFill="1" applyBorder="1" applyProtection="1">
      <protection locked="0"/>
    </xf>
    <xf numFmtId="167" fontId="11" fillId="11" borderId="35" xfId="3" applyNumberFormat="1" applyFont="1" applyFill="1" applyBorder="1" applyProtection="1">
      <protection locked="0"/>
    </xf>
    <xf numFmtId="167" fontId="11" fillId="11" borderId="36" xfId="3" applyNumberFormat="1" applyFont="1" applyFill="1" applyBorder="1" applyProtection="1">
      <protection locked="0"/>
    </xf>
    <xf numFmtId="167" fontId="11" fillId="11" borderId="41" xfId="3" applyNumberFormat="1" applyFont="1" applyFill="1" applyBorder="1" applyProtection="1">
      <protection locked="0"/>
    </xf>
    <xf numFmtId="167" fontId="11" fillId="11" borderId="42" xfId="3" applyNumberFormat="1" applyFont="1" applyFill="1" applyBorder="1" applyProtection="1">
      <protection locked="0"/>
    </xf>
    <xf numFmtId="0" fontId="11" fillId="11" borderId="15" xfId="3" applyFont="1" applyFill="1" applyBorder="1"/>
    <xf numFmtId="166" fontId="9" fillId="10" borderId="29" xfId="1" applyNumberFormat="1" applyFont="1" applyFill="1" applyBorder="1" applyAlignment="1">
      <alignment horizontal="center" vertical="center" wrapText="1"/>
    </xf>
    <xf numFmtId="166" fontId="9" fillId="10" borderId="19" xfId="1" applyNumberFormat="1" applyFont="1" applyFill="1" applyBorder="1" applyAlignment="1">
      <alignment horizontal="center" vertical="center" wrapText="1"/>
    </xf>
    <xf numFmtId="166" fontId="9" fillId="10" borderId="22" xfId="1" applyNumberFormat="1" applyFont="1" applyFill="1" applyBorder="1" applyAlignment="1">
      <alignment horizontal="center" vertical="center" wrapText="1"/>
    </xf>
    <xf numFmtId="0" fontId="13" fillId="12" borderId="11" xfId="3" applyFont="1" applyFill="1" applyBorder="1" applyAlignment="1">
      <alignment horizontal="center" vertical="center"/>
    </xf>
    <xf numFmtId="166" fontId="13" fillId="13" borderId="13" xfId="4" applyNumberFormat="1" applyFont="1" applyFill="1" applyBorder="1" applyAlignment="1">
      <alignment horizontal="center" vertical="center"/>
    </xf>
    <xf numFmtId="166" fontId="14" fillId="14" borderId="16" xfId="4" applyNumberFormat="1" applyFont="1" applyFill="1" applyBorder="1" applyAlignment="1">
      <alignment horizontal="center" vertical="center"/>
    </xf>
    <xf numFmtId="166" fontId="14" fillId="14" borderId="19" xfId="4" applyNumberFormat="1" applyFont="1" applyFill="1" applyBorder="1" applyAlignment="1">
      <alignment horizontal="center" vertical="center"/>
    </xf>
    <xf numFmtId="166" fontId="14" fillId="0" borderId="0" xfId="4" applyNumberFormat="1" applyFont="1" applyAlignment="1">
      <alignment horizontal="left" vertical="center"/>
    </xf>
    <xf numFmtId="166" fontId="8" fillId="9" borderId="18" xfId="1" applyNumberFormat="1" applyFont="1" applyFill="1" applyBorder="1" applyAlignment="1">
      <alignment horizontal="right" vertical="center"/>
    </xf>
    <xf numFmtId="166" fontId="8" fillId="8" borderId="18" xfId="1" applyNumberFormat="1" applyFont="1" applyFill="1" applyBorder="1" applyAlignment="1">
      <alignment horizontal="right" vertical="center"/>
    </xf>
    <xf numFmtId="0" fontId="7" fillId="7" borderId="27" xfId="0" applyFont="1" applyFill="1" applyBorder="1" applyAlignment="1">
      <alignment vertical="center"/>
    </xf>
    <xf numFmtId="166" fontId="8" fillId="9" borderId="28" xfId="1" applyNumberFormat="1" applyFont="1" applyFill="1" applyBorder="1" applyAlignment="1">
      <alignment horizontal="right" vertical="center"/>
    </xf>
    <xf numFmtId="166" fontId="8" fillId="8" borderId="28" xfId="1" applyNumberFormat="1" applyFont="1" applyFill="1" applyBorder="1" applyAlignment="1">
      <alignment horizontal="right" vertical="center"/>
    </xf>
    <xf numFmtId="0" fontId="7" fillId="7" borderId="20" xfId="0" applyFont="1" applyFill="1" applyBorder="1" applyAlignment="1">
      <alignment vertical="center"/>
    </xf>
    <xf numFmtId="166" fontId="8" fillId="9" borderId="21" xfId="1" applyNumberFormat="1" applyFont="1" applyFill="1" applyBorder="1" applyAlignment="1">
      <alignment horizontal="right" vertical="center"/>
    </xf>
    <xf numFmtId="166" fontId="8" fillId="8" borderId="21" xfId="1" applyNumberFormat="1" applyFont="1" applyFill="1" applyBorder="1" applyAlignment="1">
      <alignment horizontal="right" vertical="center"/>
    </xf>
    <xf numFmtId="0" fontId="4" fillId="6" borderId="26" xfId="0" applyFont="1" applyFill="1" applyBorder="1" applyAlignment="1">
      <alignment horizontal="center" vertical="center"/>
    </xf>
    <xf numFmtId="166" fontId="0" fillId="15" borderId="29" xfId="0" applyNumberFormat="1" applyFill="1" applyBorder="1"/>
    <xf numFmtId="166" fontId="0" fillId="15" borderId="19" xfId="0" applyNumberFormat="1" applyFill="1" applyBorder="1"/>
    <xf numFmtId="166" fontId="0" fillId="15" borderId="22" xfId="0" applyNumberFormat="1" applyFill="1" applyBorder="1"/>
    <xf numFmtId="0" fontId="13" fillId="7" borderId="14" xfId="3" applyFont="1" applyFill="1" applyBorder="1" applyAlignment="1">
      <alignment horizontal="center" vertical="center"/>
    </xf>
    <xf numFmtId="0" fontId="13" fillId="7" borderId="17" xfId="3" applyFont="1" applyFill="1" applyBorder="1" applyAlignment="1">
      <alignment horizontal="center" vertical="center"/>
    </xf>
    <xf numFmtId="0" fontId="13" fillId="7" borderId="20" xfId="3" applyFont="1" applyFill="1" applyBorder="1" applyAlignment="1">
      <alignment horizontal="center" vertical="center"/>
    </xf>
    <xf numFmtId="166" fontId="14" fillId="0" borderId="0" xfId="4" applyNumberFormat="1" applyFont="1" applyFill="1" applyBorder="1" applyAlignment="1">
      <alignment horizontal="left" vertical="center"/>
    </xf>
    <xf numFmtId="0" fontId="13" fillId="0" borderId="0" xfId="3" applyFont="1" applyFill="1" applyBorder="1" applyAlignment="1">
      <alignment horizontal="center" vertical="center"/>
    </xf>
    <xf numFmtId="166" fontId="14" fillId="0" borderId="0" xfId="4" applyNumberFormat="1" applyFont="1" applyFill="1" applyBorder="1" applyAlignment="1">
      <alignment horizontal="center" vertical="center"/>
    </xf>
    <xf numFmtId="166" fontId="14" fillId="14" borderId="43" xfId="4" applyNumberFormat="1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8" xfId="0" applyFont="1" applyFill="1" applyBorder="1" applyAlignment="1">
      <alignment horizontal="center" vertical="center" wrapText="1"/>
    </xf>
    <xf numFmtId="0" fontId="6" fillId="5" borderId="9" xfId="0" applyFont="1" applyFill="1" applyBorder="1" applyAlignment="1">
      <alignment horizontal="center" vertical="center" wrapText="1"/>
    </xf>
    <xf numFmtId="0" fontId="6" fillId="5" borderId="10" xfId="0" applyFont="1" applyFill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11" fillId="11" borderId="31" xfId="3" applyFont="1" applyFill="1" applyBorder="1" applyAlignment="1">
      <alignment horizontal="center"/>
    </xf>
    <xf numFmtId="0" fontId="11" fillId="11" borderId="32" xfId="3" applyFont="1" applyFill="1" applyBorder="1" applyAlignment="1">
      <alignment horizontal="center"/>
    </xf>
    <xf numFmtId="0" fontId="11" fillId="11" borderId="33" xfId="3" applyFont="1" applyFill="1" applyBorder="1" applyAlignment="1">
      <alignment horizontal="center"/>
    </xf>
    <xf numFmtId="0" fontId="12" fillId="0" borderId="38" xfId="3" applyFont="1" applyBorder="1" applyAlignment="1">
      <alignment vertical="top" wrapText="1"/>
    </xf>
    <xf numFmtId="0" fontId="12" fillId="0" borderId="38" xfId="3" applyFont="1" applyBorder="1" applyAlignment="1">
      <alignment vertical="top"/>
    </xf>
    <xf numFmtId="0" fontId="12" fillId="0" borderId="0" xfId="3" applyFont="1" applyAlignment="1">
      <alignment vertical="top"/>
    </xf>
    <xf numFmtId="0" fontId="11" fillId="11" borderId="30" xfId="3" applyFont="1" applyFill="1" applyBorder="1" applyAlignment="1">
      <alignment horizontal="center" vertical="center" wrapText="1"/>
    </xf>
    <xf numFmtId="0" fontId="11" fillId="11" borderId="34" xfId="3" applyFont="1" applyFill="1" applyBorder="1" applyAlignment="1">
      <alignment horizontal="center" vertical="center"/>
    </xf>
    <xf numFmtId="0" fontId="11" fillId="11" borderId="36" xfId="3" applyFont="1" applyFill="1" applyBorder="1" applyAlignment="1">
      <alignment horizontal="center" vertical="center"/>
    </xf>
    <xf numFmtId="0" fontId="13" fillId="7" borderId="44" xfId="3" applyFont="1" applyFill="1" applyBorder="1" applyAlignment="1">
      <alignment horizontal="center" vertical="center"/>
    </xf>
    <xf numFmtId="166" fontId="14" fillId="14" borderId="22" xfId="4" applyNumberFormat="1" applyFont="1" applyFill="1" applyBorder="1" applyAlignment="1">
      <alignment horizontal="center" vertical="center"/>
    </xf>
    <xf numFmtId="0" fontId="13" fillId="12" borderId="27" xfId="3" applyFont="1" applyFill="1" applyBorder="1" applyAlignment="1">
      <alignment horizontal="center" vertical="center"/>
    </xf>
    <xf numFmtId="166" fontId="13" fillId="13" borderId="29" xfId="4" applyNumberFormat="1" applyFont="1" applyFill="1" applyBorder="1" applyAlignment="1">
      <alignment horizontal="center" vertical="center"/>
    </xf>
    <xf numFmtId="166" fontId="13" fillId="16" borderId="19" xfId="4" applyNumberFormat="1" applyFont="1" applyFill="1" applyBorder="1" applyAlignment="1">
      <alignment horizontal="center" vertical="center"/>
    </xf>
    <xf numFmtId="166" fontId="4" fillId="16" borderId="19" xfId="1" applyNumberFormat="1" applyFont="1" applyFill="1" applyBorder="1"/>
    <xf numFmtId="166" fontId="4" fillId="16" borderId="22" xfId="1" applyNumberFormat="1" applyFont="1" applyFill="1" applyBorder="1"/>
    <xf numFmtId="0" fontId="15" fillId="0" borderId="0" xfId="0" applyFont="1" applyAlignment="1">
      <alignment horizontal="center" vertical="center" wrapText="1"/>
    </xf>
  </cellXfs>
  <cellStyles count="5">
    <cellStyle name="Millares" xfId="1" builtinId="3"/>
    <cellStyle name="Millares 2" xfId="4"/>
    <cellStyle name="Normal" xfId="0" builtinId="0"/>
    <cellStyle name="Normal 2" xfId="3"/>
    <cellStyle name="Porcentaje" xfId="2" builtinId="5"/>
  </cellStyles>
  <dxfs count="0"/>
  <tableStyles count="0" defaultTableStyle="TableStyleMedium2" defaultPivotStyle="PivotStyleLight16"/>
  <colors>
    <mruColors>
      <color rgb="FFC5ECFF"/>
      <color rgb="FFCBFDB5"/>
      <color rgb="FFFFCB97"/>
      <color rgb="FF9AE2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Población</a:t>
            </a:r>
            <a:r>
              <a:rPr lang="es-MX" baseline="0"/>
              <a:t> Chihuahua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'Piramide poblacional'!$K$6</c:f>
              <c:strCache>
                <c:ptCount val="1"/>
                <c:pt idx="0">
                  <c:v>Hombres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'Piramide poblacional'!$J$7:$J$22</c:f>
              <c:strCache>
                <c:ptCount val="16"/>
                <c:pt idx="0">
                  <c:v>De 0 a 4 años</c:v>
                </c:pt>
                <c:pt idx="1">
                  <c:v>De 5 a 9 años</c:v>
                </c:pt>
                <c:pt idx="2">
                  <c:v>De 10 a 14 años</c:v>
                </c:pt>
                <c:pt idx="3">
                  <c:v>De 15 a 19 años</c:v>
                </c:pt>
                <c:pt idx="4">
                  <c:v>De 20 a 24 años</c:v>
                </c:pt>
                <c:pt idx="5">
                  <c:v>De 25 a 29 años</c:v>
                </c:pt>
                <c:pt idx="6">
                  <c:v>De 30 a 34 años</c:v>
                </c:pt>
                <c:pt idx="7">
                  <c:v>De 35 a 39 años</c:v>
                </c:pt>
                <c:pt idx="8">
                  <c:v>De 40 a 44 años</c:v>
                </c:pt>
                <c:pt idx="9">
                  <c:v>De 45 a 49 años</c:v>
                </c:pt>
                <c:pt idx="10">
                  <c:v>De 50 a 54 años</c:v>
                </c:pt>
                <c:pt idx="11">
                  <c:v>De 55 a 59 años</c:v>
                </c:pt>
                <c:pt idx="12">
                  <c:v>De 60 a 64 años</c:v>
                </c:pt>
                <c:pt idx="13">
                  <c:v>De 65 a 69 años</c:v>
                </c:pt>
                <c:pt idx="14">
                  <c:v>De 70 a 74 años</c:v>
                </c:pt>
                <c:pt idx="15">
                  <c:v>De 75 y más</c:v>
                </c:pt>
              </c:strCache>
            </c:strRef>
          </c:cat>
          <c:val>
            <c:numRef>
              <c:f>'Piramide poblacional'!$K$7:$K$22</c:f>
              <c:numCache>
                <c:formatCode>0.00%</c:formatCode>
                <c:ptCount val="16"/>
                <c:pt idx="0">
                  <c:v>-4.4520664387767063E-2</c:v>
                </c:pt>
                <c:pt idx="1">
                  <c:v>-4.8748766050806171E-2</c:v>
                </c:pt>
                <c:pt idx="2">
                  <c:v>-4.9375484865605668E-2</c:v>
                </c:pt>
                <c:pt idx="3">
                  <c:v>-4.5195765445001701E-2</c:v>
                </c:pt>
                <c:pt idx="4">
                  <c:v>-4.3424469046082312E-2</c:v>
                </c:pt>
                <c:pt idx="5">
                  <c:v>-3.7039419505178528E-2</c:v>
                </c:pt>
                <c:pt idx="6">
                  <c:v>-3.5414113709886133E-2</c:v>
                </c:pt>
                <c:pt idx="7">
                  <c:v>-3.4866719269311709E-2</c:v>
                </c:pt>
                <c:pt idx="8">
                  <c:v>-3.4608774407026643E-2</c:v>
                </c:pt>
                <c:pt idx="9">
                  <c:v>-2.994692031471427E-2</c:v>
                </c:pt>
                <c:pt idx="10">
                  <c:v>-2.4814183234980736E-2</c:v>
                </c:pt>
                <c:pt idx="11">
                  <c:v>-1.9326736808091841E-2</c:v>
                </c:pt>
                <c:pt idx="12">
                  <c:v>-1.484941033809027E-2</c:v>
                </c:pt>
                <c:pt idx="13">
                  <c:v>-1.1272218611068221E-2</c:v>
                </c:pt>
                <c:pt idx="14">
                  <c:v>-8.3912248493193953E-3</c:v>
                </c:pt>
                <c:pt idx="15">
                  <c:v>-1.0891349097945011E-2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75-48FD-9336-35213C89DC9D}"/>
            </c:ext>
          </c:extLst>
        </c:ser>
        <c:ser>
          <c:idx val="1"/>
          <c:order val="1"/>
          <c:tx>
            <c:strRef>
              <c:f>'Piramide poblacional'!$L$6</c:f>
              <c:strCache>
                <c:ptCount val="1"/>
                <c:pt idx="0">
                  <c:v>Mujeres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'Piramide poblacional'!$J$7:$J$22</c:f>
              <c:strCache>
                <c:ptCount val="16"/>
                <c:pt idx="0">
                  <c:v>De 0 a 4 años</c:v>
                </c:pt>
                <c:pt idx="1">
                  <c:v>De 5 a 9 años</c:v>
                </c:pt>
                <c:pt idx="2">
                  <c:v>De 10 a 14 años</c:v>
                </c:pt>
                <c:pt idx="3">
                  <c:v>De 15 a 19 años</c:v>
                </c:pt>
                <c:pt idx="4">
                  <c:v>De 20 a 24 años</c:v>
                </c:pt>
                <c:pt idx="5">
                  <c:v>De 25 a 29 años</c:v>
                </c:pt>
                <c:pt idx="6">
                  <c:v>De 30 a 34 años</c:v>
                </c:pt>
                <c:pt idx="7">
                  <c:v>De 35 a 39 años</c:v>
                </c:pt>
                <c:pt idx="8">
                  <c:v>De 40 a 44 años</c:v>
                </c:pt>
                <c:pt idx="9">
                  <c:v>De 45 a 49 años</c:v>
                </c:pt>
                <c:pt idx="10">
                  <c:v>De 50 a 54 años</c:v>
                </c:pt>
                <c:pt idx="11">
                  <c:v>De 55 a 59 años</c:v>
                </c:pt>
                <c:pt idx="12">
                  <c:v>De 60 a 64 años</c:v>
                </c:pt>
                <c:pt idx="13">
                  <c:v>De 65 a 69 años</c:v>
                </c:pt>
                <c:pt idx="14">
                  <c:v>De 70 a 74 años</c:v>
                </c:pt>
                <c:pt idx="15">
                  <c:v>De 75 y más</c:v>
                </c:pt>
              </c:strCache>
            </c:strRef>
          </c:cat>
          <c:val>
            <c:numRef>
              <c:f>'Piramide poblacional'!$L$7:$L$22</c:f>
              <c:numCache>
                <c:formatCode>0.00%</c:formatCode>
                <c:ptCount val="16"/>
                <c:pt idx="0">
                  <c:v>4.4177543972528203E-2</c:v>
                </c:pt>
                <c:pt idx="1">
                  <c:v>4.7082976828057156E-2</c:v>
                </c:pt>
                <c:pt idx="2">
                  <c:v>4.7508285616667846E-2</c:v>
                </c:pt>
                <c:pt idx="3">
                  <c:v>4.5008190039173279E-2</c:v>
                </c:pt>
                <c:pt idx="4">
                  <c:v>4.3983173355511024E-2</c:v>
                </c:pt>
                <c:pt idx="5">
                  <c:v>3.8674127008792712E-2</c:v>
                </c:pt>
                <c:pt idx="6">
                  <c:v>3.744320686397766E-2</c:v>
                </c:pt>
                <c:pt idx="7">
                  <c:v>3.6990894342756764E-2</c:v>
                </c:pt>
                <c:pt idx="8">
                  <c:v>3.6457289334823915E-2</c:v>
                </c:pt>
                <c:pt idx="9">
                  <c:v>3.1495916045461959E-2</c:v>
                </c:pt>
                <c:pt idx="10">
                  <c:v>2.6729194661998551E-2</c:v>
                </c:pt>
                <c:pt idx="11">
                  <c:v>2.0979087349313603E-2</c:v>
                </c:pt>
                <c:pt idx="12">
                  <c:v>1.6140356012222985E-2</c:v>
                </c:pt>
                <c:pt idx="13">
                  <c:v>1.2857152189032557E-2</c:v>
                </c:pt>
                <c:pt idx="14">
                  <c:v>9.4656521465199643E-3</c:v>
                </c:pt>
                <c:pt idx="15">
                  <c:v>1.2320734292286141E-2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75-48FD-9336-35213C89D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71439055"/>
        <c:axId val="771139999"/>
      </c:barChart>
      <c:catAx>
        <c:axId val="7714390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71139999"/>
        <c:crosses val="autoZero"/>
        <c:auto val="1"/>
        <c:lblAlgn val="ctr"/>
        <c:lblOffset val="100"/>
        <c:noMultiLvlLbl val="0"/>
      </c:catAx>
      <c:valAx>
        <c:axId val="771139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%;#,##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71439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609600</xdr:colOff>
      <xdr:row>4</xdr:row>
      <xdr:rowOff>129540</xdr:rowOff>
    </xdr:from>
    <xdr:to>
      <xdr:col>19</xdr:col>
      <xdr:colOff>685800</xdr:colOff>
      <xdr:row>23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EA96819-A9EB-48AC-B501-74A5EC17D2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9"/>
  <sheetViews>
    <sheetView zoomScale="110" zoomScaleNormal="110" workbookViewId="0">
      <selection activeCell="E3" sqref="E3:E19"/>
    </sheetView>
  </sheetViews>
  <sheetFormatPr baseColWidth="10" defaultRowHeight="14.4" x14ac:dyDescent="0.3"/>
  <sheetData>
    <row r="2" spans="2:5" ht="32.4" x14ac:dyDescent="0.3">
      <c r="B2" s="1" t="s">
        <v>3</v>
      </c>
      <c r="C2" s="1" t="s">
        <v>0</v>
      </c>
      <c r="D2" s="1" t="s">
        <v>1</v>
      </c>
      <c r="E2" s="2" t="s">
        <v>2</v>
      </c>
    </row>
    <row r="3" spans="2:5" x14ac:dyDescent="0.3">
      <c r="B3" s="3" t="s">
        <v>4</v>
      </c>
      <c r="C3" s="4">
        <v>315326</v>
      </c>
      <c r="D3" s="4">
        <v>158272</v>
      </c>
      <c r="E3" s="4">
        <v>157054</v>
      </c>
    </row>
    <row r="4" spans="2:5" x14ac:dyDescent="0.3">
      <c r="B4" s="5" t="s">
        <v>5</v>
      </c>
      <c r="C4" s="6">
        <v>340686</v>
      </c>
      <c r="D4" s="6">
        <v>173303</v>
      </c>
      <c r="E4" s="6">
        <v>167383</v>
      </c>
    </row>
    <row r="5" spans="2:5" x14ac:dyDescent="0.3">
      <c r="B5" s="3" t="s">
        <v>6</v>
      </c>
      <c r="C5" s="4">
        <v>344426</v>
      </c>
      <c r="D5" s="4">
        <v>175531</v>
      </c>
      <c r="E5" s="4">
        <v>168895</v>
      </c>
    </row>
    <row r="6" spans="2:5" x14ac:dyDescent="0.3">
      <c r="B6" s="5" t="s">
        <v>7</v>
      </c>
      <c r="C6" s="6">
        <v>320679</v>
      </c>
      <c r="D6" s="6">
        <v>160672</v>
      </c>
      <c r="E6" s="6">
        <v>160007</v>
      </c>
    </row>
    <row r="7" spans="2:5" x14ac:dyDescent="0.3">
      <c r="B7" s="3" t="s">
        <v>8</v>
      </c>
      <c r="C7" s="4">
        <v>310738</v>
      </c>
      <c r="D7" s="4">
        <v>154375</v>
      </c>
      <c r="E7" s="4">
        <v>156363</v>
      </c>
    </row>
    <row r="8" spans="2:5" x14ac:dyDescent="0.3">
      <c r="B8" s="5" t="s">
        <v>9</v>
      </c>
      <c r="C8" s="6">
        <v>269165</v>
      </c>
      <c r="D8" s="6">
        <v>131676</v>
      </c>
      <c r="E8" s="6">
        <v>137489</v>
      </c>
    </row>
    <row r="9" spans="2:5" x14ac:dyDescent="0.3">
      <c r="B9" s="3" t="s">
        <v>10</v>
      </c>
      <c r="C9" s="4">
        <v>259011</v>
      </c>
      <c r="D9" s="4">
        <v>125898</v>
      </c>
      <c r="E9" s="4">
        <v>133113</v>
      </c>
    </row>
    <row r="10" spans="2:5" x14ac:dyDescent="0.3">
      <c r="B10" s="5" t="s">
        <v>11</v>
      </c>
      <c r="C10" s="6">
        <v>255457</v>
      </c>
      <c r="D10" s="6">
        <v>123952</v>
      </c>
      <c r="E10" s="6">
        <v>131505</v>
      </c>
    </row>
    <row r="11" spans="2:5" x14ac:dyDescent="0.3">
      <c r="B11" s="3" t="s">
        <v>12</v>
      </c>
      <c r="C11" s="4">
        <v>252643</v>
      </c>
      <c r="D11" s="4">
        <v>123035</v>
      </c>
      <c r="E11" s="4">
        <v>129608</v>
      </c>
    </row>
    <row r="12" spans="2:5" x14ac:dyDescent="0.3">
      <c r="B12" s="5" t="s">
        <v>13</v>
      </c>
      <c r="C12" s="6">
        <v>218432</v>
      </c>
      <c r="D12" s="6">
        <v>106462</v>
      </c>
      <c r="E12" s="6">
        <v>111970</v>
      </c>
    </row>
    <row r="13" spans="2:5" x14ac:dyDescent="0.3">
      <c r="B13" s="3" t="s">
        <v>14</v>
      </c>
      <c r="C13" s="4">
        <v>183239</v>
      </c>
      <c r="D13" s="4">
        <v>88215</v>
      </c>
      <c r="E13" s="4">
        <v>95024</v>
      </c>
    </row>
    <row r="14" spans="2:5" x14ac:dyDescent="0.3">
      <c r="B14" s="5" t="s">
        <v>15</v>
      </c>
      <c r="C14" s="6">
        <v>143289</v>
      </c>
      <c r="D14" s="6">
        <v>68707</v>
      </c>
      <c r="E14" s="6">
        <v>74582</v>
      </c>
    </row>
    <row r="15" spans="2:5" x14ac:dyDescent="0.3">
      <c r="B15" s="3" t="s">
        <v>16</v>
      </c>
      <c r="C15" s="4">
        <v>110170</v>
      </c>
      <c r="D15" s="4">
        <v>52790</v>
      </c>
      <c r="E15" s="4">
        <v>57380</v>
      </c>
    </row>
    <row r="16" spans="2:5" x14ac:dyDescent="0.3">
      <c r="B16" s="5" t="s">
        <v>17</v>
      </c>
      <c r="C16" s="6">
        <v>85781</v>
      </c>
      <c r="D16" s="6">
        <v>40073</v>
      </c>
      <c r="E16" s="6">
        <v>45708</v>
      </c>
    </row>
    <row r="17" spans="2:5" x14ac:dyDescent="0.3">
      <c r="B17" s="3" t="s">
        <v>18</v>
      </c>
      <c r="C17" s="4">
        <v>63482</v>
      </c>
      <c r="D17" s="4">
        <v>29831</v>
      </c>
      <c r="E17" s="4">
        <v>33651</v>
      </c>
    </row>
    <row r="18" spans="2:5" x14ac:dyDescent="0.3">
      <c r="B18" s="5" t="s">
        <v>19</v>
      </c>
      <c r="C18" s="6">
        <v>82520</v>
      </c>
      <c r="D18" s="6">
        <v>38719</v>
      </c>
      <c r="E18" s="6">
        <v>43801</v>
      </c>
    </row>
    <row r="19" spans="2:5" x14ac:dyDescent="0.3">
      <c r="B19" s="3" t="s">
        <v>20</v>
      </c>
      <c r="C19" s="4">
        <v>1530</v>
      </c>
      <c r="D19" s="4">
        <v>764</v>
      </c>
      <c r="E19" s="4">
        <v>766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6"/>
  <sheetViews>
    <sheetView workbookViewId="0">
      <selection activeCell="D29" sqref="D29"/>
    </sheetView>
  </sheetViews>
  <sheetFormatPr baseColWidth="10" defaultRowHeight="14.4" x14ac:dyDescent="0.3"/>
  <sheetData>
    <row r="1" spans="2:12" x14ac:dyDescent="0.3">
      <c r="B1" s="83" t="s">
        <v>40</v>
      </c>
      <c r="C1" s="84"/>
      <c r="D1" s="85"/>
    </row>
    <row r="2" spans="2:12" x14ac:dyDescent="0.3">
      <c r="B2" s="86"/>
      <c r="C2" s="87"/>
      <c r="D2" s="88"/>
    </row>
    <row r="3" spans="2:12" ht="15" thickBot="1" x14ac:dyDescent="0.35">
      <c r="B3" s="89"/>
      <c r="C3" s="90"/>
      <c r="D3" s="91"/>
    </row>
    <row r="5" spans="2:12" ht="15" thickBot="1" x14ac:dyDescent="0.35">
      <c r="B5" s="7"/>
      <c r="C5" s="7"/>
      <c r="D5" s="7"/>
      <c r="E5" s="7"/>
      <c r="F5" s="92" t="s">
        <v>21</v>
      </c>
      <c r="G5" s="92"/>
      <c r="H5" s="92"/>
      <c r="I5" s="7"/>
      <c r="J5" s="92" t="s">
        <v>22</v>
      </c>
      <c r="K5" s="92"/>
      <c r="L5" s="92"/>
    </row>
    <row r="6" spans="2:12" ht="15" thickBot="1" x14ac:dyDescent="0.35">
      <c r="B6" s="23" t="s">
        <v>23</v>
      </c>
      <c r="C6" s="24" t="s">
        <v>1</v>
      </c>
      <c r="D6" s="25" t="s">
        <v>2</v>
      </c>
      <c r="E6" s="7"/>
      <c r="F6" s="8" t="s">
        <v>23</v>
      </c>
      <c r="G6" s="9" t="s">
        <v>1</v>
      </c>
      <c r="H6" s="10" t="s">
        <v>2</v>
      </c>
      <c r="I6" s="7"/>
      <c r="J6" s="8" t="s">
        <v>23</v>
      </c>
      <c r="K6" s="9" t="s">
        <v>1</v>
      </c>
      <c r="L6" s="10" t="s">
        <v>2</v>
      </c>
    </row>
    <row r="7" spans="2:12" x14ac:dyDescent="0.3">
      <c r="B7" s="27" t="s">
        <v>24</v>
      </c>
      <c r="C7" s="28">
        <v>158272</v>
      </c>
      <c r="D7" s="56">
        <v>157054</v>
      </c>
      <c r="E7" s="13"/>
      <c r="F7" s="14" t="s">
        <v>24</v>
      </c>
      <c r="G7" s="21">
        <f>C7/SUM($C$7:$C$22)*$C$23+C7</f>
        <v>158341.03742425825</v>
      </c>
      <c r="H7" s="12">
        <f>D7/SUM($D$7:$D$22)*$D$23+D7</f>
        <v>157120.70427655053</v>
      </c>
      <c r="I7" s="13"/>
      <c r="J7" s="11" t="s">
        <v>24</v>
      </c>
      <c r="K7" s="22">
        <f>-G7/SUM($G$7:$H$22)</f>
        <v>-4.4520664387767063E-2</v>
      </c>
      <c r="L7" s="15">
        <f>H7/SUM($G$7:$H$22)</f>
        <v>4.4177543972528203E-2</v>
      </c>
    </row>
    <row r="8" spans="2:12" x14ac:dyDescent="0.3">
      <c r="B8" s="16" t="s">
        <v>25</v>
      </c>
      <c r="C8" s="26">
        <v>173303</v>
      </c>
      <c r="D8" s="57">
        <v>167383</v>
      </c>
      <c r="E8" s="13"/>
      <c r="F8" s="17" t="s">
        <v>25</v>
      </c>
      <c r="G8" s="21">
        <f t="shared" ref="G8:G22" si="0">C8/SUM($C$7:$C$22)*$C$23+C8</f>
        <v>173378.59386837992</v>
      </c>
      <c r="H8" s="12">
        <f t="shared" ref="H8:H22" si="1">D8/SUM($D$7:$D$22)*$D$23+D8</f>
        <v>167454.09122927056</v>
      </c>
      <c r="I8" s="13"/>
      <c r="J8" s="16" t="s">
        <v>25</v>
      </c>
      <c r="K8" s="22">
        <f t="shared" ref="K8:K22" si="2">-G8/SUM($G$7:$H$22)</f>
        <v>-4.8748766050806171E-2</v>
      </c>
      <c r="L8" s="15">
        <f t="shared" ref="L8:L22" si="3">H8/SUM($G$7:$H$22)</f>
        <v>4.7082976828057156E-2</v>
      </c>
    </row>
    <row r="9" spans="2:12" x14ac:dyDescent="0.3">
      <c r="B9" s="16" t="s">
        <v>26</v>
      </c>
      <c r="C9" s="26">
        <v>175531</v>
      </c>
      <c r="D9" s="57">
        <v>168895</v>
      </c>
      <c r="E9" s="13"/>
      <c r="F9" s="17" t="s">
        <v>26</v>
      </c>
      <c r="G9" s="21">
        <f t="shared" si="0"/>
        <v>175607.5657104066</v>
      </c>
      <c r="H9" s="12">
        <f t="shared" si="1"/>
        <v>168966.73340881482</v>
      </c>
      <c r="I9" s="13"/>
      <c r="J9" s="16" t="s">
        <v>26</v>
      </c>
      <c r="K9" s="22">
        <f t="shared" si="2"/>
        <v>-4.9375484865605668E-2</v>
      </c>
      <c r="L9" s="15">
        <f t="shared" si="3"/>
        <v>4.7508285616667846E-2</v>
      </c>
    </row>
    <row r="10" spans="2:12" x14ac:dyDescent="0.3">
      <c r="B10" s="16" t="s">
        <v>27</v>
      </c>
      <c r="C10" s="26">
        <v>160672</v>
      </c>
      <c r="D10" s="57">
        <v>160007</v>
      </c>
      <c r="E10" s="13"/>
      <c r="F10" s="17" t="s">
        <v>27</v>
      </c>
      <c r="G10" s="21">
        <f t="shared" si="0"/>
        <v>160742.08429179149</v>
      </c>
      <c r="H10" s="12">
        <f t="shared" si="1"/>
        <v>160074.95848038266</v>
      </c>
      <c r="I10" s="13"/>
      <c r="J10" s="16" t="s">
        <v>27</v>
      </c>
      <c r="K10" s="22">
        <f t="shared" si="2"/>
        <v>-4.5195765445001701E-2</v>
      </c>
      <c r="L10" s="15">
        <f t="shared" si="3"/>
        <v>4.5008190039173279E-2</v>
      </c>
    </row>
    <row r="11" spans="2:12" x14ac:dyDescent="0.3">
      <c r="B11" s="16" t="s">
        <v>28</v>
      </c>
      <c r="C11" s="26">
        <v>154375</v>
      </c>
      <c r="D11" s="57">
        <v>156363</v>
      </c>
      <c r="E11" s="13"/>
      <c r="F11" s="17" t="s">
        <v>28</v>
      </c>
      <c r="G11" s="21">
        <f t="shared" si="0"/>
        <v>154442.33757310116</v>
      </c>
      <c r="H11" s="12">
        <f t="shared" si="1"/>
        <v>156429.41079370325</v>
      </c>
      <c r="I11" s="13"/>
      <c r="J11" s="16" t="s">
        <v>28</v>
      </c>
      <c r="K11" s="22">
        <f t="shared" si="2"/>
        <v>-4.3424469046082312E-2</v>
      </c>
      <c r="L11" s="15">
        <f t="shared" si="3"/>
        <v>4.3983173355511024E-2</v>
      </c>
    </row>
    <row r="12" spans="2:12" x14ac:dyDescent="0.3">
      <c r="B12" s="16" t="s">
        <v>29</v>
      </c>
      <c r="C12" s="26">
        <v>131676</v>
      </c>
      <c r="D12" s="57">
        <v>137489</v>
      </c>
      <c r="E12" s="13"/>
      <c r="F12" s="17" t="s">
        <v>29</v>
      </c>
      <c r="G12" s="21">
        <f t="shared" si="0"/>
        <v>131733.43638721082</v>
      </c>
      <c r="H12" s="12">
        <f t="shared" si="1"/>
        <v>137547.39459216993</v>
      </c>
      <c r="I12" s="13"/>
      <c r="J12" s="16" t="s">
        <v>29</v>
      </c>
      <c r="K12" s="22">
        <f t="shared" si="2"/>
        <v>-3.7039419505178528E-2</v>
      </c>
      <c r="L12" s="15">
        <f t="shared" si="3"/>
        <v>3.8674127008792712E-2</v>
      </c>
    </row>
    <row r="13" spans="2:12" x14ac:dyDescent="0.3">
      <c r="B13" s="16" t="s">
        <v>30</v>
      </c>
      <c r="C13" s="26">
        <v>125898</v>
      </c>
      <c r="D13" s="57">
        <v>133113</v>
      </c>
      <c r="E13" s="13"/>
      <c r="F13" s="17" t="s">
        <v>30</v>
      </c>
      <c r="G13" s="21">
        <f t="shared" si="0"/>
        <v>125952.91605362456</v>
      </c>
      <c r="H13" s="12">
        <f t="shared" si="1"/>
        <v>133169.53600904447</v>
      </c>
      <c r="I13" s="13"/>
      <c r="J13" s="16" t="s">
        <v>30</v>
      </c>
      <c r="K13" s="22">
        <f t="shared" si="2"/>
        <v>-3.5414113709886133E-2</v>
      </c>
      <c r="L13" s="15">
        <f t="shared" si="3"/>
        <v>3.744320686397766E-2</v>
      </c>
    </row>
    <row r="14" spans="2:12" x14ac:dyDescent="0.3">
      <c r="B14" s="16" t="s">
        <v>31</v>
      </c>
      <c r="C14" s="26">
        <v>123952</v>
      </c>
      <c r="D14" s="57">
        <v>131505</v>
      </c>
      <c r="E14" s="13"/>
      <c r="F14" s="17" t="s">
        <v>31</v>
      </c>
      <c r="G14" s="21">
        <f t="shared" si="0"/>
        <v>124006.06721853303</v>
      </c>
      <c r="H14" s="12">
        <f t="shared" si="1"/>
        <v>131560.8530561958</v>
      </c>
      <c r="I14" s="13"/>
      <c r="J14" s="16" t="s">
        <v>31</v>
      </c>
      <c r="K14" s="22">
        <f t="shared" si="2"/>
        <v>-3.4866719269311709E-2</v>
      </c>
      <c r="L14" s="15">
        <f t="shared" si="3"/>
        <v>3.6990894342756764E-2</v>
      </c>
    </row>
    <row r="15" spans="2:12" x14ac:dyDescent="0.3">
      <c r="B15" s="16" t="s">
        <v>32</v>
      </c>
      <c r="C15" s="26">
        <v>123035</v>
      </c>
      <c r="D15" s="57">
        <v>129608</v>
      </c>
      <c r="E15" s="13"/>
      <c r="F15" s="17" t="s">
        <v>32</v>
      </c>
      <c r="G15" s="21">
        <f t="shared" si="0"/>
        <v>123088.66722789637</v>
      </c>
      <c r="H15" s="12">
        <f t="shared" si="1"/>
        <v>129663.04735871204</v>
      </c>
      <c r="I15" s="13"/>
      <c r="J15" s="16" t="s">
        <v>32</v>
      </c>
      <c r="K15" s="22">
        <f t="shared" si="2"/>
        <v>-3.4608774407026643E-2</v>
      </c>
      <c r="L15" s="15">
        <f t="shared" si="3"/>
        <v>3.6457289334823915E-2</v>
      </c>
    </row>
    <row r="16" spans="2:12" x14ac:dyDescent="0.3">
      <c r="B16" s="16" t="s">
        <v>33</v>
      </c>
      <c r="C16" s="26">
        <v>106462</v>
      </c>
      <c r="D16" s="57">
        <v>111970</v>
      </c>
      <c r="E16" s="13"/>
      <c r="F16" s="17" t="s">
        <v>33</v>
      </c>
      <c r="G16" s="21">
        <f t="shared" si="0"/>
        <v>106508.43817138459</v>
      </c>
      <c r="H16" s="12">
        <f t="shared" si="1"/>
        <v>112017.55611347283</v>
      </c>
      <c r="I16" s="13"/>
      <c r="J16" s="16" t="s">
        <v>33</v>
      </c>
      <c r="K16" s="22">
        <f t="shared" si="2"/>
        <v>-2.994692031471427E-2</v>
      </c>
      <c r="L16" s="15">
        <f t="shared" si="3"/>
        <v>3.1495916045461959E-2</v>
      </c>
    </row>
    <row r="17" spans="2:12" x14ac:dyDescent="0.3">
      <c r="B17" s="16" t="s">
        <v>34</v>
      </c>
      <c r="C17" s="26">
        <v>88215</v>
      </c>
      <c r="D17" s="57">
        <v>95024</v>
      </c>
      <c r="E17" s="13"/>
      <c r="F17" s="17" t="s">
        <v>34</v>
      </c>
      <c r="G17" s="21">
        <f t="shared" si="0"/>
        <v>88253.47892476838</v>
      </c>
      <c r="H17" s="12">
        <f t="shared" si="1"/>
        <v>95064.35877580283</v>
      </c>
      <c r="I17" s="13"/>
      <c r="J17" s="16" t="s">
        <v>34</v>
      </c>
      <c r="K17" s="22">
        <f t="shared" si="2"/>
        <v>-2.4814183234980736E-2</v>
      </c>
      <c r="L17" s="15">
        <f t="shared" si="3"/>
        <v>2.6729194661998551E-2</v>
      </c>
    </row>
    <row r="18" spans="2:12" x14ac:dyDescent="0.3">
      <c r="B18" s="16" t="s">
        <v>35</v>
      </c>
      <c r="C18" s="26">
        <v>68707</v>
      </c>
      <c r="D18" s="57">
        <v>74582</v>
      </c>
      <c r="E18" s="13"/>
      <c r="F18" s="17" t="s">
        <v>35</v>
      </c>
      <c r="G18" s="21">
        <f t="shared" si="0"/>
        <v>68736.969636502428</v>
      </c>
      <c r="H18" s="12">
        <f t="shared" si="1"/>
        <v>74613.676610297684</v>
      </c>
      <c r="I18" s="13"/>
      <c r="J18" s="16" t="s">
        <v>35</v>
      </c>
      <c r="K18" s="22">
        <f t="shared" si="2"/>
        <v>-1.9326736808091841E-2</v>
      </c>
      <c r="L18" s="15">
        <f t="shared" si="3"/>
        <v>2.0979087349313603E-2</v>
      </c>
    </row>
    <row r="19" spans="2:12" x14ac:dyDescent="0.3">
      <c r="B19" s="16" t="s">
        <v>36</v>
      </c>
      <c r="C19" s="26">
        <v>52790</v>
      </c>
      <c r="D19" s="57">
        <v>57380</v>
      </c>
      <c r="E19" s="13"/>
      <c r="F19" s="17" t="s">
        <v>36</v>
      </c>
      <c r="G19" s="21">
        <f t="shared" si="0"/>
        <v>52813.026723783063</v>
      </c>
      <c r="H19" s="12">
        <f t="shared" si="1"/>
        <v>57404.370543815945</v>
      </c>
      <c r="I19" s="13"/>
      <c r="J19" s="16" t="s">
        <v>36</v>
      </c>
      <c r="K19" s="22">
        <f t="shared" si="2"/>
        <v>-1.484941033809027E-2</v>
      </c>
      <c r="L19" s="15">
        <f t="shared" si="3"/>
        <v>1.6140356012222985E-2</v>
      </c>
    </row>
    <row r="20" spans="2:12" x14ac:dyDescent="0.3">
      <c r="B20" s="16" t="s">
        <v>37</v>
      </c>
      <c r="C20" s="26">
        <v>40073</v>
      </c>
      <c r="D20" s="57">
        <v>45708</v>
      </c>
      <c r="E20" s="13"/>
      <c r="F20" s="17" t="s">
        <v>37</v>
      </c>
      <c r="G20" s="21">
        <f t="shared" si="0"/>
        <v>40090.479634441348</v>
      </c>
      <c r="H20" s="12">
        <f t="shared" si="1"/>
        <v>45727.413189556275</v>
      </c>
      <c r="I20" s="13"/>
      <c r="J20" s="16" t="s">
        <v>37</v>
      </c>
      <c r="K20" s="22">
        <f t="shared" si="2"/>
        <v>-1.1272218611068221E-2</v>
      </c>
      <c r="L20" s="15">
        <f t="shared" si="3"/>
        <v>1.2857152189032557E-2</v>
      </c>
    </row>
    <row r="21" spans="2:12" x14ac:dyDescent="0.3">
      <c r="B21" s="16" t="s">
        <v>38</v>
      </c>
      <c r="C21" s="26">
        <v>29831</v>
      </c>
      <c r="D21" s="57">
        <v>33651</v>
      </c>
      <c r="E21" s="13"/>
      <c r="F21" s="17" t="s">
        <v>38</v>
      </c>
      <c r="G21" s="21">
        <f t="shared" si="0"/>
        <v>29844.012127243277</v>
      </c>
      <c r="H21" s="12">
        <f t="shared" si="1"/>
        <v>33665.292317357096</v>
      </c>
      <c r="I21" s="13"/>
      <c r="J21" s="16" t="s">
        <v>38</v>
      </c>
      <c r="K21" s="22">
        <f t="shared" si="2"/>
        <v>-8.3912248493193953E-3</v>
      </c>
      <c r="L21" s="15">
        <f t="shared" si="3"/>
        <v>9.4656521465199643E-3</v>
      </c>
    </row>
    <row r="22" spans="2:12" x14ac:dyDescent="0.3">
      <c r="B22" s="16" t="s">
        <v>39</v>
      </c>
      <c r="C22" s="26">
        <v>38719</v>
      </c>
      <c r="D22" s="57">
        <v>43801</v>
      </c>
      <c r="E22" s="13"/>
      <c r="F22" s="17" t="s">
        <v>39</v>
      </c>
      <c r="G22" s="21">
        <f t="shared" si="0"/>
        <v>38735.889026674682</v>
      </c>
      <c r="H22" s="12">
        <f t="shared" si="1"/>
        <v>43819.603244853293</v>
      </c>
      <c r="I22" s="13"/>
      <c r="J22" s="16" t="s">
        <v>39</v>
      </c>
      <c r="K22" s="22">
        <f t="shared" si="2"/>
        <v>-1.0891349097945011E-2</v>
      </c>
      <c r="L22" s="15">
        <f t="shared" si="3"/>
        <v>1.2320734292286141E-2</v>
      </c>
    </row>
    <row r="23" spans="2:12" ht="24.6" thickBot="1" x14ac:dyDescent="0.35">
      <c r="B23" s="18" t="s">
        <v>20</v>
      </c>
      <c r="C23" s="29">
        <v>764</v>
      </c>
      <c r="D23" s="58">
        <v>766</v>
      </c>
      <c r="E23" s="7"/>
      <c r="F23" s="7"/>
      <c r="G23" s="7"/>
      <c r="H23" s="7"/>
      <c r="I23" s="7"/>
      <c r="J23" s="7"/>
      <c r="K23" s="7"/>
      <c r="L23" s="7"/>
    </row>
    <row r="24" spans="2:12" x14ac:dyDescent="0.3">
      <c r="B24" s="19"/>
      <c r="C24" s="7"/>
      <c r="D24" s="7"/>
      <c r="E24" s="7"/>
      <c r="F24" s="7"/>
      <c r="G24" s="7"/>
      <c r="H24" s="7"/>
      <c r="I24" s="7"/>
      <c r="J24" s="7"/>
      <c r="K24" s="7"/>
      <c r="L24" s="7"/>
    </row>
    <row r="25" spans="2:12" x14ac:dyDescent="0.3">
      <c r="B25" s="19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2:12" x14ac:dyDescent="0.3">
      <c r="B26" s="20"/>
    </row>
  </sheetData>
  <mergeCells count="3">
    <mergeCell ref="B1:D3"/>
    <mergeCell ref="F5:H5"/>
    <mergeCell ref="J5:L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41"/>
  <sheetViews>
    <sheetView topLeftCell="F1" zoomScaleNormal="100" workbookViewId="0">
      <selection activeCell="U7" sqref="U7:U12"/>
    </sheetView>
  </sheetViews>
  <sheetFormatPr baseColWidth="10" defaultRowHeight="14.4" x14ac:dyDescent="0.3"/>
  <sheetData>
    <row r="1" spans="1:22" x14ac:dyDescent="0.3">
      <c r="A1" s="30" t="s">
        <v>41</v>
      </c>
      <c r="B1" s="31"/>
      <c r="C1" s="31"/>
      <c r="D1" s="31"/>
      <c r="E1" s="31"/>
      <c r="F1" s="31"/>
    </row>
    <row r="2" spans="1:22" x14ac:dyDescent="0.3">
      <c r="A2" s="32" t="s">
        <v>42</v>
      </c>
      <c r="B2" s="31"/>
      <c r="C2" s="31"/>
      <c r="D2" s="31"/>
      <c r="E2" s="31"/>
      <c r="F2" s="31"/>
    </row>
    <row r="3" spans="1:22" x14ac:dyDescent="0.3">
      <c r="A3" s="32"/>
      <c r="B3" s="31"/>
      <c r="C3" s="31"/>
      <c r="D3" s="31"/>
      <c r="E3" s="31"/>
      <c r="F3" s="31"/>
    </row>
    <row r="4" spans="1:22" x14ac:dyDescent="0.3">
      <c r="A4" s="99" t="s">
        <v>43</v>
      </c>
      <c r="B4" s="93" t="s">
        <v>44</v>
      </c>
      <c r="C4" s="94"/>
      <c r="D4" s="94"/>
      <c r="E4" s="94"/>
      <c r="F4" s="95"/>
    </row>
    <row r="5" spans="1:22" ht="15" thickBot="1" x14ac:dyDescent="0.35">
      <c r="A5" s="100"/>
      <c r="B5" s="33" t="s">
        <v>45</v>
      </c>
      <c r="C5" s="33" t="s">
        <v>46</v>
      </c>
      <c r="D5" s="33" t="s">
        <v>47</v>
      </c>
      <c r="E5" s="33" t="s">
        <v>48</v>
      </c>
      <c r="F5" s="34" t="s">
        <v>49</v>
      </c>
    </row>
    <row r="6" spans="1:22" ht="15" thickBot="1" x14ac:dyDescent="0.35">
      <c r="A6" s="101"/>
      <c r="B6" s="93" t="s">
        <v>50</v>
      </c>
      <c r="C6" s="94"/>
      <c r="D6" s="94"/>
      <c r="E6" s="94"/>
      <c r="F6" s="95"/>
      <c r="H6" s="23" t="s">
        <v>23</v>
      </c>
      <c r="I6" s="24" t="s">
        <v>1</v>
      </c>
      <c r="J6" s="25" t="s">
        <v>2</v>
      </c>
      <c r="K6" s="72" t="s">
        <v>82</v>
      </c>
      <c r="N6" s="59" t="s">
        <v>23</v>
      </c>
      <c r="O6" s="60" t="s">
        <v>81</v>
      </c>
      <c r="Q6" s="59" t="s">
        <v>23</v>
      </c>
      <c r="R6" s="60" t="s">
        <v>81</v>
      </c>
      <c r="T6" s="59" t="s">
        <v>23</v>
      </c>
      <c r="U6" s="60" t="s">
        <v>81</v>
      </c>
    </row>
    <row r="7" spans="1:22" x14ac:dyDescent="0.3">
      <c r="A7" s="35" t="s">
        <v>51</v>
      </c>
      <c r="B7" s="36">
        <v>0.33329999999999999</v>
      </c>
      <c r="C7" s="37">
        <v>-0.1636</v>
      </c>
      <c r="D7" s="37">
        <v>-2.1000000000000001E-2</v>
      </c>
      <c r="E7" s="37">
        <v>7.9600000000000004E-2</v>
      </c>
      <c r="F7" s="38">
        <v>-2.8299999999999999E-2</v>
      </c>
      <c r="H7" s="66" t="s">
        <v>24</v>
      </c>
      <c r="I7" s="67">
        <v>158341.03742425825</v>
      </c>
      <c r="J7" s="68">
        <v>157120.70427655053</v>
      </c>
      <c r="K7" s="73">
        <f>I7+J7</f>
        <v>315461.74170080875</v>
      </c>
      <c r="N7" s="76">
        <v>0</v>
      </c>
      <c r="O7" s="61">
        <f t="array" ref="O7:O11">MMULT($B$7:$F$11,K7:K11)</f>
        <v>58886.477071284768</v>
      </c>
      <c r="P7" s="63">
        <f>SUM(O7:O11)</f>
        <v>315461.74170080869</v>
      </c>
      <c r="Q7" s="76">
        <v>35</v>
      </c>
      <c r="R7" s="61">
        <f t="array" ref="R7:R11">MMULT($B$19:$F$23,K12:$K$16)</f>
        <v>51218.737396821693</v>
      </c>
      <c r="S7" s="63">
        <f>SUM(R7:R11)</f>
        <v>255566.92027472879</v>
      </c>
      <c r="T7" s="76">
        <v>70</v>
      </c>
      <c r="U7" s="61">
        <f t="array" ref="U7:U11">MMULT(B31:F35,K17:K21)</f>
        <v>14438.312175190993</v>
      </c>
      <c r="V7" s="63">
        <f>SUM(U7:U11)</f>
        <v>63509.304444600377</v>
      </c>
    </row>
    <row r="8" spans="1:22" x14ac:dyDescent="0.3">
      <c r="A8" s="39" t="s">
        <v>52</v>
      </c>
      <c r="B8" s="40">
        <v>0.25950000000000001</v>
      </c>
      <c r="C8" s="41">
        <v>-7.8E-2</v>
      </c>
      <c r="D8" s="41">
        <v>1.2999999999999999E-2</v>
      </c>
      <c r="E8" s="41">
        <v>0.01</v>
      </c>
      <c r="F8" s="42">
        <v>-4.4999999999999997E-3</v>
      </c>
      <c r="H8" s="17" t="s">
        <v>25</v>
      </c>
      <c r="I8" s="64">
        <v>173378.59386837992</v>
      </c>
      <c r="J8" s="65">
        <v>167454.09122927056</v>
      </c>
      <c r="K8" s="74">
        <f t="shared" ref="K8:K22" si="0">I8+J8</f>
        <v>340832.68509765051</v>
      </c>
      <c r="N8" s="77">
        <v>1</v>
      </c>
      <c r="O8" s="62">
        <v>61566.085982364129</v>
      </c>
      <c r="P8" s="63"/>
      <c r="Q8" s="77">
        <v>36</v>
      </c>
      <c r="R8" s="62">
        <v>51033.207413729091</v>
      </c>
      <c r="S8" s="63"/>
      <c r="T8" s="77">
        <v>71</v>
      </c>
      <c r="U8" s="62">
        <v>13540.10776022911</v>
      </c>
      <c r="V8" s="63"/>
    </row>
    <row r="9" spans="1:22" x14ac:dyDescent="0.3">
      <c r="A9" s="39" t="s">
        <v>53</v>
      </c>
      <c r="B9" s="40">
        <v>0.19239999999999999</v>
      </c>
      <c r="C9" s="41">
        <v>6.4000000000000003E-3</v>
      </c>
      <c r="D9" s="41">
        <v>1.84E-2</v>
      </c>
      <c r="E9" s="41">
        <v>-2.5600000000000001E-2</v>
      </c>
      <c r="F9" s="42">
        <v>8.3999999999999995E-3</v>
      </c>
      <c r="H9" s="17" t="s">
        <v>26</v>
      </c>
      <c r="I9" s="64">
        <v>175607.5657104066</v>
      </c>
      <c r="J9" s="65">
        <v>168966.73340881482</v>
      </c>
      <c r="K9" s="74">
        <f t="shared" si="0"/>
        <v>344574.2991192214</v>
      </c>
      <c r="N9" s="77">
        <v>2</v>
      </c>
      <c r="O9" s="62">
        <v>63614.741782967743</v>
      </c>
      <c r="P9" s="63"/>
      <c r="Q9" s="76">
        <v>37</v>
      </c>
      <c r="R9" s="62">
        <v>50976.019847724718</v>
      </c>
      <c r="S9" s="63"/>
      <c r="T9" s="76">
        <v>72</v>
      </c>
      <c r="U9" s="62">
        <v>12666.518091705233</v>
      </c>
      <c r="V9" s="63"/>
    </row>
    <row r="10" spans="1:22" x14ac:dyDescent="0.3">
      <c r="A10" s="39" t="s">
        <v>54</v>
      </c>
      <c r="B10" s="40">
        <v>0.13289999999999999</v>
      </c>
      <c r="C10" s="41">
        <v>8.4400000000000003E-2</v>
      </c>
      <c r="D10" s="41">
        <v>5.4000000000000003E-3</v>
      </c>
      <c r="E10" s="41">
        <v>-3.56E-2</v>
      </c>
      <c r="F10" s="42">
        <v>1.29E-2</v>
      </c>
      <c r="H10" s="17" t="s">
        <v>27</v>
      </c>
      <c r="I10" s="64">
        <v>160742.08429179149</v>
      </c>
      <c r="J10" s="65">
        <v>160074.95848038266</v>
      </c>
      <c r="K10" s="74">
        <f t="shared" si="0"/>
        <v>320817.04277217411</v>
      </c>
      <c r="N10" s="77">
        <v>3</v>
      </c>
      <c r="O10" s="62">
        <v>65141.004140765355</v>
      </c>
      <c r="P10" s="63"/>
      <c r="Q10" s="77">
        <v>38</v>
      </c>
      <c r="R10" s="62">
        <v>51082.484808625893</v>
      </c>
      <c r="S10" s="63"/>
      <c r="T10" s="77">
        <v>73</v>
      </c>
      <c r="U10" s="62">
        <v>11828.271220396202</v>
      </c>
      <c r="V10" s="63"/>
    </row>
    <row r="11" spans="1:22" x14ac:dyDescent="0.3">
      <c r="A11" s="39" t="s">
        <v>55</v>
      </c>
      <c r="B11" s="43">
        <v>8.1900000000000001E-2</v>
      </c>
      <c r="C11" s="44">
        <v>0.15079999999999999</v>
      </c>
      <c r="D11" s="44">
        <v>-1.5800000000000002E-2</v>
      </c>
      <c r="E11" s="44">
        <v>-2.8400000000000002E-2</v>
      </c>
      <c r="F11" s="45">
        <v>1.15E-2</v>
      </c>
      <c r="H11" s="17" t="s">
        <v>28</v>
      </c>
      <c r="I11" s="64">
        <v>154442.33757310116</v>
      </c>
      <c r="J11" s="65">
        <v>156429.41079370325</v>
      </c>
      <c r="K11" s="74">
        <f t="shared" si="0"/>
        <v>310871.74836680444</v>
      </c>
      <c r="N11" s="77">
        <v>4</v>
      </c>
      <c r="O11" s="62">
        <v>66253.43272342674</v>
      </c>
      <c r="P11" s="63"/>
      <c r="Q11" s="76">
        <v>39</v>
      </c>
      <c r="R11" s="62">
        <v>51256.470807827434</v>
      </c>
      <c r="S11" s="63"/>
      <c r="T11" s="76">
        <v>74</v>
      </c>
      <c r="U11" s="62">
        <v>11036.095197078837</v>
      </c>
      <c r="V11" s="63"/>
    </row>
    <row r="12" spans="1:22" ht="15" thickBot="1" x14ac:dyDescent="0.35">
      <c r="A12" s="39"/>
      <c r="B12" s="93" t="s">
        <v>56</v>
      </c>
      <c r="C12" s="94"/>
      <c r="D12" s="94"/>
      <c r="E12" s="94"/>
      <c r="F12" s="95"/>
      <c r="H12" s="17" t="s">
        <v>29</v>
      </c>
      <c r="I12" s="64">
        <v>131733.43638721082</v>
      </c>
      <c r="J12" s="65">
        <v>137547.39459216993</v>
      </c>
      <c r="K12" s="74">
        <f t="shared" si="0"/>
        <v>269280.83097938076</v>
      </c>
      <c r="N12" s="77">
        <v>5</v>
      </c>
      <c r="O12" s="61">
        <f t="array" ref="O12:O16">MMULT($B$13:$F$17,K7:K11)</f>
        <v>67065.305235952008</v>
      </c>
      <c r="P12" s="63">
        <f>SUM(O12:O16)</f>
        <v>340832.68509765051</v>
      </c>
      <c r="Q12" s="77">
        <v>40</v>
      </c>
      <c r="R12" s="61">
        <f t="array" ref="R12:R16">MMULT($B$19:$F$23,$K$13:$K$17)</f>
        <v>51486.686815154077</v>
      </c>
      <c r="S12" s="63">
        <f>SUM(R12:R16)</f>
        <v>252751.71458660837</v>
      </c>
      <c r="T12" s="78" t="s">
        <v>83</v>
      </c>
      <c r="U12" s="82">
        <f>K22</f>
        <v>82555.492271527968</v>
      </c>
      <c r="V12" s="63">
        <f>U12</f>
        <v>82555.492271527968</v>
      </c>
    </row>
    <row r="13" spans="1:22" x14ac:dyDescent="0.3">
      <c r="A13" s="39" t="s">
        <v>57</v>
      </c>
      <c r="B13" s="46">
        <v>4.0399999999999998E-2</v>
      </c>
      <c r="C13" s="47">
        <v>0.2</v>
      </c>
      <c r="D13" s="47">
        <v>-3.44E-2</v>
      </c>
      <c r="E13" s="47">
        <v>-1.2800000000000001E-2</v>
      </c>
      <c r="F13" s="48">
        <v>6.7999999999999996E-3</v>
      </c>
      <c r="H13" s="17" t="s">
        <v>30</v>
      </c>
      <c r="I13" s="64">
        <v>125952.91605362456</v>
      </c>
      <c r="J13" s="65">
        <v>133169.53600904447</v>
      </c>
      <c r="K13" s="74">
        <f t="shared" si="0"/>
        <v>259122.45206266904</v>
      </c>
      <c r="N13" s="77">
        <v>6</v>
      </c>
      <c r="O13" s="62">
        <v>67685.181346010882</v>
      </c>
      <c r="P13" s="63"/>
      <c r="Q13" s="76">
        <v>41</v>
      </c>
      <c r="R13" s="62">
        <v>51535.070284133304</v>
      </c>
      <c r="S13" s="79"/>
      <c r="T13" s="80"/>
      <c r="U13" s="81"/>
      <c r="V13" s="79"/>
    </row>
    <row r="14" spans="1:22" x14ac:dyDescent="0.3">
      <c r="A14" s="39" t="s">
        <v>58</v>
      </c>
      <c r="B14" s="49">
        <v>9.2999999999999992E-3</v>
      </c>
      <c r="C14" s="50">
        <v>0.2268</v>
      </c>
      <c r="D14" s="50">
        <v>-4.02E-2</v>
      </c>
      <c r="E14" s="50">
        <v>2.8E-3</v>
      </c>
      <c r="F14" s="51">
        <v>1.2999999999999999E-3</v>
      </c>
      <c r="H14" s="17" t="s">
        <v>31</v>
      </c>
      <c r="I14" s="64">
        <v>124006.06721853303</v>
      </c>
      <c r="J14" s="65">
        <v>131560.8530561958</v>
      </c>
      <c r="K14" s="74">
        <f t="shared" si="0"/>
        <v>255566.92027472885</v>
      </c>
      <c r="N14" s="77">
        <v>7</v>
      </c>
      <c r="O14" s="62">
        <v>68207.466609282084</v>
      </c>
      <c r="P14" s="63"/>
      <c r="Q14" s="77">
        <v>42</v>
      </c>
      <c r="R14" s="62">
        <v>51114.52162945344</v>
      </c>
      <c r="S14" s="79"/>
      <c r="T14" s="80"/>
      <c r="U14" s="81"/>
      <c r="V14" s="79"/>
    </row>
    <row r="15" spans="1:22" x14ac:dyDescent="0.3">
      <c r="A15" s="39" t="s">
        <v>59</v>
      </c>
      <c r="B15" s="49">
        <v>-1.0800000000000001E-2</v>
      </c>
      <c r="C15" s="50">
        <v>0.22720000000000001</v>
      </c>
      <c r="D15" s="50">
        <v>-2.4799999999999999E-2</v>
      </c>
      <c r="E15" s="50">
        <v>1.12E-2</v>
      </c>
      <c r="F15" s="51">
        <v>-2.8E-3</v>
      </c>
      <c r="H15" s="17" t="s">
        <v>32</v>
      </c>
      <c r="I15" s="64">
        <v>123088.66722789637</v>
      </c>
      <c r="J15" s="65">
        <v>129663.04735871204</v>
      </c>
      <c r="K15" s="74">
        <f t="shared" si="0"/>
        <v>252751.7145866084</v>
      </c>
      <c r="N15" s="77">
        <v>8</v>
      </c>
      <c r="O15" s="62">
        <v>68702.976394792364</v>
      </c>
      <c r="P15" s="63"/>
      <c r="Q15" s="76">
        <v>43</v>
      </c>
      <c r="R15" s="62">
        <v>50067.215343597287</v>
      </c>
      <c r="S15" s="79"/>
      <c r="T15" s="80"/>
      <c r="U15" s="81"/>
      <c r="V15" s="79"/>
    </row>
    <row r="16" spans="1:22" x14ac:dyDescent="0.3">
      <c r="A16" s="39" t="s">
        <v>60</v>
      </c>
      <c r="B16" s="49">
        <v>-1.9800000000000002E-2</v>
      </c>
      <c r="C16" s="50">
        <v>0.19919999999999999</v>
      </c>
      <c r="D16" s="50">
        <v>1.72E-2</v>
      </c>
      <c r="E16" s="50">
        <v>7.1999999999999998E-3</v>
      </c>
      <c r="F16" s="51">
        <v>-3.8E-3</v>
      </c>
      <c r="H16" s="17" t="s">
        <v>33</v>
      </c>
      <c r="I16" s="64">
        <v>106508.43817138459</v>
      </c>
      <c r="J16" s="65">
        <v>112017.55611347283</v>
      </c>
      <c r="K16" s="74">
        <f t="shared" si="0"/>
        <v>218525.99428485741</v>
      </c>
      <c r="N16" s="77">
        <v>9</v>
      </c>
      <c r="O16" s="62">
        <v>69171.755511613184</v>
      </c>
      <c r="P16" s="63"/>
      <c r="Q16" s="77">
        <v>44</v>
      </c>
      <c r="R16" s="62">
        <v>48548.220514270273</v>
      </c>
      <c r="S16" s="79"/>
      <c r="T16" s="80"/>
      <c r="U16" s="81"/>
      <c r="V16" s="79"/>
    </row>
    <row r="17" spans="1:19" x14ac:dyDescent="0.3">
      <c r="A17" s="39" t="s">
        <v>61</v>
      </c>
      <c r="B17" s="52">
        <v>-1.9099999999999999E-2</v>
      </c>
      <c r="C17" s="53">
        <v>0.14680000000000001</v>
      </c>
      <c r="D17" s="53">
        <v>8.2199999999999995E-2</v>
      </c>
      <c r="E17" s="53">
        <v>-8.3999999999999995E-3</v>
      </c>
      <c r="F17" s="54">
        <v>-1.5E-3</v>
      </c>
      <c r="H17" s="17" t="s">
        <v>34</v>
      </c>
      <c r="I17" s="64">
        <v>88253.47892476838</v>
      </c>
      <c r="J17" s="65">
        <v>95064.35877580283</v>
      </c>
      <c r="K17" s="74">
        <f t="shared" si="0"/>
        <v>183317.83770057122</v>
      </c>
      <c r="N17" s="77">
        <v>10</v>
      </c>
      <c r="O17" s="61">
        <f t="array" ref="O17:O21">MMULT($B$19:$F$23,$K$7:$K$11)</f>
        <v>69538.360171530032</v>
      </c>
      <c r="P17" s="63">
        <f>SUM(O17:O21)</f>
        <v>344574.2991192214</v>
      </c>
      <c r="Q17" s="76">
        <v>45</v>
      </c>
      <c r="R17" s="61">
        <f t="array" ref="R17:R21">MMULT($B$19:$F$23,$K$14:$K$18)</f>
        <v>46820.506142441744</v>
      </c>
      <c r="S17" s="63">
        <f>SUM(R17:R21)</f>
        <v>218525.99428485741</v>
      </c>
    </row>
    <row r="18" spans="1:19" x14ac:dyDescent="0.3">
      <c r="A18" s="39"/>
      <c r="B18" s="93" t="s">
        <v>62</v>
      </c>
      <c r="C18" s="94"/>
      <c r="D18" s="94"/>
      <c r="E18" s="94"/>
      <c r="F18" s="95"/>
      <c r="H18" s="17" t="s">
        <v>35</v>
      </c>
      <c r="I18" s="64">
        <v>68736.969636502428</v>
      </c>
      <c r="J18" s="65">
        <v>74613.676610297684</v>
      </c>
      <c r="K18" s="74">
        <f t="shared" si="0"/>
        <v>143350.64624680011</v>
      </c>
      <c r="N18" s="77">
        <v>11</v>
      </c>
      <c r="O18" s="62">
        <v>69661.294063703361</v>
      </c>
      <c r="P18" s="63"/>
      <c r="Q18" s="77">
        <v>46</v>
      </c>
      <c r="R18" s="62">
        <v>45136.002704962862</v>
      </c>
      <c r="S18" s="63"/>
    </row>
    <row r="19" spans="1:19" x14ac:dyDescent="0.3">
      <c r="A19" s="39" t="s">
        <v>63</v>
      </c>
      <c r="B19" s="46">
        <v>-1.17E-2</v>
      </c>
      <c r="C19" s="47">
        <v>8.0399999999999999E-2</v>
      </c>
      <c r="D19" s="47">
        <v>0.157</v>
      </c>
      <c r="E19" s="47">
        <v>-2.8400000000000002E-2</v>
      </c>
      <c r="F19" s="48">
        <v>2.7000000000000001E-3</v>
      </c>
      <c r="H19" s="17" t="s">
        <v>36</v>
      </c>
      <c r="I19" s="64">
        <v>52813.026723783063</v>
      </c>
      <c r="J19" s="65">
        <v>57404.370543815945</v>
      </c>
      <c r="K19" s="74">
        <f t="shared" si="0"/>
        <v>110217.39726759901</v>
      </c>
      <c r="N19" s="77">
        <v>12</v>
      </c>
      <c r="O19" s="62">
        <v>69370.752653311429</v>
      </c>
      <c r="P19" s="63"/>
      <c r="Q19" s="76">
        <v>47</v>
      </c>
      <c r="R19" s="62">
        <v>43542.034962641534</v>
      </c>
      <c r="S19" s="63"/>
    </row>
    <row r="20" spans="1:19" x14ac:dyDescent="0.3">
      <c r="A20" s="39" t="s">
        <v>64</v>
      </c>
      <c r="B20" s="49">
        <v>-2E-3</v>
      </c>
      <c r="C20" s="50">
        <v>1.6E-2</v>
      </c>
      <c r="D20" s="50">
        <v>0.22</v>
      </c>
      <c r="E20" s="50">
        <v>-0.04</v>
      </c>
      <c r="F20" s="51">
        <v>6.0000000000000001E-3</v>
      </c>
      <c r="H20" s="17" t="s">
        <v>37</v>
      </c>
      <c r="I20" s="64">
        <v>40090.479634441348</v>
      </c>
      <c r="J20" s="65">
        <v>45727.413189556275</v>
      </c>
      <c r="K20" s="74">
        <f t="shared" si="0"/>
        <v>85817.892823997623</v>
      </c>
      <c r="N20" s="77">
        <v>13</v>
      </c>
      <c r="O20" s="62">
        <v>68577.138040148711</v>
      </c>
      <c r="P20" s="63"/>
      <c r="Q20" s="77">
        <v>48</v>
      </c>
      <c r="R20" s="62">
        <v>42145.435791568205</v>
      </c>
      <c r="S20" s="63"/>
    </row>
    <row r="21" spans="1:19" x14ac:dyDescent="0.3">
      <c r="A21" s="39" t="s">
        <v>65</v>
      </c>
      <c r="B21" s="49">
        <v>5.0000000000000001E-3</v>
      </c>
      <c r="C21" s="50">
        <v>-2.8000000000000001E-2</v>
      </c>
      <c r="D21" s="50">
        <v>0.246</v>
      </c>
      <c r="E21" s="50">
        <v>-2.8000000000000001E-2</v>
      </c>
      <c r="F21" s="51">
        <v>5.0000000000000001E-3</v>
      </c>
      <c r="H21" s="17" t="s">
        <v>38</v>
      </c>
      <c r="I21" s="64">
        <v>29844.012127243277</v>
      </c>
      <c r="J21" s="65">
        <v>33665.292317357096</v>
      </c>
      <c r="K21" s="74">
        <f t="shared" si="0"/>
        <v>63509.304444600377</v>
      </c>
      <c r="N21" s="77">
        <v>14</v>
      </c>
      <c r="O21" s="62">
        <v>67426.754190527863</v>
      </c>
      <c r="P21" s="63"/>
      <c r="Q21" s="76">
        <v>49</v>
      </c>
      <c r="R21" s="62">
        <v>40882.014683243069</v>
      </c>
      <c r="S21" s="63"/>
    </row>
    <row r="22" spans="1:19" ht="15" thickBot="1" x14ac:dyDescent="0.35">
      <c r="A22" s="39" t="s">
        <v>66</v>
      </c>
      <c r="B22" s="49">
        <v>6.0000000000000001E-3</v>
      </c>
      <c r="C22" s="50">
        <v>-0.04</v>
      </c>
      <c r="D22" s="50">
        <v>0.22</v>
      </c>
      <c r="E22" s="50">
        <v>1.6E-2</v>
      </c>
      <c r="F22" s="51">
        <v>-2E-3</v>
      </c>
      <c r="H22" s="69" t="s">
        <v>39</v>
      </c>
      <c r="I22" s="70">
        <v>38735.889026674682</v>
      </c>
      <c r="J22" s="71">
        <v>43819.603244853293</v>
      </c>
      <c r="K22" s="75">
        <f t="shared" si="0"/>
        <v>82555.492271527968</v>
      </c>
      <c r="N22" s="77">
        <v>15</v>
      </c>
      <c r="O22" s="61">
        <f t="array" ref="O22:O26">MMULT($B$19:$F$23,$K$8:$K$12)</f>
        <v>65982.607538801312</v>
      </c>
      <c r="P22" s="63">
        <f>SUM(O22:O26)</f>
        <v>320817.04277217411</v>
      </c>
      <c r="Q22" s="77">
        <v>50</v>
      </c>
      <c r="R22" s="61">
        <f t="array" ref="R22:R26">MMULT($B$19:$F$23,$K$15:$K$19)</f>
        <v>39619.62401804229</v>
      </c>
      <c r="S22" s="63">
        <f>SUM(R22:R26)</f>
        <v>183317.83770057122</v>
      </c>
    </row>
    <row r="23" spans="1:19" x14ac:dyDescent="0.3">
      <c r="A23" s="39" t="s">
        <v>67</v>
      </c>
      <c r="B23" s="52">
        <v>2.7000000000000001E-3</v>
      </c>
      <c r="C23" s="53">
        <v>-2.8400000000000002E-2</v>
      </c>
      <c r="D23" s="53">
        <v>0.157</v>
      </c>
      <c r="E23" s="53">
        <v>8.0399999999999999E-2</v>
      </c>
      <c r="F23" s="54">
        <v>-1.17E-2</v>
      </c>
      <c r="N23" s="77">
        <v>16</v>
      </c>
      <c r="O23" s="62">
        <v>64592.087876794663</v>
      </c>
      <c r="P23" s="63"/>
      <c r="Q23" s="76">
        <v>51</v>
      </c>
      <c r="R23" s="62">
        <v>38248.115307243759</v>
      </c>
      <c r="S23" s="63"/>
    </row>
    <row r="24" spans="1:19" x14ac:dyDescent="0.3">
      <c r="A24" s="39"/>
      <c r="B24" s="93" t="s">
        <v>68</v>
      </c>
      <c r="C24" s="94"/>
      <c r="D24" s="94"/>
      <c r="E24" s="94"/>
      <c r="F24" s="95"/>
      <c r="N24" s="77">
        <v>17</v>
      </c>
      <c r="O24" s="62">
        <v>63619.070772731269</v>
      </c>
      <c r="P24" s="63"/>
      <c r="Q24" s="77">
        <v>52</v>
      </c>
      <c r="R24" s="62">
        <v>36778.487698725141</v>
      </c>
      <c r="S24" s="63"/>
    </row>
    <row r="25" spans="1:19" x14ac:dyDescent="0.3">
      <c r="A25" s="39" t="s">
        <v>69</v>
      </c>
      <c r="B25" s="46">
        <v>-1.5E-3</v>
      </c>
      <c r="C25" s="47">
        <v>-8.3999999999999995E-3</v>
      </c>
      <c r="D25" s="47">
        <v>8.2199999999999995E-2</v>
      </c>
      <c r="E25" s="47">
        <v>0.14680000000000001</v>
      </c>
      <c r="F25" s="48">
        <v>-1.9099999999999999E-2</v>
      </c>
      <c r="N25" s="77">
        <v>18</v>
      </c>
      <c r="O25" s="62">
        <v>63277.159867605464</v>
      </c>
      <c r="P25" s="63"/>
      <c r="Q25" s="76">
        <v>53</v>
      </c>
      <c r="R25" s="62">
        <v>35178.570355664626</v>
      </c>
      <c r="S25" s="63"/>
    </row>
    <row r="26" spans="1:19" x14ac:dyDescent="0.3">
      <c r="A26" s="39" t="s">
        <v>70</v>
      </c>
      <c r="B26" s="49">
        <v>-3.8E-3</v>
      </c>
      <c r="C26" s="50">
        <v>7.1999999999999998E-3</v>
      </c>
      <c r="D26" s="50">
        <v>1.72E-2</v>
      </c>
      <c r="E26" s="50">
        <v>0.19919999999999999</v>
      </c>
      <c r="F26" s="51">
        <v>-1.9800000000000002E-2</v>
      </c>
      <c r="N26" s="77">
        <v>19</v>
      </c>
      <c r="O26" s="62">
        <v>63346.116716241435</v>
      </c>
      <c r="P26" s="63"/>
      <c r="Q26" s="77">
        <v>54</v>
      </c>
      <c r="R26" s="62">
        <v>33493.040320895394</v>
      </c>
      <c r="S26" s="63"/>
    </row>
    <row r="27" spans="1:19" x14ac:dyDescent="0.3">
      <c r="A27" s="39" t="s">
        <v>71</v>
      </c>
      <c r="B27" s="49">
        <v>-2.8E-3</v>
      </c>
      <c r="C27" s="50">
        <v>1.12E-2</v>
      </c>
      <c r="D27" s="50">
        <v>-2.4799999999999999E-2</v>
      </c>
      <c r="E27" s="50">
        <v>0.22720000000000001</v>
      </c>
      <c r="F27" s="51">
        <v>-1.0800000000000001E-2</v>
      </c>
      <c r="N27" s="77">
        <v>20</v>
      </c>
      <c r="O27" s="61">
        <f t="array" ref="O27:O31">MMULT($B$19:$F$23,$K$9:$K$13)</f>
        <v>63621.090453530996</v>
      </c>
      <c r="P27" s="63">
        <f>SUM(O27:O31)</f>
        <v>310871.74836680444</v>
      </c>
      <c r="Q27" s="76">
        <v>55</v>
      </c>
      <c r="R27" s="61">
        <f t="array" ref="R27:R31">MMULT($B$19:$F$23,$K$16:$K$20)</f>
        <v>31789.585706965696</v>
      </c>
      <c r="S27" s="63">
        <f>SUM(R27:R31)</f>
        <v>143350.64624680011</v>
      </c>
    </row>
    <row r="28" spans="1:19" x14ac:dyDescent="0.3">
      <c r="A28" s="39" t="s">
        <v>72</v>
      </c>
      <c r="B28" s="49">
        <v>1.2999999999999999E-3</v>
      </c>
      <c r="C28" s="50">
        <v>2.8E-3</v>
      </c>
      <c r="D28" s="50">
        <v>-4.02E-2</v>
      </c>
      <c r="E28" s="50">
        <v>0.2268</v>
      </c>
      <c r="F28" s="51">
        <v>9.2999999999999992E-3</v>
      </c>
      <c r="N28" s="77">
        <v>21</v>
      </c>
      <c r="O28" s="62">
        <v>63619.210200014102</v>
      </c>
      <c r="P28" s="63"/>
      <c r="Q28" s="77">
        <v>56</v>
      </c>
      <c r="R28" s="62">
        <v>30139.387055175481</v>
      </c>
      <c r="S28" s="63"/>
    </row>
    <row r="29" spans="1:19" x14ac:dyDescent="0.3">
      <c r="A29" s="39" t="s">
        <v>73</v>
      </c>
      <c r="B29" s="52">
        <v>6.7999999999999996E-3</v>
      </c>
      <c r="C29" s="53">
        <v>-1.2800000000000001E-2</v>
      </c>
      <c r="D29" s="53">
        <v>-3.44E-2</v>
      </c>
      <c r="E29" s="53">
        <v>0.2</v>
      </c>
      <c r="F29" s="54">
        <v>4.0399999999999998E-2</v>
      </c>
      <c r="N29" s="77">
        <v>22</v>
      </c>
      <c r="O29" s="62">
        <v>62970.193389099819</v>
      </c>
      <c r="P29" s="63"/>
      <c r="Q29" s="76">
        <v>57</v>
      </c>
      <c r="R29" s="62">
        <v>28566.991833148339</v>
      </c>
      <c r="S29" s="63"/>
    </row>
    <row r="30" spans="1:19" x14ac:dyDescent="0.3">
      <c r="A30" s="39"/>
      <c r="B30" s="93" t="s">
        <v>74</v>
      </c>
      <c r="C30" s="94"/>
      <c r="D30" s="94"/>
      <c r="E30" s="94"/>
      <c r="F30" s="95"/>
      <c r="N30" s="77">
        <v>23</v>
      </c>
      <c r="O30" s="62">
        <v>61416.797116070098</v>
      </c>
      <c r="P30" s="63"/>
      <c r="Q30" s="77">
        <v>58</v>
      </c>
      <c r="R30" s="62">
        <v>27107.427202615909</v>
      </c>
      <c r="S30" s="63"/>
    </row>
    <row r="31" spans="1:19" x14ac:dyDescent="0.3">
      <c r="A31" s="39" t="s">
        <v>75</v>
      </c>
      <c r="B31" s="46">
        <v>1.15E-2</v>
      </c>
      <c r="C31" s="47">
        <v>-2.8400000000000002E-2</v>
      </c>
      <c r="D31" s="47">
        <v>-1.5800000000000002E-2</v>
      </c>
      <c r="E31" s="47">
        <v>0.15079999999999999</v>
      </c>
      <c r="F31" s="48">
        <v>8.1900000000000001E-2</v>
      </c>
      <c r="N31" s="77">
        <v>24</v>
      </c>
      <c r="O31" s="62">
        <v>59244.457208089436</v>
      </c>
      <c r="P31" s="63"/>
      <c r="Q31" s="76">
        <v>59</v>
      </c>
      <c r="R31" s="62">
        <v>25747.254448894699</v>
      </c>
      <c r="S31" s="63"/>
    </row>
    <row r="32" spans="1:19" x14ac:dyDescent="0.3">
      <c r="A32" s="39" t="s">
        <v>76</v>
      </c>
      <c r="B32" s="49">
        <v>1.29E-2</v>
      </c>
      <c r="C32" s="50">
        <v>-3.56E-2</v>
      </c>
      <c r="D32" s="50">
        <v>5.4000000000000003E-3</v>
      </c>
      <c r="E32" s="50">
        <v>8.4400000000000003E-2</v>
      </c>
      <c r="F32" s="51">
        <v>0.13289999999999999</v>
      </c>
      <c r="N32" s="77">
        <v>25</v>
      </c>
      <c r="O32" s="61">
        <f t="array" ref="O32:O36">MMULT($B$19:$F$23,$K$10:$K$14)</f>
        <v>56848.572678181379</v>
      </c>
      <c r="P32" s="63">
        <f>SUM(O32:O36)</f>
        <v>269280.83097938076</v>
      </c>
      <c r="Q32" s="77">
        <v>60</v>
      </c>
      <c r="R32" s="61">
        <f t="array" ref="R32:R36">MMULT($B$19:$F$23,$K$17:$K$21)</f>
        <v>24418.95159395798</v>
      </c>
      <c r="S32" s="63">
        <f>SUM(R32:R36)</f>
        <v>110217.39726759901</v>
      </c>
    </row>
    <row r="33" spans="1:19" x14ac:dyDescent="0.3">
      <c r="A33" s="39" t="s">
        <v>77</v>
      </c>
      <c r="B33" s="49">
        <v>8.3999999999999995E-3</v>
      </c>
      <c r="C33" s="50">
        <v>-2.5600000000000001E-2</v>
      </c>
      <c r="D33" s="50">
        <v>1.84E-2</v>
      </c>
      <c r="E33" s="50">
        <v>6.4000000000000003E-3</v>
      </c>
      <c r="F33" s="51">
        <v>0.19239999999999999</v>
      </c>
      <c r="N33" s="77">
        <v>26</v>
      </c>
      <c r="O33" s="62">
        <v>54742.600142929907</v>
      </c>
      <c r="P33" s="63"/>
      <c r="Q33" s="76">
        <v>61</v>
      </c>
      <c r="R33" s="62">
        <v>23123.142177127138</v>
      </c>
      <c r="S33" s="63"/>
    </row>
    <row r="34" spans="1:19" x14ac:dyDescent="0.3">
      <c r="A34" s="39" t="s">
        <v>78</v>
      </c>
      <c r="B34" s="49">
        <v>-4.4999999999999997E-3</v>
      </c>
      <c r="C34" s="50">
        <v>0.01</v>
      </c>
      <c r="D34" s="50">
        <v>1.2999999999999999E-2</v>
      </c>
      <c r="E34" s="50">
        <v>-7.8E-2</v>
      </c>
      <c r="F34" s="51">
        <v>0.25950000000000001</v>
      </c>
      <c r="N34" s="77">
        <v>27</v>
      </c>
      <c r="O34" s="62">
        <v>53165.166624136931</v>
      </c>
      <c r="P34" s="63"/>
      <c r="Q34" s="77">
        <v>62</v>
      </c>
      <c r="R34" s="62">
        <v>21930.896344572877</v>
      </c>
      <c r="S34" s="63"/>
    </row>
    <row r="35" spans="1:19" x14ac:dyDescent="0.3">
      <c r="A35" s="55" t="s">
        <v>79</v>
      </c>
      <c r="B35" s="52">
        <v>-2.8299999999999999E-2</v>
      </c>
      <c r="C35" s="53">
        <v>7.9600000000000004E-2</v>
      </c>
      <c r="D35" s="53">
        <v>-2.1000000000000001E-2</v>
      </c>
      <c r="E35" s="53">
        <v>-0.1636</v>
      </c>
      <c r="F35" s="54">
        <v>0.33329999999999999</v>
      </c>
      <c r="N35" s="77">
        <v>28</v>
      </c>
      <c r="O35" s="62">
        <v>52366.640529877885</v>
      </c>
      <c r="P35" s="63"/>
      <c r="Q35" s="76">
        <v>63</v>
      </c>
      <c r="R35" s="62">
        <v>20859.776251497966</v>
      </c>
      <c r="S35" s="63"/>
    </row>
    <row r="36" spans="1:19" x14ac:dyDescent="0.3">
      <c r="A36" s="96" t="s">
        <v>80</v>
      </c>
      <c r="B36" s="97"/>
      <c r="C36" s="97"/>
      <c r="D36" s="97"/>
      <c r="E36" s="97"/>
      <c r="F36" s="97"/>
      <c r="N36" s="77">
        <v>29</v>
      </c>
      <c r="O36" s="62">
        <v>52157.851004254662</v>
      </c>
      <c r="P36" s="63"/>
      <c r="Q36" s="77">
        <v>64</v>
      </c>
      <c r="R36" s="62">
        <v>19884.630900443048</v>
      </c>
      <c r="S36" s="63"/>
    </row>
    <row r="37" spans="1:19" x14ac:dyDescent="0.3">
      <c r="A37" s="98"/>
      <c r="B37" s="98"/>
      <c r="C37" s="98"/>
      <c r="D37" s="98"/>
      <c r="E37" s="98"/>
      <c r="F37" s="98"/>
      <c r="N37" s="77">
        <v>30</v>
      </c>
      <c r="O37" s="61">
        <f t="array" ref="O37:O41">MMULT($B$19:$F$23,$K$11:$K$15)</f>
        <v>52119.533422271183</v>
      </c>
      <c r="P37" s="63">
        <f>SUM(O37:O41)</f>
        <v>259122.45206266904</v>
      </c>
      <c r="Q37" s="76">
        <v>65</v>
      </c>
      <c r="R37" s="61">
        <f t="array" ref="R37:R41">MMULT($B$25:$F$29,$K$17:$K$21)</f>
        <v>18965.786822043643</v>
      </c>
      <c r="S37" s="63">
        <f>SUM(R37:R41)</f>
        <v>85817.892823997623</v>
      </c>
    </row>
    <row r="38" spans="1:19" x14ac:dyDescent="0.3">
      <c r="A38" s="98"/>
      <c r="B38" s="98"/>
      <c r="C38" s="98"/>
      <c r="D38" s="98"/>
      <c r="E38" s="98"/>
      <c r="F38" s="98"/>
      <c r="N38" s="77">
        <v>31</v>
      </c>
      <c r="O38" s="62">
        <v>51987.522729254168</v>
      </c>
      <c r="Q38" s="77">
        <v>66</v>
      </c>
      <c r="R38" s="62">
        <v>18068.696125254733</v>
      </c>
    </row>
    <row r="39" spans="1:19" x14ac:dyDescent="0.3">
      <c r="A39" s="98"/>
      <c r="B39" s="98"/>
      <c r="C39" s="98"/>
      <c r="D39" s="98"/>
      <c r="E39" s="98"/>
      <c r="F39" s="98"/>
      <c r="N39" s="77">
        <v>32</v>
      </c>
      <c r="O39" s="62">
        <v>51866.503487068578</v>
      </c>
      <c r="Q39" s="76">
        <v>67</v>
      </c>
      <c r="R39" s="62">
        <v>17170.770601776687</v>
      </c>
    </row>
    <row r="40" spans="1:19" x14ac:dyDescent="0.3">
      <c r="N40" s="77">
        <v>33</v>
      </c>
      <c r="O40" s="62">
        <v>51684.504000035231</v>
      </c>
      <c r="Q40" s="77">
        <v>68</v>
      </c>
      <c r="R40" s="62">
        <v>16263.090252161745</v>
      </c>
    </row>
    <row r="41" spans="1:19" ht="15" thickBot="1" x14ac:dyDescent="0.35">
      <c r="N41" s="78">
        <v>34</v>
      </c>
      <c r="O41" s="62">
        <v>51464.388424039877</v>
      </c>
      <c r="Q41" s="102">
        <v>69</v>
      </c>
      <c r="R41" s="103">
        <v>15349.549022760817</v>
      </c>
    </row>
  </sheetData>
  <mergeCells count="8">
    <mergeCell ref="B30:F30"/>
    <mergeCell ref="A36:F39"/>
    <mergeCell ref="A4:A6"/>
    <mergeCell ref="B4:F4"/>
    <mergeCell ref="B6:F6"/>
    <mergeCell ref="B12:F12"/>
    <mergeCell ref="B18:F18"/>
    <mergeCell ref="B24:F2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85"/>
  <sheetViews>
    <sheetView tabSelected="1" workbookViewId="0">
      <selection activeCell="G8" sqref="G8"/>
    </sheetView>
  </sheetViews>
  <sheetFormatPr baseColWidth="10" defaultRowHeight="14.4" x14ac:dyDescent="0.3"/>
  <sheetData>
    <row r="2" spans="2:7" x14ac:dyDescent="0.3">
      <c r="B2" s="109" t="s">
        <v>84</v>
      </c>
      <c r="C2" s="109"/>
      <c r="F2" s="109" t="s">
        <v>85</v>
      </c>
      <c r="G2" s="109"/>
    </row>
    <row r="3" spans="2:7" x14ac:dyDescent="0.3">
      <c r="B3" s="109"/>
      <c r="C3" s="109"/>
      <c r="F3" s="109"/>
      <c r="G3" s="109"/>
    </row>
    <row r="4" spans="2:7" ht="15" thickBot="1" x14ac:dyDescent="0.35"/>
    <row r="5" spans="2:7" x14ac:dyDescent="0.3">
      <c r="B5" s="104" t="s">
        <v>23</v>
      </c>
      <c r="C5" s="105" t="s">
        <v>81</v>
      </c>
      <c r="F5" s="104" t="s">
        <v>23</v>
      </c>
      <c r="G5" s="105" t="s">
        <v>81</v>
      </c>
    </row>
    <row r="6" spans="2:7" x14ac:dyDescent="0.3">
      <c r="B6" s="77">
        <v>0</v>
      </c>
      <c r="C6" s="106">
        <v>58886.477071284768</v>
      </c>
      <c r="F6" s="77">
        <v>0</v>
      </c>
      <c r="G6" s="106">
        <v>58886.477071284768</v>
      </c>
    </row>
    <row r="7" spans="2:7" x14ac:dyDescent="0.3">
      <c r="B7" s="77">
        <v>1</v>
      </c>
      <c r="C7" s="106">
        <v>61566.085982364129</v>
      </c>
      <c r="F7" s="77">
        <v>1</v>
      </c>
      <c r="G7" s="106">
        <v>61566.085982364129</v>
      </c>
    </row>
    <row r="8" spans="2:7" x14ac:dyDescent="0.3">
      <c r="B8" s="77">
        <v>2</v>
      </c>
      <c r="C8" s="106">
        <v>63614.741782967743</v>
      </c>
      <c r="F8" s="77">
        <v>2</v>
      </c>
      <c r="G8" s="106">
        <f>(-C6+4*C7+10*C8+4*C9-C10)/16</f>
        <v>63614.741782967743</v>
      </c>
    </row>
    <row r="9" spans="2:7" x14ac:dyDescent="0.3">
      <c r="B9" s="77">
        <v>3</v>
      </c>
      <c r="C9" s="106">
        <v>65141.004140765355</v>
      </c>
      <c r="F9" s="77">
        <v>3</v>
      </c>
      <c r="G9" s="106">
        <f t="shared" ref="G9:G72" si="0">(-C7+4*C8+10*C9+4*C10-C11)/16</f>
        <v>65140.709263432211</v>
      </c>
    </row>
    <row r="10" spans="2:7" x14ac:dyDescent="0.3">
      <c r="B10" s="77">
        <v>4</v>
      </c>
      <c r="C10" s="106">
        <v>66253.43272342674</v>
      </c>
      <c r="F10" s="77">
        <v>4</v>
      </c>
      <c r="G10" s="106">
        <f t="shared" si="0"/>
        <v>66253.727600759885</v>
      </c>
    </row>
    <row r="11" spans="2:7" x14ac:dyDescent="0.3">
      <c r="B11" s="77">
        <v>5</v>
      </c>
      <c r="C11" s="106">
        <v>67065.305235952008</v>
      </c>
      <c r="F11" s="77">
        <v>5</v>
      </c>
      <c r="G11" s="106">
        <f t="shared" si="0"/>
        <v>67066.189867951442</v>
      </c>
    </row>
    <row r="12" spans="2:7" x14ac:dyDescent="0.3">
      <c r="B12" s="77">
        <v>6</v>
      </c>
      <c r="C12" s="106">
        <v>67685.181346010882</v>
      </c>
      <c r="F12" s="77">
        <v>6</v>
      </c>
      <c r="G12" s="106">
        <f t="shared" si="0"/>
        <v>67686.655732676634</v>
      </c>
    </row>
    <row r="13" spans="2:7" x14ac:dyDescent="0.3">
      <c r="B13" s="77">
        <v>7</v>
      </c>
      <c r="C13" s="106">
        <v>68207.466609282084</v>
      </c>
      <c r="F13" s="77">
        <v>7</v>
      </c>
      <c r="G13" s="106">
        <f t="shared" si="0"/>
        <v>68211.889769279296</v>
      </c>
    </row>
    <row r="14" spans="2:7" x14ac:dyDescent="0.3">
      <c r="B14" s="77">
        <v>8</v>
      </c>
      <c r="C14" s="106">
        <v>68702.976394792364</v>
      </c>
      <c r="F14" s="77">
        <v>8</v>
      </c>
      <c r="G14" s="106">
        <f t="shared" si="0"/>
        <v>68707.694432122749</v>
      </c>
    </row>
    <row r="15" spans="2:7" x14ac:dyDescent="0.3">
      <c r="B15" s="77">
        <v>9</v>
      </c>
      <c r="C15" s="106">
        <v>69171.755511613184</v>
      </c>
      <c r="F15" s="77">
        <v>9</v>
      </c>
      <c r="G15" s="106">
        <f t="shared" si="0"/>
        <v>69175.883794277252</v>
      </c>
    </row>
    <row r="16" spans="2:7" x14ac:dyDescent="0.3">
      <c r="B16" s="77">
        <v>10</v>
      </c>
      <c r="C16" s="106">
        <v>69538.360171530032</v>
      </c>
      <c r="F16" s="77">
        <v>10</v>
      </c>
      <c r="G16" s="106">
        <f t="shared" si="0"/>
        <v>69540.129435528914</v>
      </c>
    </row>
    <row r="17" spans="2:7" x14ac:dyDescent="0.3">
      <c r="B17" s="77">
        <v>11</v>
      </c>
      <c r="C17" s="106">
        <v>69661.294063703361</v>
      </c>
      <c r="F17" s="77">
        <v>11</v>
      </c>
      <c r="G17" s="106">
        <f t="shared" si="0"/>
        <v>69656.28114903986</v>
      </c>
    </row>
    <row r="18" spans="2:7" x14ac:dyDescent="0.3">
      <c r="B18" s="77">
        <v>12</v>
      </c>
      <c r="C18" s="106">
        <v>69370.752653311429</v>
      </c>
      <c r="F18" s="77">
        <v>12</v>
      </c>
      <c r="G18" s="106">
        <f t="shared" si="0"/>
        <v>69356.008786654042</v>
      </c>
    </row>
    <row r="19" spans="2:7" x14ac:dyDescent="0.3">
      <c r="B19" s="77">
        <v>13</v>
      </c>
      <c r="C19" s="106">
        <v>68577.138040148711</v>
      </c>
      <c r="F19" s="77">
        <v>13</v>
      </c>
      <c r="G19" s="106">
        <f t="shared" si="0"/>
        <v>68582.34413589623</v>
      </c>
    </row>
    <row r="20" spans="2:7" x14ac:dyDescent="0.3">
      <c r="B20" s="77">
        <v>14</v>
      </c>
      <c r="C20" s="106">
        <v>67426.754190527863</v>
      </c>
      <c r="F20" s="77">
        <v>14</v>
      </c>
      <c r="G20" s="106">
        <f t="shared" si="0"/>
        <v>67408.980230685789</v>
      </c>
    </row>
    <row r="21" spans="2:7" x14ac:dyDescent="0.3">
      <c r="B21" s="77">
        <v>15</v>
      </c>
      <c r="C21" s="106">
        <v>65982.607538801312</v>
      </c>
      <c r="F21" s="77">
        <v>15</v>
      </c>
      <c r="G21" s="106">
        <f t="shared" si="0"/>
        <v>65981.57717777646</v>
      </c>
    </row>
    <row r="22" spans="2:7" x14ac:dyDescent="0.3">
      <c r="B22" s="77">
        <v>16</v>
      </c>
      <c r="C22" s="106">
        <v>64592.087876794663</v>
      </c>
      <c r="F22" s="77">
        <v>16</v>
      </c>
      <c r="G22" s="106">
        <f t="shared" si="0"/>
        <v>64601.479872246477</v>
      </c>
    </row>
    <row r="23" spans="2:7" x14ac:dyDescent="0.3">
      <c r="B23" s="77">
        <v>17</v>
      </c>
      <c r="C23" s="106">
        <v>63619.070772731269</v>
      </c>
      <c r="F23" s="77">
        <v>17</v>
      </c>
      <c r="G23" s="106">
        <f t="shared" si="0"/>
        <v>63646.185903116901</v>
      </c>
    </row>
    <row r="24" spans="2:7" x14ac:dyDescent="0.3">
      <c r="B24" s="77">
        <v>18</v>
      </c>
      <c r="C24" s="106">
        <v>63277.159867605464</v>
      </c>
      <c r="F24" s="77">
        <v>18</v>
      </c>
      <c r="G24" s="106">
        <f t="shared" si="0"/>
        <v>63276.198143851238</v>
      </c>
    </row>
    <row r="25" spans="2:7" x14ac:dyDescent="0.3">
      <c r="B25" s="77">
        <v>19</v>
      </c>
      <c r="C25" s="106">
        <v>63346.116716241435</v>
      </c>
      <c r="F25" s="77">
        <v>19</v>
      </c>
      <c r="G25" s="106">
        <f t="shared" si="0"/>
        <v>63363.492967138431</v>
      </c>
    </row>
    <row r="26" spans="2:7" x14ac:dyDescent="0.3">
      <c r="B26" s="77">
        <v>20</v>
      </c>
      <c r="C26" s="106">
        <v>63621.090453530996</v>
      </c>
      <c r="F26" s="77">
        <v>20</v>
      </c>
      <c r="G26" s="106">
        <f t="shared" si="0"/>
        <v>63614.053683976686</v>
      </c>
    </row>
    <row r="27" spans="2:7" x14ac:dyDescent="0.3">
      <c r="B27" s="77">
        <v>21</v>
      </c>
      <c r="C27" s="106">
        <v>63619.210200014102</v>
      </c>
      <c r="F27" s="77">
        <v>21</v>
      </c>
      <c r="G27" s="106">
        <f t="shared" si="0"/>
        <v>63612.145221147046</v>
      </c>
    </row>
    <row r="28" spans="2:7" x14ac:dyDescent="0.3">
      <c r="B28" s="77">
        <v>22</v>
      </c>
      <c r="C28" s="106">
        <v>62970.193389099819</v>
      </c>
      <c r="F28" s="77">
        <v>22</v>
      </c>
      <c r="G28" s="106">
        <f t="shared" si="0"/>
        <v>62936.275968357157</v>
      </c>
    </row>
    <row r="29" spans="2:7" x14ac:dyDescent="0.3">
      <c r="B29" s="77">
        <v>23</v>
      </c>
      <c r="C29" s="106">
        <v>61416.797116070098</v>
      </c>
      <c r="F29" s="77">
        <v>23</v>
      </c>
      <c r="G29" s="106">
        <f t="shared" si="0"/>
        <v>61409.924416953909</v>
      </c>
    </row>
    <row r="30" spans="2:7" x14ac:dyDescent="0.3">
      <c r="B30" s="77">
        <v>24</v>
      </c>
      <c r="C30" s="106">
        <v>59244.457208089436</v>
      </c>
      <c r="F30" s="77">
        <v>24</v>
      </c>
      <c r="G30" s="106">
        <f t="shared" si="0"/>
        <v>59237.078607866904</v>
      </c>
    </row>
    <row r="31" spans="2:7" x14ac:dyDescent="0.3">
      <c r="B31" s="77">
        <v>25</v>
      </c>
      <c r="C31" s="106">
        <v>56848.572678181379</v>
      </c>
      <c r="F31" s="77">
        <v>25</v>
      </c>
      <c r="G31" s="106">
        <f t="shared" si="0"/>
        <v>56865.74952785526</v>
      </c>
    </row>
    <row r="32" spans="2:7" x14ac:dyDescent="0.3">
      <c r="B32" s="77">
        <v>26</v>
      </c>
      <c r="C32" s="106">
        <v>54742.600142929907</v>
      </c>
      <c r="F32" s="77">
        <v>26</v>
      </c>
      <c r="G32" s="106">
        <f t="shared" si="0"/>
        <v>54741.866306287819</v>
      </c>
    </row>
    <row r="33" spans="2:7" x14ac:dyDescent="0.3">
      <c r="B33" s="77">
        <v>27</v>
      </c>
      <c r="C33" s="106">
        <v>53165.166624136931</v>
      </c>
      <c r="F33" s="77">
        <v>27</v>
      </c>
      <c r="G33" s="106">
        <f t="shared" si="0"/>
        <v>53192.637828135281</v>
      </c>
    </row>
    <row r="34" spans="2:7" x14ac:dyDescent="0.3">
      <c r="B34" s="77">
        <v>28</v>
      </c>
      <c r="C34" s="106">
        <v>52366.640529877885</v>
      </c>
      <c r="F34" s="77">
        <v>28</v>
      </c>
      <c r="G34" s="106">
        <f t="shared" si="0"/>
        <v>52381.021390446513</v>
      </c>
    </row>
    <row r="35" spans="2:7" x14ac:dyDescent="0.3">
      <c r="B35" s="77">
        <v>29</v>
      </c>
      <c r="C35" s="106">
        <v>52157.851004254662</v>
      </c>
      <c r="F35" s="77">
        <v>29</v>
      </c>
      <c r="G35" s="106">
        <f t="shared" si="0"/>
        <v>52148.157281109488</v>
      </c>
    </row>
    <row r="36" spans="2:7" x14ac:dyDescent="0.3">
      <c r="B36" s="77">
        <v>30</v>
      </c>
      <c r="C36" s="106">
        <v>52119.533422271183</v>
      </c>
      <c r="F36" s="77">
        <v>30</v>
      </c>
      <c r="G36" s="106">
        <f t="shared" si="0"/>
        <v>52096.480321237548</v>
      </c>
    </row>
    <row r="37" spans="2:7" x14ac:dyDescent="0.3">
      <c r="B37" s="77">
        <v>31</v>
      </c>
      <c r="C37" s="106">
        <v>51987.522729254168</v>
      </c>
      <c r="F37" s="77">
        <v>31</v>
      </c>
      <c r="G37" s="106">
        <f t="shared" si="0"/>
        <v>51998.563745350672</v>
      </c>
    </row>
    <row r="38" spans="2:7" x14ac:dyDescent="0.3">
      <c r="B38" s="77">
        <v>32</v>
      </c>
      <c r="C38" s="106">
        <v>51866.503487068578</v>
      </c>
      <c r="F38" s="77">
        <v>32</v>
      </c>
      <c r="G38" s="106">
        <f t="shared" si="0"/>
        <v>51860.576246345765</v>
      </c>
    </row>
    <row r="39" spans="2:7" x14ac:dyDescent="0.3">
      <c r="B39" s="77">
        <v>33</v>
      </c>
      <c r="C39" s="106">
        <v>51684.504000035231</v>
      </c>
      <c r="F39" s="77">
        <v>33</v>
      </c>
      <c r="G39" s="106">
        <f t="shared" si="0"/>
        <v>51685.146719919394</v>
      </c>
    </row>
    <row r="40" spans="2:7" x14ac:dyDescent="0.3">
      <c r="B40" s="77">
        <v>34</v>
      </c>
      <c r="C40" s="106">
        <v>51464.388424039877</v>
      </c>
      <c r="F40" s="77">
        <v>34</v>
      </c>
      <c r="G40" s="106">
        <f t="shared" si="0"/>
        <v>51459.821182939304</v>
      </c>
    </row>
    <row r="41" spans="2:7" x14ac:dyDescent="0.3">
      <c r="B41" s="77">
        <v>35</v>
      </c>
      <c r="C41" s="107">
        <v>51218.737396821693</v>
      </c>
      <c r="F41" s="77">
        <v>35</v>
      </c>
      <c r="G41" s="106">
        <f t="shared" si="0"/>
        <v>51219.827091970808</v>
      </c>
    </row>
    <row r="42" spans="2:7" x14ac:dyDescent="0.3">
      <c r="B42" s="77">
        <v>36</v>
      </c>
      <c r="C42" s="107">
        <v>51033.207413729091</v>
      </c>
      <c r="F42" s="77">
        <v>36</v>
      </c>
      <c r="G42" s="106">
        <f t="shared" si="0"/>
        <v>51035.264367675671</v>
      </c>
    </row>
    <row r="43" spans="2:7" x14ac:dyDescent="0.3">
      <c r="B43" s="77">
        <v>37</v>
      </c>
      <c r="C43" s="107">
        <v>50976.019847724718</v>
      </c>
      <c r="F43" s="77">
        <v>37</v>
      </c>
      <c r="G43" s="106">
        <f t="shared" si="0"/>
        <v>50984.234947626122</v>
      </c>
    </row>
    <row r="44" spans="2:7" x14ac:dyDescent="0.3">
      <c r="B44" s="77">
        <v>38</v>
      </c>
      <c r="C44" s="107">
        <v>51082.484808625893</v>
      </c>
      <c r="F44" s="77">
        <v>38</v>
      </c>
      <c r="G44" s="106">
        <f t="shared" si="0"/>
        <v>51077.182279974018</v>
      </c>
    </row>
    <row r="45" spans="2:7" x14ac:dyDescent="0.3">
      <c r="B45" s="77">
        <v>39</v>
      </c>
      <c r="C45" s="107">
        <v>51256.470807827434</v>
      </c>
      <c r="F45" s="77">
        <v>39</v>
      </c>
      <c r="G45" s="106">
        <f t="shared" si="0"/>
        <v>51270.644027596012</v>
      </c>
    </row>
    <row r="46" spans="2:7" x14ac:dyDescent="0.3">
      <c r="B46" s="77">
        <v>40</v>
      </c>
      <c r="C46" s="107">
        <v>51486.686815154077</v>
      </c>
      <c r="F46" s="77">
        <v>40</v>
      </c>
      <c r="G46" s="106">
        <f t="shared" si="0"/>
        <v>51489.751630081526</v>
      </c>
    </row>
    <row r="47" spans="2:7" x14ac:dyDescent="0.3">
      <c r="B47" s="77">
        <v>41</v>
      </c>
      <c r="C47" s="107">
        <v>51535.070284133304</v>
      </c>
      <c r="F47" s="77">
        <v>41</v>
      </c>
      <c r="G47" s="106">
        <f t="shared" si="0"/>
        <v>51526.990654271154</v>
      </c>
    </row>
    <row r="48" spans="2:7" x14ac:dyDescent="0.3">
      <c r="B48" s="77">
        <v>42</v>
      </c>
      <c r="C48" s="107">
        <v>51114.52162945344</v>
      </c>
      <c r="F48" s="77">
        <v>42</v>
      </c>
      <c r="G48" s="106">
        <f t="shared" si="0"/>
        <v>51094.965717252024</v>
      </c>
    </row>
    <row r="49" spans="2:7" x14ac:dyDescent="0.3">
      <c r="B49" s="77">
        <v>43</v>
      </c>
      <c r="C49" s="107">
        <v>50067.215343597287</v>
      </c>
      <c r="F49" s="77">
        <v>43</v>
      </c>
      <c r="G49" s="106">
        <f t="shared" si="0"/>
        <v>50060.471599018289</v>
      </c>
    </row>
    <row r="50" spans="2:7" x14ac:dyDescent="0.3">
      <c r="B50" s="77">
        <v>44</v>
      </c>
      <c r="C50" s="107">
        <v>48548.220514270273</v>
      </c>
      <c r="F50" s="77">
        <v>44</v>
      </c>
      <c r="G50" s="106">
        <f t="shared" si="0"/>
        <v>48548.910422027657</v>
      </c>
    </row>
    <row r="51" spans="2:7" x14ac:dyDescent="0.3">
      <c r="B51" s="77">
        <v>45</v>
      </c>
      <c r="C51" s="107">
        <v>46820.506142441744</v>
      </c>
      <c r="F51" s="77">
        <v>45</v>
      </c>
      <c r="G51" s="106">
        <f t="shared" si="0"/>
        <v>46833.293999694448</v>
      </c>
    </row>
    <row r="52" spans="2:7" x14ac:dyDescent="0.3">
      <c r="B52" s="77">
        <v>46</v>
      </c>
      <c r="C52" s="107">
        <v>45136.002704962862</v>
      </c>
      <c r="F52" s="77">
        <v>46</v>
      </c>
      <c r="G52" s="106">
        <f t="shared" si="0"/>
        <v>45132.283447757705</v>
      </c>
    </row>
    <row r="53" spans="2:7" x14ac:dyDescent="0.3">
      <c r="B53" s="77">
        <v>47</v>
      </c>
      <c r="C53" s="107">
        <v>43542.034962641534</v>
      </c>
      <c r="F53" s="77">
        <v>47</v>
      </c>
      <c r="G53" s="106">
        <f t="shared" si="0"/>
        <v>43552.723924178426</v>
      </c>
    </row>
    <row r="54" spans="2:7" x14ac:dyDescent="0.3">
      <c r="B54" s="77">
        <v>48</v>
      </c>
      <c r="C54" s="107">
        <v>42145.435791568205</v>
      </c>
      <c r="F54" s="77">
        <v>48</v>
      </c>
      <c r="G54" s="106">
        <f t="shared" si="0"/>
        <v>42149.683111013452</v>
      </c>
    </row>
    <row r="55" spans="2:7" x14ac:dyDescent="0.3">
      <c r="B55" s="77">
        <v>49</v>
      </c>
      <c r="C55" s="107">
        <v>40882.014683243069</v>
      </c>
      <c r="F55" s="77">
        <v>49</v>
      </c>
      <c r="G55" s="106">
        <f t="shared" si="0"/>
        <v>40880.639737561709</v>
      </c>
    </row>
    <row r="56" spans="2:7" x14ac:dyDescent="0.3">
      <c r="B56" s="77">
        <v>50</v>
      </c>
      <c r="C56" s="107">
        <v>39619.62401804229</v>
      </c>
      <c r="F56" s="77">
        <v>50</v>
      </c>
      <c r="G56" s="106">
        <f t="shared" si="0"/>
        <v>39612.0522907548</v>
      </c>
    </row>
    <row r="57" spans="2:7" x14ac:dyDescent="0.3">
      <c r="B57" s="77">
        <v>51</v>
      </c>
      <c r="C57" s="107">
        <v>38248.115307243759</v>
      </c>
      <c r="F57" s="77">
        <v>51</v>
      </c>
      <c r="G57" s="106">
        <f t="shared" si="0"/>
        <v>38250.813431287483</v>
      </c>
    </row>
    <row r="58" spans="2:7" x14ac:dyDescent="0.3">
      <c r="B58" s="77">
        <v>52</v>
      </c>
      <c r="C58" s="107">
        <v>36778.487698725141</v>
      </c>
      <c r="F58" s="77">
        <v>52</v>
      </c>
      <c r="G58" s="106">
        <f t="shared" si="0"/>
        <v>36773.684706246706</v>
      </c>
    </row>
    <row r="59" spans="2:7" x14ac:dyDescent="0.3">
      <c r="B59" s="77">
        <v>53</v>
      </c>
      <c r="C59" s="107">
        <v>35178.570355664626</v>
      </c>
      <c r="F59" s="77">
        <v>53</v>
      </c>
      <c r="G59" s="106">
        <f t="shared" si="0"/>
        <v>35177.132163807437</v>
      </c>
    </row>
    <row r="60" spans="2:7" x14ac:dyDescent="0.3">
      <c r="B60" s="77">
        <v>54</v>
      </c>
      <c r="C60" s="107">
        <v>33493.040320895394</v>
      </c>
      <c r="F60" s="77">
        <v>54</v>
      </c>
      <c r="G60" s="106">
        <f t="shared" si="0"/>
        <v>33492.822044098415</v>
      </c>
    </row>
    <row r="61" spans="2:7" x14ac:dyDescent="0.3">
      <c r="B61" s="77">
        <v>55</v>
      </c>
      <c r="C61" s="107">
        <v>31789.585706965696</v>
      </c>
      <c r="F61" s="77">
        <v>55</v>
      </c>
      <c r="G61" s="106">
        <f t="shared" si="0"/>
        <v>31792.500274070462</v>
      </c>
    </row>
    <row r="62" spans="2:7" x14ac:dyDescent="0.3">
      <c r="B62" s="77">
        <v>56</v>
      </c>
      <c r="C62" s="107">
        <v>30139.387055175481</v>
      </c>
      <c r="F62" s="77">
        <v>56</v>
      </c>
      <c r="G62" s="106">
        <f t="shared" si="0"/>
        <v>30138.73207429373</v>
      </c>
    </row>
    <row r="63" spans="2:7" x14ac:dyDescent="0.3">
      <c r="B63" s="77">
        <v>57</v>
      </c>
      <c r="C63" s="107">
        <v>28566.991833148339</v>
      </c>
      <c r="F63" s="77">
        <v>57</v>
      </c>
      <c r="G63" s="106">
        <f t="shared" si="0"/>
        <v>28570.020950424285</v>
      </c>
    </row>
    <row r="64" spans="2:7" x14ac:dyDescent="0.3">
      <c r="B64" s="77">
        <v>58</v>
      </c>
      <c r="C64" s="107">
        <v>27107.427202615909</v>
      </c>
      <c r="F64" s="77">
        <v>58</v>
      </c>
      <c r="G64" s="106">
        <f t="shared" si="0"/>
        <v>27110.807406574866</v>
      </c>
    </row>
    <row r="65" spans="2:7" x14ac:dyDescent="0.3">
      <c r="B65" s="77">
        <v>59</v>
      </c>
      <c r="C65" s="107">
        <v>25747.254448894699</v>
      </c>
      <c r="F65" s="77">
        <v>59</v>
      </c>
      <c r="G65" s="106">
        <f t="shared" si="0"/>
        <v>25742.995354060444</v>
      </c>
    </row>
    <row r="66" spans="2:7" x14ac:dyDescent="0.3">
      <c r="B66" s="77">
        <v>60</v>
      </c>
      <c r="C66" s="107">
        <v>24418.95159395798</v>
      </c>
      <c r="F66" s="77">
        <v>60</v>
      </c>
      <c r="G66" s="106">
        <f t="shared" si="0"/>
        <v>24414.548681029901</v>
      </c>
    </row>
    <row r="67" spans="2:7" x14ac:dyDescent="0.3">
      <c r="B67" s="77">
        <v>61</v>
      </c>
      <c r="C67" s="107">
        <v>23123.142177127138</v>
      </c>
      <c r="F67" s="77">
        <v>61</v>
      </c>
      <c r="G67" s="106">
        <f t="shared" si="0"/>
        <v>23126.486426562631</v>
      </c>
    </row>
    <row r="68" spans="2:7" x14ac:dyDescent="0.3">
      <c r="B68" s="77">
        <v>62</v>
      </c>
      <c r="C68" s="107">
        <v>21930.896344572877</v>
      </c>
      <c r="F68" s="77">
        <v>62</v>
      </c>
      <c r="G68" s="106">
        <f t="shared" si="0"/>
        <v>21933.565916614258</v>
      </c>
    </row>
    <row r="69" spans="2:7" x14ac:dyDescent="0.3">
      <c r="B69" s="77">
        <v>63</v>
      </c>
      <c r="C69" s="107">
        <v>20859.776251497966</v>
      </c>
      <c r="F69" s="77">
        <v>63</v>
      </c>
      <c r="G69" s="106">
        <f t="shared" si="0"/>
        <v>20860.683905992038</v>
      </c>
    </row>
    <row r="70" spans="2:7" x14ac:dyDescent="0.3">
      <c r="B70" s="77">
        <v>64</v>
      </c>
      <c r="C70" s="107">
        <v>19884.630900443048</v>
      </c>
      <c r="F70" s="77">
        <v>64</v>
      </c>
      <c r="G70" s="106">
        <f t="shared" si="0"/>
        <v>19884.31055179808</v>
      </c>
    </row>
    <row r="71" spans="2:7" x14ac:dyDescent="0.3">
      <c r="B71" s="77">
        <v>65</v>
      </c>
      <c r="C71" s="107">
        <v>18965.786822043643</v>
      </c>
      <c r="F71" s="77">
        <v>65</v>
      </c>
      <c r="G71" s="106">
        <f t="shared" si="0"/>
        <v>18965.03934187206</v>
      </c>
    </row>
    <row r="72" spans="2:7" x14ac:dyDescent="0.3">
      <c r="B72" s="77">
        <v>66</v>
      </c>
      <c r="C72" s="107">
        <v>18068.696125254733</v>
      </c>
      <c r="F72" s="77">
        <v>66</v>
      </c>
      <c r="G72" s="106">
        <f t="shared" si="0"/>
        <v>18067.841862201494</v>
      </c>
    </row>
    <row r="73" spans="2:7" x14ac:dyDescent="0.3">
      <c r="B73" s="77">
        <v>67</v>
      </c>
      <c r="C73" s="107">
        <v>17170.770601776687</v>
      </c>
      <c r="F73" s="77">
        <v>67</v>
      </c>
      <c r="G73" s="106">
        <f t="shared" ref="G73:G81" si="1">(-C71+4*C72+10*C73+4*C74-C75)/16</f>
        <v>17169.96973016427</v>
      </c>
    </row>
    <row r="74" spans="2:7" x14ac:dyDescent="0.3">
      <c r="B74" s="77">
        <v>68</v>
      </c>
      <c r="C74" s="107">
        <v>16263.090252161745</v>
      </c>
      <c r="F74" s="77">
        <v>68</v>
      </c>
      <c r="G74" s="106">
        <f t="shared" si="1"/>
        <v>16262.823294957605</v>
      </c>
    </row>
    <row r="75" spans="2:7" x14ac:dyDescent="0.3">
      <c r="B75" s="77">
        <v>69</v>
      </c>
      <c r="C75" s="107">
        <v>15349.549022760817</v>
      </c>
      <c r="F75" s="77">
        <v>69</v>
      </c>
      <c r="G75" s="106">
        <f t="shared" si="1"/>
        <v>15349.388848438333</v>
      </c>
    </row>
    <row r="76" spans="2:7" x14ac:dyDescent="0.3">
      <c r="B76" s="77">
        <v>70</v>
      </c>
      <c r="C76" s="107">
        <v>14438.312175190993</v>
      </c>
      <c r="F76" s="77">
        <v>70</v>
      </c>
      <c r="G76" s="106">
        <f t="shared" si="1"/>
        <v>14438.258783750167</v>
      </c>
    </row>
    <row r="77" spans="2:7" x14ac:dyDescent="0.3">
      <c r="B77" s="77">
        <v>71</v>
      </c>
      <c r="C77" s="107">
        <v>13540.10776022911</v>
      </c>
      <c r="F77" s="77">
        <v>71</v>
      </c>
      <c r="G77" s="106">
        <f t="shared" si="1"/>
        <v>13540.161151669936</v>
      </c>
    </row>
    <row r="78" spans="2:7" x14ac:dyDescent="0.3">
      <c r="B78" s="77">
        <v>72</v>
      </c>
      <c r="C78" s="107">
        <v>12666.518091705233</v>
      </c>
      <c r="F78" s="77">
        <v>72</v>
      </c>
      <c r="G78" s="106">
        <f t="shared" si="1"/>
        <v>12666.518091705235</v>
      </c>
    </row>
    <row r="79" spans="2:7" x14ac:dyDescent="0.3">
      <c r="B79" s="77">
        <v>73</v>
      </c>
      <c r="C79" s="107">
        <v>11828.271220396202</v>
      </c>
      <c r="F79" s="77">
        <v>73</v>
      </c>
      <c r="G79" s="106">
        <f>C79</f>
        <v>11828.271220396202</v>
      </c>
    </row>
    <row r="80" spans="2:7" x14ac:dyDescent="0.3">
      <c r="B80" s="77">
        <v>74</v>
      </c>
      <c r="C80" s="107">
        <v>11036.095197078837</v>
      </c>
      <c r="F80" s="77">
        <v>74</v>
      </c>
      <c r="G80" s="106">
        <f>C80</f>
        <v>11036.095197078837</v>
      </c>
    </row>
    <row r="81" spans="2:7" ht="15" thickBot="1" x14ac:dyDescent="0.35">
      <c r="B81" s="78" t="s">
        <v>83</v>
      </c>
      <c r="C81" s="108">
        <v>82555.492271527968</v>
      </c>
      <c r="F81" s="78" t="s">
        <v>83</v>
      </c>
      <c r="G81" s="106">
        <f>C81</f>
        <v>82555.492271527968</v>
      </c>
    </row>
    <row r="82" spans="2:7" x14ac:dyDescent="0.3">
      <c r="B82" s="80"/>
    </row>
    <row r="83" spans="2:7" x14ac:dyDescent="0.3">
      <c r="B83" s="80"/>
    </row>
    <row r="84" spans="2:7" x14ac:dyDescent="0.3">
      <c r="B84" s="80"/>
    </row>
    <row r="85" spans="2:7" x14ac:dyDescent="0.3">
      <c r="B85" s="80"/>
    </row>
  </sheetData>
  <mergeCells count="2">
    <mergeCell ref="B2:C3"/>
    <mergeCell ref="F2:G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Piramide poblacional</vt:lpstr>
      <vt:lpstr>Interpolacion de beers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montoya</dc:creator>
  <cp:lastModifiedBy>Angel Franco</cp:lastModifiedBy>
  <dcterms:created xsi:type="dcterms:W3CDTF">2017-10-29T19:57:25Z</dcterms:created>
  <dcterms:modified xsi:type="dcterms:W3CDTF">2017-11-02T05:00:01Z</dcterms:modified>
</cp:coreProperties>
</file>