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a\Downloads\"/>
    </mc:Choice>
  </mc:AlternateContent>
  <bookViews>
    <workbookView xWindow="0" yWindow="0" windowWidth="23040" windowHeight="9084" tabRatio="633"/>
  </bookViews>
  <sheets>
    <sheet name="Portada" sheetId="7" r:id="rId1"/>
    <sheet name="Población (CONAPO)" sheetId="9" r:id="rId2"/>
    <sheet name="Piramide poblacional" sheetId="13" r:id="rId3"/>
    <sheet name="Interpolación de Beers (CONAPO)" sheetId="10" r:id="rId4"/>
    <sheet name="Correción e Indice (CONAPO)" sheetId="12" r:id="rId5"/>
    <sheet name="Tablas de Mortalidad" sheetId="5" r:id="rId6"/>
  </sheets>
  <calcPr calcId="171027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17" i="12" l="1"/>
  <c r="G6" i="12" l="1"/>
  <c r="G10" i="13" l="1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9" i="13"/>
  <c r="K35" i="10"/>
  <c r="K30" i="10" l="1"/>
  <c r="G9" i="12" l="1"/>
  <c r="G8" i="12"/>
  <c r="G7" i="12"/>
  <c r="G105" i="12"/>
  <c r="G104" i="12"/>
  <c r="G103" i="12"/>
  <c r="G102" i="12"/>
  <c r="G106" i="12"/>
  <c r="G99" i="12"/>
  <c r="G100" i="12"/>
  <c r="G101" i="12"/>
  <c r="G90" i="12"/>
  <c r="G79" i="12"/>
  <c r="G80" i="12"/>
  <c r="G81" i="12"/>
  <c r="G82" i="12"/>
  <c r="G83" i="12"/>
  <c r="G84" i="12"/>
  <c r="G85" i="12"/>
  <c r="G86" i="12"/>
  <c r="G87" i="12"/>
  <c r="G88" i="12"/>
  <c r="G89" i="12"/>
  <c r="G91" i="12"/>
  <c r="G92" i="12"/>
  <c r="G93" i="12"/>
  <c r="G94" i="12"/>
  <c r="G95" i="12"/>
  <c r="G96" i="12"/>
  <c r="G97" i="12"/>
  <c r="G98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M16" i="12"/>
  <c r="G16" i="12"/>
  <c r="M15" i="12"/>
  <c r="G15" i="12"/>
  <c r="G14" i="12"/>
  <c r="G13" i="12"/>
  <c r="G12" i="12"/>
  <c r="G11" i="12"/>
  <c r="G10" i="12"/>
  <c r="Z107" i="10"/>
  <c r="Z106" i="10"/>
  <c r="Z105" i="10"/>
  <c r="Z104" i="10"/>
  <c r="Z103" i="10"/>
  <c r="Z102" i="10"/>
  <c r="Z101" i="10"/>
  <c r="Z100" i="10"/>
  <c r="Z99" i="10"/>
  <c r="Z98" i="10"/>
  <c r="Z97" i="10"/>
  <c r="Z96" i="10"/>
  <c r="Z95" i="10"/>
  <c r="Z94" i="10"/>
  <c r="Z93" i="10"/>
  <c r="Z92" i="10"/>
  <c r="Z91" i="10"/>
  <c r="Z90" i="10"/>
  <c r="Z89" i="10"/>
  <c r="Z88" i="10"/>
  <c r="Z87" i="10"/>
  <c r="Z86" i="10"/>
  <c r="Z85" i="10"/>
  <c r="Z84" i="10"/>
  <c r="Z83" i="10"/>
  <c r="Z82" i="10"/>
  <c r="Z81" i="10"/>
  <c r="Z80" i="10"/>
  <c r="Z79" i="10"/>
  <c r="Z78" i="10"/>
  <c r="Z77" i="10"/>
  <c r="Z76" i="10"/>
  <c r="Z75" i="10"/>
  <c r="Z74" i="10"/>
  <c r="Z73" i="10"/>
  <c r="Z72" i="10"/>
  <c r="Z71" i="10"/>
  <c r="Z70" i="10"/>
  <c r="Z69" i="10"/>
  <c r="Z68" i="10"/>
  <c r="Z67" i="10"/>
  <c r="Z66" i="10"/>
  <c r="Z65" i="10"/>
  <c r="Z64" i="10"/>
  <c r="Z63" i="10"/>
  <c r="Z62" i="10"/>
  <c r="Z61" i="10"/>
  <c r="Z60" i="10"/>
  <c r="Z59" i="10"/>
  <c r="Z58" i="10"/>
  <c r="Z57" i="10"/>
  <c r="Z56" i="10"/>
  <c r="Z55" i="10"/>
  <c r="Z54" i="10"/>
  <c r="Z53" i="10"/>
  <c r="Z52" i="10"/>
  <c r="Z51" i="10"/>
  <c r="Z50" i="10"/>
  <c r="Z49" i="10"/>
  <c r="Z48" i="10"/>
  <c r="Z47" i="10"/>
  <c r="Z46" i="10"/>
  <c r="Z45" i="10"/>
  <c r="Z44" i="10"/>
  <c r="Z43" i="10"/>
  <c r="Z42" i="10"/>
  <c r="Z41" i="10"/>
  <c r="Z40" i="10"/>
  <c r="Z39" i="10"/>
  <c r="Z38" i="10"/>
  <c r="Z37" i="10"/>
  <c r="Z36" i="10"/>
  <c r="Z35" i="10"/>
  <c r="Z34" i="10"/>
  <c r="Z33" i="10"/>
  <c r="Z32" i="10"/>
  <c r="Z31" i="10"/>
  <c r="Z30" i="10"/>
  <c r="Z29" i="10"/>
  <c r="Z28" i="10"/>
  <c r="Z27" i="10"/>
  <c r="K27" i="10"/>
  <c r="Z26" i="10"/>
  <c r="K26" i="10"/>
  <c r="Z25" i="10"/>
  <c r="K25" i="10"/>
  <c r="Z24" i="10"/>
  <c r="K24" i="10"/>
  <c r="Z23" i="10"/>
  <c r="K23" i="10"/>
  <c r="Z22" i="10"/>
  <c r="O24" i="10"/>
  <c r="K22" i="10"/>
  <c r="Z21" i="10"/>
  <c r="K21" i="10"/>
  <c r="U17" i="10" s="1" a="1"/>
  <c r="Z20" i="10"/>
  <c r="K20" i="10"/>
  <c r="U12" i="10" s="1" a="1"/>
  <c r="Z19" i="10"/>
  <c r="K19" i="10"/>
  <c r="Z18" i="10"/>
  <c r="K18" i="10"/>
  <c r="R37" i="10" s="1" a="1"/>
  <c r="Z17" i="10"/>
  <c r="O17" i="10" a="1"/>
  <c r="K17" i="10"/>
  <c r="Z16" i="10"/>
  <c r="K16" i="10"/>
  <c r="Z15" i="10"/>
  <c r="K15" i="10"/>
  <c r="Z14" i="10"/>
  <c r="K14" i="10"/>
  <c r="Z13" i="10"/>
  <c r="K13" i="10"/>
  <c r="Z12" i="10"/>
  <c r="U14" i="10"/>
  <c r="R13" i="10"/>
  <c r="R12" i="10" a="1"/>
  <c r="K12" i="10"/>
  <c r="R7" i="10" s="1" a="1"/>
  <c r="Z11" i="10"/>
  <c r="K11" i="10"/>
  <c r="O37" i="10" s="1" a="1"/>
  <c r="Z10" i="10"/>
  <c r="K10" i="10"/>
  <c r="O32" i="10" s="1" a="1"/>
  <c r="Z9" i="10"/>
  <c r="K9" i="10"/>
  <c r="O27" i="10" s="1" a="1"/>
  <c r="Z8" i="10"/>
  <c r="K8" i="10"/>
  <c r="O22" i="10" s="1" a="1"/>
  <c r="Z7" i="10"/>
  <c r="U7" i="10" a="1"/>
  <c r="R11" i="10"/>
  <c r="R9" i="10"/>
  <c r="R7" i="10"/>
  <c r="O8" i="10"/>
  <c r="O7" i="10" a="1"/>
  <c r="K7" i="10"/>
  <c r="O12" i="10" s="1" a="1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I8" i="9"/>
  <c r="H8" i="9"/>
  <c r="D11" i="9"/>
  <c r="D10" i="9"/>
  <c r="D9" i="9"/>
  <c r="D8" i="9"/>
  <c r="D7" i="9"/>
  <c r="D6" i="9"/>
  <c r="D5" i="9"/>
  <c r="O31" i="10" l="1"/>
  <c r="O29" i="10"/>
  <c r="O27" i="10"/>
  <c r="O30" i="10"/>
  <c r="O28" i="10"/>
  <c r="O36" i="10"/>
  <c r="O34" i="10"/>
  <c r="O32" i="10"/>
  <c r="O35" i="10"/>
  <c r="O33" i="10"/>
  <c r="U21" i="10"/>
  <c r="U19" i="10"/>
  <c r="U17" i="10"/>
  <c r="U20" i="10"/>
  <c r="U18" i="10"/>
  <c r="O15" i="10"/>
  <c r="O13" i="10"/>
  <c r="U11" i="10"/>
  <c r="U9" i="10"/>
  <c r="U7" i="10"/>
  <c r="U10" i="10"/>
  <c r="O12" i="10"/>
  <c r="O16" i="10"/>
  <c r="O21" i="10"/>
  <c r="O19" i="10"/>
  <c r="O17" i="10"/>
  <c r="O20" i="10"/>
  <c r="R40" i="10"/>
  <c r="R38" i="10"/>
  <c r="R41" i="10"/>
  <c r="R39" i="10"/>
  <c r="R37" i="10"/>
  <c r="S37" i="10" s="1"/>
  <c r="U15" i="10"/>
  <c r="U13" i="10"/>
  <c r="U22" i="10" a="1"/>
  <c r="U32" i="10" a="1"/>
  <c r="R22" i="10" a="1"/>
  <c r="U27" i="10" a="1"/>
  <c r="O11" i="10"/>
  <c r="O9" i="10"/>
  <c r="O7" i="10"/>
  <c r="O10" i="10"/>
  <c r="U8" i="10"/>
  <c r="O25" i="10"/>
  <c r="O23" i="10"/>
  <c r="O41" i="10"/>
  <c r="O39" i="10"/>
  <c r="O37" i="10"/>
  <c r="O40" i="10"/>
  <c r="O38" i="10"/>
  <c r="R10" i="10"/>
  <c r="R8" i="10"/>
  <c r="S7" i="10" s="1"/>
  <c r="O14" i="10"/>
  <c r="R16" i="10"/>
  <c r="R14" i="10"/>
  <c r="R12" i="10"/>
  <c r="R15" i="10"/>
  <c r="U12" i="10"/>
  <c r="U16" i="10"/>
  <c r="R17" i="10" a="1"/>
  <c r="R27" i="10" a="1"/>
  <c r="R32" i="10" a="1"/>
  <c r="O18" i="10"/>
  <c r="O22" i="10"/>
  <c r="O26" i="10"/>
  <c r="R30" i="10" l="1"/>
  <c r="R28" i="10"/>
  <c r="R31" i="10"/>
  <c r="R27" i="10"/>
  <c r="S27" i="10" s="1"/>
  <c r="R29" i="10"/>
  <c r="U31" i="10"/>
  <c r="U29" i="10"/>
  <c r="U27" i="10"/>
  <c r="U28" i="10"/>
  <c r="U30" i="10"/>
  <c r="U36" i="10"/>
  <c r="U34" i="10"/>
  <c r="U32" i="10"/>
  <c r="U35" i="10"/>
  <c r="U33" i="10"/>
  <c r="P17" i="10"/>
  <c r="P12" i="10"/>
  <c r="V7" i="10"/>
  <c r="P32" i="10"/>
  <c r="P22" i="10"/>
  <c r="R35" i="10"/>
  <c r="R33" i="10"/>
  <c r="R36" i="10"/>
  <c r="R34" i="10"/>
  <c r="R32" i="10"/>
  <c r="R20" i="10"/>
  <c r="R18" i="10"/>
  <c r="R19" i="10"/>
  <c r="R21" i="10"/>
  <c r="R17" i="10"/>
  <c r="S17" i="10" s="1"/>
  <c r="V12" i="10"/>
  <c r="S12" i="10"/>
  <c r="P37" i="10"/>
  <c r="P7" i="10"/>
  <c r="R26" i="10"/>
  <c r="R24" i="10"/>
  <c r="R22" i="10"/>
  <c r="R23" i="10"/>
  <c r="R25" i="10"/>
  <c r="U25" i="10"/>
  <c r="U23" i="10"/>
  <c r="U24" i="10"/>
  <c r="U26" i="10"/>
  <c r="U22" i="10"/>
  <c r="V22" i="10" s="1"/>
  <c r="V17" i="10"/>
  <c r="P27" i="10"/>
  <c r="J54" i="5"/>
  <c r="X53" i="5"/>
  <c r="V53" i="5"/>
  <c r="J53" i="5"/>
  <c r="G53" i="5"/>
  <c r="V52" i="5"/>
  <c r="W52" i="5" s="1"/>
  <c r="X52" i="5" s="1"/>
  <c r="J52" i="5"/>
  <c r="G52" i="5"/>
  <c r="V51" i="5"/>
  <c r="W51" i="5" s="1"/>
  <c r="X51" i="5" s="1"/>
  <c r="J51" i="5"/>
  <c r="G51" i="5"/>
  <c r="V50" i="5"/>
  <c r="W50" i="5" s="1"/>
  <c r="X50" i="5" s="1"/>
  <c r="J50" i="5"/>
  <c r="G50" i="5"/>
  <c r="V49" i="5"/>
  <c r="W49" i="5" s="1"/>
  <c r="X49" i="5" s="1"/>
  <c r="J49" i="5"/>
  <c r="G49" i="5"/>
  <c r="V48" i="5"/>
  <c r="W48" i="5" s="1"/>
  <c r="X48" i="5" s="1"/>
  <c r="J48" i="5"/>
  <c r="G48" i="5"/>
  <c r="J47" i="5"/>
  <c r="G47" i="5"/>
  <c r="V46" i="5"/>
  <c r="W46" i="5" s="1"/>
  <c r="X46" i="5" s="1"/>
  <c r="J46" i="5"/>
  <c r="G46" i="5"/>
  <c r="J45" i="5"/>
  <c r="G45" i="5"/>
  <c r="V44" i="5"/>
  <c r="W44" i="5" s="1"/>
  <c r="X44" i="5" s="1"/>
  <c r="J44" i="5"/>
  <c r="G44" i="5"/>
  <c r="J43" i="5"/>
  <c r="G43" i="5"/>
  <c r="V42" i="5"/>
  <c r="W42" i="5" s="1"/>
  <c r="X42" i="5" s="1"/>
  <c r="P42" i="5"/>
  <c r="O42" i="5"/>
  <c r="N42" i="5"/>
  <c r="M42" i="5"/>
  <c r="V27" i="5" s="1"/>
  <c r="J42" i="5"/>
  <c r="G42" i="5"/>
  <c r="N41" i="5"/>
  <c r="M41" i="5"/>
  <c r="V26" i="5" s="1"/>
  <c r="J41" i="5"/>
  <c r="G41" i="5"/>
  <c r="X40" i="5"/>
  <c r="N40" i="5"/>
  <c r="M40" i="5"/>
  <c r="V25" i="5" s="1"/>
  <c r="J40" i="5"/>
  <c r="G40" i="5"/>
  <c r="N39" i="5"/>
  <c r="M39" i="5"/>
  <c r="V24" i="5" s="1"/>
  <c r="J39" i="5"/>
  <c r="G39" i="5"/>
  <c r="N38" i="5"/>
  <c r="M38" i="5"/>
  <c r="V23" i="5" s="1"/>
  <c r="W23" i="5" s="1"/>
  <c r="X23" i="5" s="1"/>
  <c r="J38" i="5"/>
  <c r="G38" i="5"/>
  <c r="N37" i="5"/>
  <c r="M37" i="5"/>
  <c r="J37" i="5"/>
  <c r="G37" i="5"/>
  <c r="N36" i="5"/>
  <c r="V47" i="5" s="1"/>
  <c r="W47" i="5" s="1"/>
  <c r="X47" i="5" s="1"/>
  <c r="M36" i="5"/>
  <c r="V21" i="5" s="1"/>
  <c r="J36" i="5"/>
  <c r="G36" i="5"/>
  <c r="AE35" i="5"/>
  <c r="AE36" i="5" s="1"/>
  <c r="AE37" i="5" s="1"/>
  <c r="AE38" i="5" s="1"/>
  <c r="AE39" i="5" s="1"/>
  <c r="AE40" i="5" s="1"/>
  <c r="AE41" i="5" s="1"/>
  <c r="AE42" i="5" s="1"/>
  <c r="AE43" i="5" s="1"/>
  <c r="AE44" i="5" s="1"/>
  <c r="AE45" i="5" s="1"/>
  <c r="AE46" i="5" s="1"/>
  <c r="AE47" i="5" s="1"/>
  <c r="AE48" i="5" s="1"/>
  <c r="AE49" i="5" s="1"/>
  <c r="AE50" i="5" s="1"/>
  <c r="AE51" i="5" s="1"/>
  <c r="AE52" i="5" s="1"/>
  <c r="AE53" i="5" s="1"/>
  <c r="X35" i="5"/>
  <c r="N35" i="5"/>
  <c r="M35" i="5"/>
  <c r="J35" i="5"/>
  <c r="G35" i="5"/>
  <c r="N34" i="5"/>
  <c r="V45" i="5" s="1"/>
  <c r="W45" i="5" s="1"/>
  <c r="X45" i="5" s="1"/>
  <c r="M34" i="5"/>
  <c r="J34" i="5"/>
  <c r="G34" i="5"/>
  <c r="N33" i="5"/>
  <c r="M33" i="5"/>
  <c r="J33" i="5"/>
  <c r="G33" i="5"/>
  <c r="X32" i="5"/>
  <c r="N32" i="5"/>
  <c r="V43" i="5" s="1"/>
  <c r="W43" i="5" s="1"/>
  <c r="X43" i="5" s="1"/>
  <c r="M32" i="5"/>
  <c r="J32" i="5"/>
  <c r="G32" i="5"/>
  <c r="N31" i="5"/>
  <c r="M31" i="5"/>
  <c r="J31" i="5"/>
  <c r="G31" i="5"/>
  <c r="N30" i="5"/>
  <c r="V41" i="5" s="1"/>
  <c r="W41" i="5" s="1"/>
  <c r="X41" i="5" s="1"/>
  <c r="M30" i="5"/>
  <c r="J30" i="5"/>
  <c r="G30" i="5"/>
  <c r="N29" i="5"/>
  <c r="V40" i="5" s="1"/>
  <c r="W40" i="5" s="1"/>
  <c r="M29" i="5"/>
  <c r="J29" i="5"/>
  <c r="G29" i="5"/>
  <c r="N28" i="5"/>
  <c r="V39" i="5" s="1"/>
  <c r="W39" i="5" s="1"/>
  <c r="X39" i="5" s="1"/>
  <c r="M28" i="5"/>
  <c r="J28" i="5"/>
  <c r="G28" i="5"/>
  <c r="X27" i="5"/>
  <c r="N27" i="5"/>
  <c r="V38" i="5" s="1"/>
  <c r="W38" i="5" s="1"/>
  <c r="X38" i="5" s="1"/>
  <c r="M27" i="5"/>
  <c r="W26" i="5"/>
  <c r="X26" i="5" s="1"/>
  <c r="N26" i="5"/>
  <c r="V37" i="5" s="1"/>
  <c r="W37" i="5" s="1"/>
  <c r="X37" i="5" s="1"/>
  <c r="M26" i="5"/>
  <c r="W25" i="5"/>
  <c r="X25" i="5" s="1"/>
  <c r="N25" i="5"/>
  <c r="V36" i="5" s="1"/>
  <c r="W36" i="5" s="1"/>
  <c r="X36" i="5" s="1"/>
  <c r="M25" i="5"/>
  <c r="W24" i="5"/>
  <c r="X24" i="5" s="1"/>
  <c r="N24" i="5"/>
  <c r="V35" i="5" s="1"/>
  <c r="W35" i="5" s="1"/>
  <c r="M24" i="5"/>
  <c r="N23" i="5"/>
  <c r="V34" i="5" s="1"/>
  <c r="W34" i="5" s="1"/>
  <c r="X34" i="5" s="1"/>
  <c r="M23" i="5"/>
  <c r="J23" i="5"/>
  <c r="X22" i="5"/>
  <c r="V22" i="5"/>
  <c r="W22" i="5" s="1"/>
  <c r="P22" i="5"/>
  <c r="V33" i="5" s="1"/>
  <c r="W33" i="5" s="1"/>
  <c r="X33" i="5" s="1"/>
  <c r="O22" i="5"/>
  <c r="N22" i="5"/>
  <c r="M22" i="5"/>
  <c r="J22" i="5"/>
  <c r="G22" i="5"/>
  <c r="W21" i="5"/>
  <c r="X21" i="5" s="1"/>
  <c r="N21" i="5"/>
  <c r="V32" i="5" s="1"/>
  <c r="W32" i="5" s="1"/>
  <c r="Z32" i="5" s="1"/>
  <c r="M21" i="5"/>
  <c r="J21" i="5"/>
  <c r="G21" i="5"/>
  <c r="X20" i="5"/>
  <c r="V20" i="5"/>
  <c r="W20" i="5" s="1"/>
  <c r="J20" i="5"/>
  <c r="G20" i="5"/>
  <c r="X19" i="5"/>
  <c r="V19" i="5"/>
  <c r="W19" i="5" s="1"/>
  <c r="J19" i="5"/>
  <c r="G19" i="5"/>
  <c r="V18" i="5"/>
  <c r="W18" i="5" s="1"/>
  <c r="X18" i="5" s="1"/>
  <c r="J18" i="5"/>
  <c r="G18" i="5"/>
  <c r="V17" i="5"/>
  <c r="W17" i="5" s="1"/>
  <c r="X17" i="5" s="1"/>
  <c r="J17" i="5"/>
  <c r="G17" i="5"/>
  <c r="V16" i="5"/>
  <c r="W16" i="5" s="1"/>
  <c r="X16" i="5" s="1"/>
  <c r="J16" i="5"/>
  <c r="G16" i="5"/>
  <c r="X15" i="5"/>
  <c r="V15" i="5"/>
  <c r="W15" i="5" s="1"/>
  <c r="J15" i="5"/>
  <c r="G15" i="5"/>
  <c r="V14" i="5"/>
  <c r="W14" i="5" s="1"/>
  <c r="X14" i="5" s="1"/>
  <c r="J14" i="5"/>
  <c r="G14" i="5"/>
  <c r="V13" i="5"/>
  <c r="W13" i="5" s="1"/>
  <c r="X13" i="5" s="1"/>
  <c r="J13" i="5"/>
  <c r="G13" i="5"/>
  <c r="V12" i="5"/>
  <c r="W12" i="5" s="1"/>
  <c r="X12" i="5" s="1"/>
  <c r="J12" i="5"/>
  <c r="G12" i="5"/>
  <c r="X11" i="5"/>
  <c r="V11" i="5"/>
  <c r="W11" i="5" s="1"/>
  <c r="J11" i="5"/>
  <c r="G11" i="5"/>
  <c r="V10" i="5"/>
  <c r="W10" i="5" s="1"/>
  <c r="X10" i="5" s="1"/>
  <c r="J10" i="5"/>
  <c r="G10" i="5"/>
  <c r="AE9" i="5"/>
  <c r="AE10" i="5" s="1"/>
  <c r="AE11" i="5" s="1"/>
  <c r="AE12" i="5" s="1"/>
  <c r="AE13" i="5" s="1"/>
  <c r="AE14" i="5" s="1"/>
  <c r="AE15" i="5" s="1"/>
  <c r="AE16" i="5" s="1"/>
  <c r="AE17" i="5" s="1"/>
  <c r="AE18" i="5" s="1"/>
  <c r="AE19" i="5" s="1"/>
  <c r="AE20" i="5" s="1"/>
  <c r="AE21" i="5" s="1"/>
  <c r="AE22" i="5" s="1"/>
  <c r="AE23" i="5" s="1"/>
  <c r="AE24" i="5" s="1"/>
  <c r="AE25" i="5" s="1"/>
  <c r="AE26" i="5" s="1"/>
  <c r="AE27" i="5" s="1"/>
  <c r="X9" i="5"/>
  <c r="V9" i="5"/>
  <c r="W9" i="5" s="1"/>
  <c r="J9" i="5"/>
  <c r="G9" i="5"/>
  <c r="W8" i="5"/>
  <c r="X8" i="5" s="1"/>
  <c r="V8" i="5"/>
  <c r="J8" i="5"/>
  <c r="G8" i="5"/>
  <c r="V7" i="5"/>
  <c r="W7" i="5" s="1"/>
  <c r="X7" i="5" s="1"/>
  <c r="J7" i="5"/>
  <c r="G7" i="5"/>
  <c r="V6" i="5"/>
  <c r="W6" i="5" s="1"/>
  <c r="J6" i="5"/>
  <c r="G6" i="5"/>
  <c r="J5" i="5"/>
  <c r="G5" i="5"/>
  <c r="J4" i="5"/>
  <c r="Q21" i="5" s="1"/>
  <c r="G4" i="5"/>
  <c r="V27" i="10" l="1"/>
  <c r="S22" i="10"/>
  <c r="S32" i="10"/>
  <c r="V32" i="10"/>
  <c r="Z6" i="5"/>
  <c r="X6" i="5"/>
  <c r="Q22" i="5"/>
  <c r="Y33" i="5"/>
  <c r="AD32" i="5"/>
  <c r="AA32" i="5" l="1"/>
  <c r="Z33" i="5"/>
  <c r="AD33" i="5" s="1"/>
  <c r="Y7" i="5"/>
  <c r="AD6" i="5"/>
  <c r="Z7" i="5" l="1"/>
  <c r="AD7" i="5" s="1"/>
  <c r="AA6" i="5"/>
  <c r="Y34" i="5"/>
  <c r="Y8" i="5" l="1"/>
  <c r="Z8" i="5" s="1"/>
  <c r="Z34" i="5"/>
  <c r="AD34" i="5" s="1"/>
  <c r="Y35" i="5"/>
  <c r="AA33" i="5"/>
  <c r="AD8" i="5" l="1"/>
  <c r="Y9" i="5"/>
  <c r="AA7" i="5"/>
  <c r="Z9" i="5"/>
  <c r="AD9" i="5" s="1"/>
  <c r="AA8" i="5"/>
  <c r="Z35" i="5"/>
  <c r="AD35" i="5" s="1"/>
  <c r="Y36" i="5"/>
  <c r="AA34" i="5"/>
  <c r="AA35" i="5" l="1"/>
  <c r="Z36" i="5"/>
  <c r="AD36" i="5" s="1"/>
  <c r="Y10" i="5"/>
  <c r="AA9" i="5" l="1"/>
  <c r="Z10" i="5"/>
  <c r="AD10" i="5" s="1"/>
  <c r="Y37" i="5"/>
  <c r="Y11" i="5" l="1"/>
  <c r="AA36" i="5"/>
  <c r="Z37" i="5"/>
  <c r="AD37" i="5" s="1"/>
  <c r="Y38" i="5"/>
  <c r="AA37" i="5" l="1"/>
  <c r="Z38" i="5"/>
  <c r="AD38" i="5" s="1"/>
  <c r="Y39" i="5"/>
  <c r="Z11" i="5"/>
  <c r="AD11" i="5" s="1"/>
  <c r="AA10" i="5"/>
  <c r="AA38" i="5" l="1"/>
  <c r="Z39" i="5"/>
  <c r="AD39" i="5" s="1"/>
  <c r="Y12" i="5"/>
  <c r="AA11" i="5" l="1"/>
  <c r="Z12" i="5"/>
  <c r="AD12" i="5" s="1"/>
  <c r="Y40" i="5"/>
  <c r="Y13" i="5" l="1"/>
  <c r="AA39" i="5"/>
  <c r="Z40" i="5"/>
  <c r="AD40" i="5" s="1"/>
  <c r="Z13" i="5" l="1"/>
  <c r="AD13" i="5" s="1"/>
  <c r="AA12" i="5"/>
  <c r="Y41" i="5"/>
  <c r="Y14" i="5" l="1"/>
  <c r="Y42" i="5"/>
  <c r="AA40" i="5"/>
  <c r="Z41" i="5"/>
  <c r="AD41" i="5" s="1"/>
  <c r="AA41" i="5" l="1"/>
  <c r="Z42" i="5"/>
  <c r="AD42" i="5" s="1"/>
  <c r="AA13" i="5"/>
  <c r="Z14" i="5"/>
  <c r="AD14" i="5" s="1"/>
  <c r="Y15" i="5" l="1"/>
  <c r="Z15" i="5" s="1"/>
  <c r="AD15" i="5" s="1"/>
  <c r="Y43" i="5"/>
  <c r="AA14" i="5" l="1"/>
  <c r="Z43" i="5"/>
  <c r="AD43" i="5" s="1"/>
  <c r="AA42" i="5"/>
  <c r="Y16" i="5"/>
  <c r="AA15" i="5" l="1"/>
  <c r="Z16" i="5"/>
  <c r="AD16" i="5" s="1"/>
  <c r="Y44" i="5"/>
  <c r="AA43" i="5" l="1"/>
  <c r="Z44" i="5"/>
  <c r="AD44" i="5" s="1"/>
  <c r="Y17" i="5"/>
  <c r="Y45" i="5" l="1"/>
  <c r="Z17" i="5"/>
  <c r="AD17" i="5" s="1"/>
  <c r="AA16" i="5"/>
  <c r="Y18" i="5" l="1"/>
  <c r="Z45" i="5"/>
  <c r="AD45" i="5" s="1"/>
  <c r="AA44" i="5"/>
  <c r="AA17" i="5" l="1"/>
  <c r="Z18" i="5"/>
  <c r="AD18" i="5" s="1"/>
  <c r="Y46" i="5"/>
  <c r="Y19" i="5" l="1"/>
  <c r="AA45" i="5"/>
  <c r="Z46" i="5"/>
  <c r="AD46" i="5" s="1"/>
  <c r="Y47" i="5" l="1"/>
  <c r="Z19" i="5"/>
  <c r="AD19" i="5" s="1"/>
  <c r="AA18" i="5"/>
  <c r="Y20" i="5" l="1"/>
  <c r="Z47" i="5"/>
  <c r="AD47" i="5" s="1"/>
  <c r="AA46" i="5"/>
  <c r="Y48" i="5" l="1"/>
  <c r="Z20" i="5"/>
  <c r="AD20" i="5" s="1"/>
  <c r="AA19" i="5"/>
  <c r="Y21" i="5"/>
  <c r="Z21" i="5" l="1"/>
  <c r="AD21" i="5" s="1"/>
  <c r="AA20" i="5"/>
  <c r="Y49" i="5"/>
  <c r="AA47" i="5"/>
  <c r="Z48" i="5"/>
  <c r="AD48" i="5" s="1"/>
  <c r="Y22" i="5" l="1"/>
  <c r="Y50" i="5"/>
  <c r="AA48" i="5"/>
  <c r="Z49" i="5"/>
  <c r="AD49" i="5" s="1"/>
  <c r="Y51" i="5" l="1"/>
  <c r="AA49" i="5"/>
  <c r="Z50" i="5"/>
  <c r="AD50" i="5" s="1"/>
  <c r="AA21" i="5"/>
  <c r="Z22" i="5"/>
  <c r="AD22" i="5" s="1"/>
  <c r="Y52" i="5" l="1"/>
  <c r="AA50" i="5"/>
  <c r="Z51" i="5"/>
  <c r="AD51" i="5" s="1"/>
  <c r="Y23" i="5"/>
  <c r="Z23" i="5" l="1"/>
  <c r="AD23" i="5" s="1"/>
  <c r="AA22" i="5"/>
  <c r="AA51" i="5"/>
  <c r="Z52" i="5"/>
  <c r="AD52" i="5" s="1"/>
  <c r="Y53" i="5" l="1"/>
  <c r="Y24" i="5"/>
  <c r="Z24" i="5" l="1"/>
  <c r="AD24" i="5" s="1"/>
  <c r="AA23" i="5"/>
  <c r="Z53" i="5"/>
  <c r="AA52" i="5"/>
  <c r="Y25" i="5" l="1"/>
  <c r="Z25" i="5" s="1"/>
  <c r="AD25" i="5" s="1"/>
  <c r="AD53" i="5"/>
  <c r="AA53" i="5"/>
  <c r="AB53" i="5" s="1"/>
  <c r="AC53" i="5" s="1"/>
  <c r="AA24" i="5" l="1"/>
  <c r="Y26" i="5"/>
  <c r="AA25" i="5" s="1"/>
  <c r="AB52" i="5"/>
  <c r="Z26" i="5"/>
  <c r="AD26" i="5" s="1"/>
  <c r="Y27" i="5" l="1"/>
  <c r="AC52" i="5"/>
  <c r="AB51" i="5"/>
  <c r="AA26" i="5" l="1"/>
  <c r="Z27" i="5"/>
  <c r="AC51" i="5"/>
  <c r="AB50" i="5"/>
  <c r="AC50" i="5" l="1"/>
  <c r="AB49" i="5"/>
  <c r="AA27" i="5"/>
  <c r="AB27" i="5" s="1"/>
  <c r="AD27" i="5"/>
  <c r="AC27" i="5" l="1"/>
  <c r="AB26" i="5"/>
  <c r="AC49" i="5"/>
  <c r="AB48" i="5"/>
  <c r="AC48" i="5" l="1"/>
  <c r="AB47" i="5"/>
  <c r="AB25" i="5"/>
  <c r="AC26" i="5"/>
  <c r="AB24" i="5" l="1"/>
  <c r="AC25" i="5"/>
  <c r="AC47" i="5"/>
  <c r="AB46" i="5"/>
  <c r="AB23" i="5" l="1"/>
  <c r="AC24" i="5"/>
  <c r="AC46" i="5"/>
  <c r="AB45" i="5"/>
  <c r="AC45" i="5" l="1"/>
  <c r="AB44" i="5"/>
  <c r="AC23" i="5"/>
  <c r="AB22" i="5"/>
  <c r="AB21" i="5" l="1"/>
  <c r="AC22" i="5"/>
  <c r="AC44" i="5"/>
  <c r="AB43" i="5"/>
  <c r="AC43" i="5" l="1"/>
  <c r="AB42" i="5"/>
  <c r="AC21" i="5"/>
  <c r="AB20" i="5"/>
  <c r="AC42" i="5" l="1"/>
  <c r="AB41" i="5"/>
  <c r="AC20" i="5"/>
  <c r="AB19" i="5"/>
  <c r="AC41" i="5" l="1"/>
  <c r="AB40" i="5"/>
  <c r="AC19" i="5"/>
  <c r="AB18" i="5"/>
  <c r="AC40" i="5" l="1"/>
  <c r="AB39" i="5"/>
  <c r="AC18" i="5"/>
  <c r="AB17" i="5"/>
  <c r="AC39" i="5" l="1"/>
  <c r="AB38" i="5"/>
  <c r="AB16" i="5"/>
  <c r="AC17" i="5"/>
  <c r="AC38" i="5" l="1"/>
  <c r="AB37" i="5"/>
  <c r="AC16" i="5"/>
  <c r="AB15" i="5"/>
  <c r="AC37" i="5" l="1"/>
  <c r="AB36" i="5"/>
  <c r="AB14" i="5"/>
  <c r="AC15" i="5"/>
  <c r="AC36" i="5" l="1"/>
  <c r="AB35" i="5"/>
  <c r="AC14" i="5"/>
  <c r="AB13" i="5"/>
  <c r="AB12" i="5" l="1"/>
  <c r="AC13" i="5"/>
  <c r="AC35" i="5"/>
  <c r="AB34" i="5"/>
  <c r="AC34" i="5" l="1"/>
  <c r="AB33" i="5"/>
  <c r="AC12" i="5"/>
  <c r="AB11" i="5"/>
  <c r="AB10" i="5" l="1"/>
  <c r="AC11" i="5"/>
  <c r="AC33" i="5"/>
  <c r="AB32" i="5"/>
  <c r="AC32" i="5" s="1"/>
  <c r="AF32" i="5" l="1"/>
  <c r="AF33" i="5"/>
  <c r="AG33" i="5" s="1"/>
  <c r="AF34" i="5"/>
  <c r="AG34" i="5" s="1"/>
  <c r="AF35" i="5"/>
  <c r="AG35" i="5" s="1"/>
  <c r="AF36" i="5"/>
  <c r="AG36" i="5" s="1"/>
  <c r="AF37" i="5"/>
  <c r="AG37" i="5" s="1"/>
  <c r="AF38" i="5"/>
  <c r="AG38" i="5" s="1"/>
  <c r="AF39" i="5"/>
  <c r="AG39" i="5" s="1"/>
  <c r="AF40" i="5"/>
  <c r="AG40" i="5" s="1"/>
  <c r="AF41" i="5"/>
  <c r="AG41" i="5" s="1"/>
  <c r="AF42" i="5"/>
  <c r="AG42" i="5" s="1"/>
  <c r="AF43" i="5"/>
  <c r="AG43" i="5" s="1"/>
  <c r="AF44" i="5"/>
  <c r="AG44" i="5" s="1"/>
  <c r="AF45" i="5"/>
  <c r="AG45" i="5" s="1"/>
  <c r="AF46" i="5"/>
  <c r="AG46" i="5" s="1"/>
  <c r="AF47" i="5"/>
  <c r="AG47" i="5" s="1"/>
  <c r="AC10" i="5"/>
  <c r="AB9" i="5"/>
  <c r="AB8" i="5" l="1"/>
  <c r="AC9" i="5"/>
  <c r="AG32" i="5"/>
  <c r="AG54" i="5" s="1"/>
  <c r="AF54" i="5"/>
  <c r="AB7" i="5" l="1"/>
  <c r="AC8" i="5"/>
  <c r="AC7" i="5" l="1"/>
  <c r="AB6" i="5"/>
  <c r="AC6" i="5" s="1"/>
  <c r="AF6" i="5" l="1"/>
  <c r="AF7" i="5"/>
  <c r="AG7" i="5" s="1"/>
  <c r="AF8" i="5"/>
  <c r="AG8" i="5" s="1"/>
  <c r="AF9" i="5"/>
  <c r="AG9" i="5" s="1"/>
  <c r="AF10" i="5"/>
  <c r="AG10" i="5" s="1"/>
  <c r="AF11" i="5"/>
  <c r="AG11" i="5" s="1"/>
  <c r="AF12" i="5"/>
  <c r="AG12" i="5" s="1"/>
  <c r="AF13" i="5"/>
  <c r="AG13" i="5" s="1"/>
  <c r="AF14" i="5"/>
  <c r="AG14" i="5" s="1"/>
  <c r="AF15" i="5"/>
  <c r="AG15" i="5" s="1"/>
  <c r="AF16" i="5"/>
  <c r="AG16" i="5" s="1"/>
  <c r="AF17" i="5"/>
  <c r="AG17" i="5" s="1"/>
  <c r="AF18" i="5"/>
  <c r="AG18" i="5" s="1"/>
  <c r="AF19" i="5"/>
  <c r="AG19" i="5" s="1"/>
  <c r="AF20" i="5"/>
  <c r="AG20" i="5" s="1"/>
  <c r="AF28" i="5" l="1"/>
  <c r="AG6" i="5"/>
  <c r="AG28" i="5" s="1"/>
</calcChain>
</file>

<file path=xl/sharedStrings.xml><?xml version="1.0" encoding="utf-8"?>
<sst xmlns="http://schemas.openxmlformats.org/spreadsheetml/2006/main" count="294" uniqueCount="131">
  <si>
    <t>Hombres</t>
  </si>
  <si>
    <t>Mujeres</t>
  </si>
  <si>
    <t>Porcentajes</t>
  </si>
  <si>
    <t>Edad</t>
  </si>
  <si>
    <t>De 0 a 4 años</t>
  </si>
  <si>
    <t>De 5 a 9 años</t>
  </si>
  <si>
    <t>De 10 a 14 años</t>
  </si>
  <si>
    <t>De 15 a 19 años</t>
  </si>
  <si>
    <t>De 20 a 24 años</t>
  </si>
  <si>
    <t>De 25 a 29 años</t>
  </si>
  <si>
    <t>De 30 a 34 años</t>
  </si>
  <si>
    <t>De 35 a 39 años</t>
  </si>
  <si>
    <t>De 40 a 44 años</t>
  </si>
  <si>
    <t>De 45 a 49 años</t>
  </si>
  <si>
    <t>De 50 a 54 años</t>
  </si>
  <si>
    <t>De 55 a 59 años</t>
  </si>
  <si>
    <t>De 60 a 64 años</t>
  </si>
  <si>
    <t>De 65 a 69 años</t>
  </si>
  <si>
    <t>De 70 a 74 años</t>
  </si>
  <si>
    <t>Interpolation Coefficients based on the Beers "Ordinary" Formula</t>
  </si>
  <si>
    <t>For subdivision of groups into fifiths</t>
  </si>
  <si>
    <t>Interpolated
subgroup</t>
  </si>
  <si>
    <t>Coefficients to be applied to</t>
  </si>
  <si>
    <t>G1</t>
  </si>
  <si>
    <t>G2</t>
  </si>
  <si>
    <t>G3</t>
  </si>
  <si>
    <t>G4</t>
  </si>
  <si>
    <t>G5</t>
  </si>
  <si>
    <t>First panel</t>
  </si>
  <si>
    <t>Población</t>
  </si>
  <si>
    <t>Pob</t>
  </si>
  <si>
    <t>1st fifth of G1</t>
  </si>
  <si>
    <t>2nd fifth of G1</t>
  </si>
  <si>
    <t>3th fifth of G1</t>
  </si>
  <si>
    <t>4th fifth of G1</t>
  </si>
  <si>
    <t>5th fifth of G1</t>
  </si>
  <si>
    <t>Next to first panel</t>
  </si>
  <si>
    <t>1st fifth of G2</t>
  </si>
  <si>
    <t>2nd fifth of G2</t>
  </si>
  <si>
    <t>3th fifth of G2</t>
  </si>
  <si>
    <t>4th fifth of G2</t>
  </si>
  <si>
    <t>5th fifth of G2</t>
  </si>
  <si>
    <t>Middle panel</t>
  </si>
  <si>
    <t>1st fifth of G3</t>
  </si>
  <si>
    <t>2nd fifth of G3</t>
  </si>
  <si>
    <t>3th fifth of G3</t>
  </si>
  <si>
    <t>4th fifth of G3</t>
  </si>
  <si>
    <t>5th fifth of G3</t>
  </si>
  <si>
    <t>Next to last panel</t>
  </si>
  <si>
    <t>1st fifth of G4</t>
  </si>
  <si>
    <t>2nd fifth of G4</t>
  </si>
  <si>
    <t>3th fifth of G4</t>
  </si>
  <si>
    <t>4th fifth of G4</t>
  </si>
  <si>
    <t>5th fifth of G4</t>
  </si>
  <si>
    <t>Last panel</t>
  </si>
  <si>
    <t>1st fifth of G5</t>
  </si>
  <si>
    <t>2nd fifth of G5</t>
  </si>
  <si>
    <t>3th fifth of G5</t>
  </si>
  <si>
    <t>4th fifth of G5</t>
  </si>
  <si>
    <t>5th fifth of G5</t>
  </si>
  <si>
    <t xml:space="preserve">Source: Beers, Henry S. (1945) "Six-Term Formulas for Routine Actuarial 
Interpolation" in Discussion of Papers Presented in the Record, No.68, The 
Record of the American Institute of Actuaries, 34, Part I (69):59-60. </t>
  </si>
  <si>
    <t>Población interpolada por el metodo de Beers.</t>
  </si>
  <si>
    <t>Población corregida por el metodo de 1/16</t>
  </si>
  <si>
    <t>DESCRIP</t>
  </si>
  <si>
    <t>TOTAL</t>
  </si>
  <si>
    <t>Corregida</t>
  </si>
  <si>
    <t>Menores de un año</t>
  </si>
  <si>
    <t>HOMBRES</t>
  </si>
  <si>
    <t>De un año</t>
  </si>
  <si>
    <t>n</t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</si>
  <si>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m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</si>
  <si>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q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</si>
  <si>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p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</si>
  <si>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4"/>
        <color rgb="FF000000"/>
        <rFont val="Calibri"/>
        <family val="2"/>
        <charset val="1"/>
      </rPr>
      <t>l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</si>
  <si>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d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</si>
  <si>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L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</si>
  <si>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T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</si>
  <si>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4"/>
        <color rgb="FF000000"/>
        <rFont val="Calibri"/>
        <family val="2"/>
        <charset val="1"/>
      </rPr>
      <t>e°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</si>
  <si>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d</t>
    </r>
    <r>
      <rPr>
        <b/>
        <sz val="11"/>
        <color rgb="FF000000"/>
        <rFont val="Calibri"/>
        <family val="2"/>
        <charset val="1"/>
      </rPr>
      <t>x,j</t>
    </r>
  </si>
  <si>
    <t>x</t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</si>
  <si>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AEVP</t>
    </r>
    <r>
      <rPr>
        <b/>
        <sz val="11"/>
        <color rgb="FF000000"/>
        <rFont val="Calibri"/>
        <family val="2"/>
        <charset val="1"/>
      </rPr>
      <t>x,j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</si>
  <si>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i/>
        <sz val="16"/>
        <color rgb="FF000000"/>
        <rFont val="Calibri"/>
        <family val="2"/>
        <charset val="1"/>
      </rPr>
      <t>avpp</t>
    </r>
    <r>
      <rPr>
        <b/>
        <sz val="11"/>
        <color rgb="FF000000"/>
        <rFont val="Calibri"/>
        <family val="2"/>
        <charset val="1"/>
      </rPr>
      <t>x,j</t>
    </r>
  </si>
  <si>
    <t>De 4 años</t>
  </si>
  <si>
    <t>De 2 años</t>
  </si>
  <si>
    <t>Defunciones</t>
  </si>
  <si>
    <t>Defunciones por agresiones</t>
  </si>
  <si>
    <t>De 75 a 79 años</t>
  </si>
  <si>
    <t>ax</t>
  </si>
  <si>
    <t>De 80 a 84 años</t>
  </si>
  <si>
    <t>De 85 a 89 años</t>
  </si>
  <si>
    <t>1-4</t>
  </si>
  <si>
    <t>Edad no  especificada</t>
  </si>
  <si>
    <t>5-9</t>
  </si>
  <si>
    <t>10-14</t>
  </si>
  <si>
    <t>15-19</t>
  </si>
  <si>
    <t>20-24</t>
  </si>
  <si>
    <t>Coregida</t>
  </si>
  <si>
    <t>25-29</t>
  </si>
  <si>
    <t>30-34</t>
  </si>
  <si>
    <t>35-39</t>
  </si>
  <si>
    <t>40-44</t>
  </si>
  <si>
    <t>MUJERES</t>
  </si>
  <si>
    <t>De 3 años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</si>
  <si>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</si>
  <si>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</si>
  <si>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</si>
  <si>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</si>
  <si>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</si>
  <si>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</si>
  <si>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</si>
  <si>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</si>
  <si>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</si>
  <si>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</si>
  <si>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95-99</t>
  </si>
  <si>
    <t>100+</t>
  </si>
  <si>
    <t>De 90 a 94 años</t>
  </si>
  <si>
    <t>De 95 a 99 años</t>
  </si>
  <si>
    <t>De 100 a 104 años</t>
  </si>
  <si>
    <t>De 105 a 109 años</t>
  </si>
  <si>
    <t>De 110 a 114 años</t>
  </si>
  <si>
    <t>Total</t>
  </si>
  <si>
    <t>Indice De Whipple para los digitos 0 y 5</t>
  </si>
  <si>
    <t>0-4</t>
  </si>
  <si>
    <t xml:space="preserve">P. Real </t>
  </si>
  <si>
    <t>P. estimada</t>
  </si>
  <si>
    <t>ECM</t>
  </si>
  <si>
    <t>Mas de 100 años</t>
  </si>
  <si>
    <t>Más de 100</t>
  </si>
  <si>
    <t>Grupos quinquenales</t>
  </si>
  <si>
    <t>En promedio se pirede   personas por edad</t>
  </si>
  <si>
    <t>Población de Chihuahua.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</si>
</sst>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_-;\-* #,##0.00_-;_-* \-??_-;_-@_-"/>
    <numFmt numFmtId="165" formatCode="_-* #,##0_-;\-* #,##0_-;_-* \-??_-;_-@_-"/>
    <numFmt numFmtId="166" formatCode="_-* #,##0.0000_-;\-* #,##0.0000_-;_-* \-??_-;_-@_-"/>
    <numFmt numFmtId="167" formatCode="###0.000000"/>
    <numFmt numFmtId="168" formatCode="_-* #,##0.000_-;\-* #,##0.000_-;_-* &quot;-&quot;??_-;_-@_-"/>
    <numFmt numFmtId="169" formatCode="#,##0.000"/>
    <numFmt numFmtId="170" formatCode="0.000%"/>
  </numFmts>
  <fonts count="33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rgb="FF000000"/>
      <name val="Book Antiqua"/>
      <family val="1"/>
      <charset val="1"/>
    </font>
    <font>
      <b/>
      <sz val="11"/>
      <color rgb="FF000000"/>
      <name val="Calibri"/>
      <family val="2"/>
      <charset val="1"/>
    </font>
    <font>
      <b/>
      <sz val="9"/>
      <color rgb="FF000000"/>
      <name val="Calibri"/>
      <family val="2"/>
      <charset val="1"/>
    </font>
    <font>
      <b/>
      <sz val="9"/>
      <name val="Arial"/>
      <family val="2"/>
      <charset val="1"/>
    </font>
    <font>
      <b/>
      <sz val="10"/>
      <name val="Arial"/>
      <family val="2"/>
      <charset val="1"/>
    </font>
    <font>
      <sz val="12"/>
      <color rgb="FF000000"/>
      <name val="Calibri"/>
      <family val="2"/>
      <charset val="1"/>
    </font>
    <font>
      <sz val="10"/>
      <name val="Arial"/>
      <family val="2"/>
      <charset val="1"/>
    </font>
    <font>
      <i/>
      <sz val="10"/>
      <name val="Arial"/>
      <family val="2"/>
      <charset val="1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i/>
      <sz val="11"/>
      <color rgb="FF000000"/>
      <name val="Calibri"/>
      <family val="2"/>
      <charset val="1"/>
    </font>
    <font>
      <sz val="10"/>
      <name val="Times New Roman"/>
      <family val="1"/>
      <charset val="1"/>
    </font>
    <font>
      <b/>
      <sz val="14"/>
      <color rgb="FF000000"/>
      <name val="Calibri"/>
      <family val="2"/>
      <charset val="1"/>
    </font>
    <font>
      <b/>
      <i/>
      <sz val="16"/>
      <color rgb="FF000000"/>
      <name val="Calibri"/>
      <family val="2"/>
      <charset val="1"/>
    </font>
    <font>
      <b/>
      <sz val="14"/>
      <color rgb="FFFF0000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1"/>
      <color theme="1"/>
      <name val="Calibri"/>
      <family val="2"/>
      <scheme val="minor"/>
    </font>
    <font>
      <b/>
      <i/>
      <sz val="10"/>
      <color rgb="FF000000"/>
      <name val="Calibri"/>
      <family val="2"/>
    </font>
    <font>
      <b/>
      <i/>
      <sz val="16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b/>
      <sz val="12"/>
      <color rgb="FF000000"/>
      <name val="Calibri"/>
      <family val="2"/>
      <charset val="1"/>
    </font>
    <font>
      <sz val="11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FF0000"/>
      <name val="Calibri"/>
      <family val="2"/>
    </font>
    <font>
      <b/>
      <i/>
      <sz val="11"/>
      <color rgb="FF00000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rgb="FFFF0000"/>
      <name val="Calibri"/>
      <family val="2"/>
    </font>
    <font>
      <b/>
      <i/>
      <sz val="11"/>
      <color rgb="FF000000"/>
      <name val="Calibri"/>
      <family val="2"/>
    </font>
    <font>
      <b/>
      <sz val="10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FFFFFF"/>
        <bgColor rgb="FFE3FDFC"/>
      </patternFill>
    </fill>
    <fill>
      <patternFill patternType="solid">
        <fgColor rgb="FFFFFF00"/>
        <bgColor rgb="FFCCFF00"/>
      </patternFill>
    </fill>
    <fill>
      <patternFill patternType="solid">
        <fgColor rgb="FF99FF99"/>
        <bgColor rgb="FFCBFDB5"/>
      </patternFill>
    </fill>
    <fill>
      <patternFill patternType="solid">
        <fgColor rgb="FFD9D9D9"/>
        <bgColor rgb="FFE0E0E0"/>
      </patternFill>
    </fill>
    <fill>
      <patternFill patternType="solid">
        <fgColor rgb="FF2DFF2D"/>
        <bgColor rgb="FF34F0EC"/>
      </patternFill>
    </fill>
    <fill>
      <patternFill patternType="solid">
        <fgColor rgb="FF34F0EC"/>
        <bgColor rgb="FF00FFFF"/>
      </patternFill>
    </fill>
    <fill>
      <patternFill patternType="solid">
        <fgColor rgb="FFCBFDB5"/>
        <bgColor rgb="FFE3FDFC"/>
      </patternFill>
    </fill>
    <fill>
      <patternFill patternType="solid">
        <fgColor rgb="FFE3FDFC"/>
        <bgColor rgb="FFFFFFFF"/>
      </patternFill>
    </fill>
    <fill>
      <patternFill patternType="solid">
        <fgColor rgb="FFC5ECFF"/>
        <bgColor rgb="FFE0E5EB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D3F0FD"/>
        <bgColor rgb="FFFFFF00"/>
      </patternFill>
    </fill>
    <fill>
      <patternFill patternType="solid">
        <fgColor rgb="FF00B0F0"/>
        <bgColor indexed="64"/>
      </patternFill>
    </fill>
    <fill>
      <patternFill patternType="solid">
        <fgColor rgb="FF65FF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7FF"/>
        <bgColor rgb="FFFFFF00"/>
      </patternFill>
    </fill>
    <fill>
      <patternFill patternType="solid">
        <fgColor rgb="FFFFABFF"/>
        <bgColor indexed="64"/>
      </patternFill>
    </fill>
    <fill>
      <patternFill patternType="solid">
        <fgColor rgb="FF65FF65"/>
        <bgColor rgb="FFFF8080"/>
      </patternFill>
    </fill>
    <fill>
      <patternFill patternType="solid">
        <fgColor rgb="FFFFABFF"/>
        <bgColor rgb="FFFF8080"/>
      </patternFill>
    </fill>
    <fill>
      <patternFill patternType="solid">
        <fgColor rgb="FF00B0F0"/>
        <bgColor rgb="FFFF8080"/>
      </patternFill>
    </fill>
    <fill>
      <patternFill patternType="solid">
        <fgColor rgb="FFD3F0FD"/>
        <bgColor rgb="FF9AE2FC"/>
      </patternFill>
    </fill>
    <fill>
      <patternFill patternType="solid">
        <fgColor rgb="FFFFE7FF"/>
        <bgColor rgb="FF9AE2FC"/>
      </patternFill>
    </fill>
    <fill>
      <patternFill patternType="solid">
        <fgColor rgb="FFB9FFB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4EEEE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E7FF"/>
        <bgColor indexed="64"/>
      </patternFill>
    </fill>
    <fill>
      <patternFill patternType="solid">
        <fgColor rgb="FFFFCCFF"/>
        <bgColor rgb="FFFFCB97"/>
      </patternFill>
    </fill>
    <fill>
      <patternFill patternType="solid">
        <fgColor rgb="FF64EEEE"/>
        <bgColor rgb="FF99FFFF"/>
      </patternFill>
    </fill>
    <fill>
      <patternFill patternType="solid">
        <fgColor rgb="FFD2F8FE"/>
        <bgColor indexed="64"/>
      </patternFill>
    </fill>
    <fill>
      <patternFill patternType="solid">
        <fgColor rgb="FFE8FBFE"/>
        <bgColor indexed="64"/>
      </patternFill>
    </fill>
    <fill>
      <patternFill patternType="solid">
        <fgColor rgb="FF9BFF9B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D3F0FD"/>
        <bgColor indexed="64"/>
      </patternFill>
    </fill>
  </fills>
  <borders count="5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164" fontId="18" fillId="0" borderId="0" applyBorder="0" applyProtection="0"/>
    <xf numFmtId="9" fontId="18" fillId="0" borderId="0" applyBorder="0" applyProtection="0"/>
    <xf numFmtId="0" fontId="8" fillId="0" borderId="0"/>
    <xf numFmtId="0" fontId="2" fillId="0" borderId="0"/>
  </cellStyleXfs>
  <cellXfs count="235">
    <xf numFmtId="0" fontId="0" fillId="0" borderId="0" xfId="0"/>
    <xf numFmtId="0" fontId="4" fillId="0" borderId="0" xfId="0" applyFont="1"/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5" fillId="0" borderId="0" xfId="0" applyFont="1"/>
    <xf numFmtId="0" fontId="5" fillId="5" borderId="15" xfId="0" applyFont="1" applyFill="1" applyBorder="1" applyAlignment="1">
      <alignment vertical="center"/>
    </xf>
    <xf numFmtId="0" fontId="7" fillId="0" borderId="0" xfId="3" applyFont="1"/>
    <xf numFmtId="0" fontId="9" fillId="0" borderId="0" xfId="3" applyFont="1"/>
    <xf numFmtId="0" fontId="10" fillId="0" borderId="0" xfId="3" applyFont="1"/>
    <xf numFmtId="0" fontId="9" fillId="2" borderId="16" xfId="3" applyFont="1" applyFill="1" applyBorder="1" applyAlignment="1">
      <alignment horizontal="center"/>
    </xf>
    <xf numFmtId="0" fontId="9" fillId="2" borderId="22" xfId="3" applyFont="1" applyFill="1" applyBorder="1" applyAlignment="1">
      <alignment horizontal="center"/>
    </xf>
    <xf numFmtId="0" fontId="11" fillId="6" borderId="6" xfId="3" applyFont="1" applyFill="1" applyBorder="1" applyAlignment="1">
      <alignment horizontal="center" vertical="center"/>
    </xf>
    <xf numFmtId="165" fontId="11" fillId="7" borderId="8" xfId="0" applyNumberFormat="1" applyFont="1" applyFill="1" applyBorder="1" applyAlignment="1" applyProtection="1">
      <alignment horizontal="center" vertical="center"/>
    </xf>
    <xf numFmtId="0" fontId="9" fillId="2" borderId="23" xfId="3" applyFont="1" applyFill="1" applyBorder="1"/>
    <xf numFmtId="166" fontId="9" fillId="2" borderId="24" xfId="0" applyNumberFormat="1" applyFont="1" applyFill="1" applyBorder="1" applyAlignment="1" applyProtection="1">
      <protection locked="0"/>
    </xf>
    <xf numFmtId="166" fontId="9" fillId="2" borderId="25" xfId="0" applyNumberFormat="1" applyFont="1" applyFill="1" applyBorder="1" applyAlignment="1" applyProtection="1">
      <protection locked="0"/>
    </xf>
    <xf numFmtId="166" fontId="9" fillId="2" borderId="26" xfId="0" applyNumberFormat="1" applyFont="1" applyFill="1" applyBorder="1" applyAlignment="1" applyProtection="1">
      <protection locked="0"/>
    </xf>
    <xf numFmtId="0" fontId="5" fillId="5" borderId="9" xfId="0" applyFont="1" applyFill="1" applyBorder="1" applyAlignment="1">
      <alignment vertical="center"/>
    </xf>
    <xf numFmtId="0" fontId="11" fillId="5" borderId="12" xfId="3" applyFont="1" applyFill="1" applyBorder="1" applyAlignment="1">
      <alignment horizontal="center" vertical="center"/>
    </xf>
    <xf numFmtId="165" fontId="12" fillId="0" borderId="0" xfId="0" applyNumberFormat="1" applyFont="1" applyBorder="1" applyAlignment="1" applyProtection="1">
      <alignment horizontal="left" vertical="center"/>
    </xf>
    <xf numFmtId="0" fontId="9" fillId="2" borderId="27" xfId="3" applyFont="1" applyFill="1" applyBorder="1"/>
    <xf numFmtId="166" fontId="9" fillId="2" borderId="28" xfId="0" applyNumberFormat="1" applyFont="1" applyFill="1" applyBorder="1" applyAlignment="1" applyProtection="1">
      <protection locked="0"/>
    </xf>
    <xf numFmtId="166" fontId="9" fillId="2" borderId="0" xfId="0" applyNumberFormat="1" applyFont="1" applyFill="1" applyBorder="1" applyAlignment="1" applyProtection="1">
      <protection locked="0"/>
    </xf>
    <xf numFmtId="166" fontId="9" fillId="2" borderId="22" xfId="0" applyNumberFormat="1" applyFont="1" applyFill="1" applyBorder="1" applyAlignment="1" applyProtection="1">
      <protection locked="0"/>
    </xf>
    <xf numFmtId="0" fontId="11" fillId="5" borderId="15" xfId="3" applyFont="1" applyFill="1" applyBorder="1" applyAlignment="1">
      <alignment horizontal="center" vertical="center"/>
    </xf>
    <xf numFmtId="166" fontId="9" fillId="2" borderId="29" xfId="0" applyNumberFormat="1" applyFont="1" applyFill="1" applyBorder="1" applyAlignment="1" applyProtection="1">
      <protection locked="0"/>
    </xf>
    <xf numFmtId="166" fontId="9" fillId="2" borderId="30" xfId="0" applyNumberFormat="1" applyFont="1" applyFill="1" applyBorder="1" applyAlignment="1" applyProtection="1">
      <protection locked="0"/>
    </xf>
    <xf numFmtId="166" fontId="9" fillId="2" borderId="31" xfId="0" applyNumberFormat="1" applyFont="1" applyFill="1" applyBorder="1" applyAlignment="1" applyProtection="1">
      <protection locked="0"/>
    </xf>
    <xf numFmtId="0" fontId="11" fillId="5" borderId="18" xfId="3" applyFont="1" applyFill="1" applyBorder="1" applyAlignment="1">
      <alignment horizontal="center" vertical="center"/>
    </xf>
    <xf numFmtId="166" fontId="9" fillId="2" borderId="24" xfId="3" applyNumberFormat="1" applyFont="1" applyFill="1" applyBorder="1" applyProtection="1">
      <protection locked="0"/>
    </xf>
    <xf numFmtId="166" fontId="9" fillId="2" borderId="25" xfId="3" applyNumberFormat="1" applyFont="1" applyFill="1" applyBorder="1" applyProtection="1">
      <protection locked="0"/>
    </xf>
    <xf numFmtId="166" fontId="9" fillId="2" borderId="26" xfId="3" applyNumberFormat="1" applyFont="1" applyFill="1" applyBorder="1" applyProtection="1">
      <protection locked="0"/>
    </xf>
    <xf numFmtId="0" fontId="11" fillId="0" borderId="0" xfId="3" applyFont="1" applyBorder="1" applyAlignment="1">
      <alignment horizontal="center" vertical="center"/>
    </xf>
    <xf numFmtId="166" fontId="9" fillId="2" borderId="28" xfId="3" applyNumberFormat="1" applyFont="1" applyFill="1" applyBorder="1" applyProtection="1">
      <protection locked="0"/>
    </xf>
    <xf numFmtId="166" fontId="9" fillId="2" borderId="0" xfId="3" applyNumberFormat="1" applyFont="1" applyFill="1" applyBorder="1" applyProtection="1">
      <protection locked="0"/>
    </xf>
    <xf numFmtId="166" fontId="9" fillId="2" borderId="22" xfId="3" applyNumberFormat="1" applyFont="1" applyFill="1" applyBorder="1" applyProtection="1">
      <protection locked="0"/>
    </xf>
    <xf numFmtId="166" fontId="9" fillId="2" borderId="29" xfId="3" applyNumberFormat="1" applyFont="1" applyFill="1" applyBorder="1" applyProtection="1">
      <protection locked="0"/>
    </xf>
    <xf numFmtId="166" fontId="9" fillId="2" borderId="30" xfId="3" applyNumberFormat="1" applyFont="1" applyFill="1" applyBorder="1" applyProtection="1">
      <protection locked="0"/>
    </xf>
    <xf numFmtId="166" fontId="9" fillId="2" borderId="31" xfId="3" applyNumberFormat="1" applyFont="1" applyFill="1" applyBorder="1" applyProtection="1">
      <protection locked="0"/>
    </xf>
    <xf numFmtId="0" fontId="5" fillId="5" borderId="18" xfId="0" applyFont="1" applyFill="1" applyBorder="1" applyAlignment="1">
      <alignment vertical="center"/>
    </xf>
    <xf numFmtId="0" fontId="9" fillId="2" borderId="13" xfId="3" applyFont="1" applyFill="1" applyBorder="1"/>
    <xf numFmtId="0" fontId="11" fillId="5" borderId="32" xfId="3" applyFont="1" applyFill="1" applyBorder="1" applyAlignment="1">
      <alignment horizontal="center" vertical="center"/>
    </xf>
    <xf numFmtId="165" fontId="11" fillId="10" borderId="17" xfId="0" applyNumberFormat="1" applyFont="1" applyFill="1" applyBorder="1" applyAlignment="1" applyProtection="1">
      <alignment horizontal="center" vertical="center"/>
    </xf>
    <xf numFmtId="165" fontId="4" fillId="10" borderId="17" xfId="1" applyNumberFormat="1" applyFont="1" applyFill="1" applyBorder="1" applyAlignment="1" applyProtection="1"/>
    <xf numFmtId="0" fontId="14" fillId="0" borderId="0" xfId="0" applyFont="1" applyAlignment="1">
      <alignment horizontal="center"/>
    </xf>
    <xf numFmtId="3" fontId="14" fillId="0" borderId="0" xfId="0" applyNumberFormat="1" applyFont="1"/>
    <xf numFmtId="1" fontId="0" fillId="0" borderId="0" xfId="0" applyNumberFormat="1"/>
    <xf numFmtId="0" fontId="0" fillId="11" borderId="40" xfId="0" applyFill="1" applyBorder="1" applyAlignment="1">
      <alignment vertical="center" wrapText="1"/>
    </xf>
    <xf numFmtId="0" fontId="0" fillId="11" borderId="41" xfId="0" applyFill="1" applyBorder="1"/>
    <xf numFmtId="0" fontId="0" fillId="11" borderId="42" xfId="0" applyFill="1" applyBorder="1"/>
    <xf numFmtId="0" fontId="0" fillId="0" borderId="0" xfId="0" applyFill="1" applyBorder="1"/>
    <xf numFmtId="0" fontId="19" fillId="0" borderId="0" xfId="0" applyFont="1" applyFill="1" applyBorder="1" applyAlignment="1">
      <alignment horizontal="center" vertical="center"/>
    </xf>
    <xf numFmtId="168" fontId="0" fillId="0" borderId="0" xfId="0" applyNumberFormat="1" applyFill="1" applyBorder="1"/>
    <xf numFmtId="168" fontId="0" fillId="12" borderId="45" xfId="0" applyNumberFormat="1" applyFill="1" applyBorder="1"/>
    <xf numFmtId="168" fontId="0" fillId="12" borderId="46" xfId="0" applyNumberFormat="1" applyFill="1" applyBorder="1"/>
    <xf numFmtId="168" fontId="0" fillId="12" borderId="40" xfId="0" applyNumberFormat="1" applyFill="1" applyBorder="1"/>
    <xf numFmtId="169" fontId="0" fillId="0" borderId="0" xfId="0" applyNumberFormat="1"/>
    <xf numFmtId="3" fontId="0" fillId="0" borderId="0" xfId="0" applyNumberFormat="1"/>
    <xf numFmtId="169" fontId="17" fillId="0" borderId="47" xfId="0" applyNumberFormat="1" applyFont="1" applyBorder="1"/>
    <xf numFmtId="169" fontId="22" fillId="13" borderId="12" xfId="0" applyNumberFormat="1" applyFont="1" applyFill="1" applyBorder="1" applyAlignment="1">
      <alignment horizontal="center" vertical="center"/>
    </xf>
    <xf numFmtId="169" fontId="22" fillId="13" borderId="13" xfId="0" applyNumberFormat="1" applyFont="1" applyFill="1" applyBorder="1" applyAlignment="1">
      <alignment horizontal="center" vertical="center"/>
    </xf>
    <xf numFmtId="3" fontId="22" fillId="13" borderId="13" xfId="0" applyNumberFormat="1" applyFont="1" applyFill="1" applyBorder="1" applyAlignment="1">
      <alignment horizontal="center" vertical="center"/>
    </xf>
    <xf numFmtId="169" fontId="22" fillId="13" borderId="13" xfId="1" applyNumberFormat="1" applyFont="1" applyFill="1" applyBorder="1" applyAlignment="1" applyProtection="1">
      <alignment horizontal="center" vertical="center"/>
    </xf>
    <xf numFmtId="169" fontId="22" fillId="13" borderId="14" xfId="0" applyNumberFormat="1" applyFont="1" applyFill="1" applyBorder="1" applyAlignment="1">
      <alignment horizontal="center" vertical="center"/>
    </xf>
    <xf numFmtId="169" fontId="22" fillId="13" borderId="15" xfId="0" applyNumberFormat="1" applyFont="1" applyFill="1" applyBorder="1" applyAlignment="1">
      <alignment horizontal="center" vertical="center"/>
    </xf>
    <xf numFmtId="169" fontId="22" fillId="13" borderId="16" xfId="0" applyNumberFormat="1" applyFont="1" applyFill="1" applyBorder="1" applyAlignment="1">
      <alignment horizontal="center" vertical="center"/>
    </xf>
    <xf numFmtId="3" fontId="22" fillId="13" borderId="16" xfId="0" applyNumberFormat="1" applyFont="1" applyFill="1" applyBorder="1" applyAlignment="1">
      <alignment horizontal="center" vertical="center"/>
    </xf>
    <xf numFmtId="169" fontId="22" fillId="13" borderId="16" xfId="1" applyNumberFormat="1" applyFont="1" applyFill="1" applyBorder="1" applyAlignment="1" applyProtection="1">
      <alignment horizontal="center" vertical="center"/>
    </xf>
    <xf numFmtId="169" fontId="22" fillId="13" borderId="17" xfId="0" applyNumberFormat="1" applyFont="1" applyFill="1" applyBorder="1" applyAlignment="1">
      <alignment horizontal="center" vertical="center"/>
    </xf>
    <xf numFmtId="169" fontId="22" fillId="13" borderId="18" xfId="0" applyNumberFormat="1" applyFont="1" applyFill="1" applyBorder="1" applyAlignment="1">
      <alignment horizontal="center" vertical="center"/>
    </xf>
    <xf numFmtId="169" fontId="22" fillId="13" borderId="19" xfId="0" applyNumberFormat="1" applyFont="1" applyFill="1" applyBorder="1" applyAlignment="1">
      <alignment horizontal="center" vertical="center"/>
    </xf>
    <xf numFmtId="3" fontId="22" fillId="13" borderId="19" xfId="0" applyNumberFormat="1" applyFont="1" applyFill="1" applyBorder="1" applyAlignment="1">
      <alignment horizontal="center" vertical="center"/>
    </xf>
    <xf numFmtId="169" fontId="22" fillId="13" borderId="19" xfId="1" applyNumberFormat="1" applyFont="1" applyFill="1" applyBorder="1" applyAlignment="1" applyProtection="1">
      <alignment horizontal="center" vertical="center"/>
    </xf>
    <xf numFmtId="169" fontId="22" fillId="13" borderId="20" xfId="0" applyNumberFormat="1" applyFont="1" applyFill="1" applyBorder="1" applyAlignment="1">
      <alignment horizontal="center" vertical="center"/>
    </xf>
    <xf numFmtId="0" fontId="4" fillId="15" borderId="6" xfId="0" applyFont="1" applyFill="1" applyBorder="1" applyAlignment="1">
      <alignment horizontal="center"/>
    </xf>
    <xf numFmtId="0" fontId="4" fillId="15" borderId="7" xfId="0" applyFont="1" applyFill="1" applyBorder="1" applyAlignment="1">
      <alignment horizontal="center"/>
    </xf>
    <xf numFmtId="0" fontId="15" fillId="15" borderId="7" xfId="0" applyFont="1" applyFill="1" applyBorder="1" applyAlignment="1">
      <alignment horizontal="center"/>
    </xf>
    <xf numFmtId="0" fontId="4" fillId="15" borderId="8" xfId="0" applyFont="1" applyFill="1" applyBorder="1" applyAlignment="1">
      <alignment horizontal="center"/>
    </xf>
    <xf numFmtId="3" fontId="22" fillId="16" borderId="50" xfId="0" applyNumberFormat="1" applyFont="1" applyFill="1" applyBorder="1" applyAlignment="1">
      <alignment horizontal="center" vertical="center"/>
    </xf>
    <xf numFmtId="3" fontId="22" fillId="16" borderId="48" xfId="0" applyNumberFormat="1" applyFont="1" applyFill="1" applyBorder="1" applyAlignment="1">
      <alignment horizontal="center" vertical="center"/>
    </xf>
    <xf numFmtId="169" fontId="0" fillId="16" borderId="49" xfId="0" applyNumberFormat="1" applyFill="1" applyBorder="1"/>
    <xf numFmtId="169" fontId="17" fillId="0" borderId="13" xfId="0" applyNumberFormat="1" applyFont="1" applyBorder="1"/>
    <xf numFmtId="3" fontId="22" fillId="16" borderId="50" xfId="1" applyNumberFormat="1" applyFont="1" applyFill="1" applyBorder="1" applyAlignment="1" applyProtection="1">
      <alignment horizontal="center" vertical="center"/>
    </xf>
    <xf numFmtId="3" fontId="22" fillId="16" borderId="48" xfId="1" applyNumberFormat="1" applyFont="1" applyFill="1" applyBorder="1" applyAlignment="1" applyProtection="1">
      <alignment horizontal="center" vertical="center"/>
    </xf>
    <xf numFmtId="3" fontId="22" fillId="16" borderId="49" xfId="0" applyNumberFormat="1" applyFont="1" applyFill="1" applyBorder="1" applyAlignment="1">
      <alignment horizontal="center" vertical="center"/>
    </xf>
    <xf numFmtId="169" fontId="22" fillId="17" borderId="9" xfId="0" applyNumberFormat="1" applyFont="1" applyFill="1" applyBorder="1" applyAlignment="1">
      <alignment horizontal="center" vertical="center"/>
    </xf>
    <xf numFmtId="169" fontId="22" fillId="17" borderId="10" xfId="0" applyNumberFormat="1" applyFont="1" applyFill="1" applyBorder="1" applyAlignment="1">
      <alignment horizontal="center" vertical="center"/>
    </xf>
    <xf numFmtId="3" fontId="22" fillId="17" borderId="10" xfId="0" applyNumberFormat="1" applyFont="1" applyFill="1" applyBorder="1" applyAlignment="1">
      <alignment horizontal="center" vertical="center"/>
    </xf>
    <xf numFmtId="169" fontId="22" fillId="17" borderId="10" xfId="1" applyNumberFormat="1" applyFont="1" applyFill="1" applyBorder="1" applyAlignment="1" applyProtection="1">
      <alignment horizontal="center" vertical="center"/>
    </xf>
    <xf numFmtId="169" fontId="22" fillId="17" borderId="11" xfId="0" applyNumberFormat="1" applyFont="1" applyFill="1" applyBorder="1" applyAlignment="1">
      <alignment horizontal="center" vertical="center"/>
    </xf>
    <xf numFmtId="169" fontId="22" fillId="17" borderId="15" xfId="0" applyNumberFormat="1" applyFont="1" applyFill="1" applyBorder="1" applyAlignment="1">
      <alignment horizontal="center" vertical="center"/>
    </xf>
    <xf numFmtId="169" fontId="22" fillId="17" borderId="16" xfId="0" applyNumberFormat="1" applyFont="1" applyFill="1" applyBorder="1" applyAlignment="1">
      <alignment horizontal="center" vertical="center"/>
    </xf>
    <xf numFmtId="3" fontId="22" fillId="17" borderId="16" xfId="0" applyNumberFormat="1" applyFont="1" applyFill="1" applyBorder="1" applyAlignment="1">
      <alignment horizontal="center" vertical="center"/>
    </xf>
    <xf numFmtId="169" fontId="22" fillId="17" borderId="16" xfId="1" applyNumberFormat="1" applyFont="1" applyFill="1" applyBorder="1" applyAlignment="1" applyProtection="1">
      <alignment horizontal="center" vertical="center"/>
    </xf>
    <xf numFmtId="169" fontId="22" fillId="17" borderId="17" xfId="0" applyNumberFormat="1" applyFont="1" applyFill="1" applyBorder="1" applyAlignment="1">
      <alignment horizontal="center" vertical="center"/>
    </xf>
    <xf numFmtId="169" fontId="22" fillId="17" borderId="18" xfId="0" applyNumberFormat="1" applyFont="1" applyFill="1" applyBorder="1" applyAlignment="1">
      <alignment horizontal="center" vertical="center"/>
    </xf>
    <xf numFmtId="169" fontId="22" fillId="17" borderId="19" xfId="0" applyNumberFormat="1" applyFont="1" applyFill="1" applyBorder="1" applyAlignment="1">
      <alignment horizontal="center" vertical="center"/>
    </xf>
    <xf numFmtId="3" fontId="22" fillId="17" borderId="19" xfId="0" applyNumberFormat="1" applyFont="1" applyFill="1" applyBorder="1" applyAlignment="1">
      <alignment horizontal="center" vertical="center"/>
    </xf>
    <xf numFmtId="169" fontId="22" fillId="17" borderId="19" xfId="1" applyNumberFormat="1" applyFont="1" applyFill="1" applyBorder="1" applyAlignment="1" applyProtection="1">
      <alignment horizontal="center" vertical="center"/>
    </xf>
    <xf numFmtId="169" fontId="22" fillId="17" borderId="20" xfId="0" applyNumberFormat="1" applyFont="1" applyFill="1" applyBorder="1" applyAlignment="1">
      <alignment horizontal="center" vertical="center"/>
    </xf>
    <xf numFmtId="169" fontId="4" fillId="15" borderId="6" xfId="0" applyNumberFormat="1" applyFont="1" applyFill="1" applyBorder="1" applyAlignment="1">
      <alignment horizontal="center"/>
    </xf>
    <xf numFmtId="169" fontId="4" fillId="15" borderId="7" xfId="0" applyNumberFormat="1" applyFont="1" applyFill="1" applyBorder="1" applyAlignment="1">
      <alignment horizontal="center"/>
    </xf>
    <xf numFmtId="169" fontId="15" fillId="15" borderId="7" xfId="0" applyNumberFormat="1" applyFont="1" applyFill="1" applyBorder="1" applyAlignment="1">
      <alignment horizontal="center"/>
    </xf>
    <xf numFmtId="169" fontId="4" fillId="15" borderId="8" xfId="0" applyNumberFormat="1" applyFont="1" applyFill="1" applyBorder="1" applyAlignment="1">
      <alignment horizontal="center"/>
    </xf>
    <xf numFmtId="165" fontId="22" fillId="22" borderId="16" xfId="1" applyNumberFormat="1" applyFont="1" applyFill="1" applyBorder="1" applyAlignment="1" applyProtection="1">
      <alignment horizontal="right" vertical="center"/>
    </xf>
    <xf numFmtId="165" fontId="23" fillId="22" borderId="16" xfId="1" applyNumberFormat="1" applyFont="1" applyFill="1" applyBorder="1" applyAlignment="1" applyProtection="1">
      <alignment horizontal="right" vertical="center"/>
    </xf>
    <xf numFmtId="1" fontId="23" fillId="22" borderId="16" xfId="0" applyNumberFormat="1" applyFont="1" applyFill="1" applyBorder="1" applyAlignment="1">
      <alignment horizontal="right" vertical="center"/>
    </xf>
    <xf numFmtId="165" fontId="22" fillId="23" borderId="16" xfId="1" applyNumberFormat="1" applyFont="1" applyFill="1" applyBorder="1" applyAlignment="1" applyProtection="1">
      <alignment horizontal="right" vertical="center"/>
    </xf>
    <xf numFmtId="165" fontId="23" fillId="23" borderId="16" xfId="1" applyNumberFormat="1" applyFont="1" applyFill="1" applyBorder="1" applyAlignment="1" applyProtection="1">
      <alignment horizontal="right" vertical="center"/>
    </xf>
    <xf numFmtId="1" fontId="22" fillId="23" borderId="16" xfId="0" applyNumberFormat="1" applyFont="1" applyFill="1" applyBorder="1" applyAlignment="1">
      <alignment horizontal="right" vertical="center"/>
    </xf>
    <xf numFmtId="166" fontId="22" fillId="24" borderId="17" xfId="0" applyNumberFormat="1" applyFont="1" applyFill="1" applyBorder="1" applyAlignment="1">
      <alignment horizontal="right" vertical="center"/>
    </xf>
    <xf numFmtId="167" fontId="22" fillId="24" borderId="17" xfId="0" applyNumberFormat="1" applyFont="1" applyFill="1" applyBorder="1" applyAlignment="1">
      <alignment horizontal="right" vertical="center"/>
    </xf>
    <xf numFmtId="165" fontId="23" fillId="23" borderId="19" xfId="1" applyNumberFormat="1" applyFont="1" applyFill="1" applyBorder="1" applyAlignment="1" applyProtection="1">
      <alignment horizontal="right" vertical="center"/>
    </xf>
    <xf numFmtId="165" fontId="22" fillId="22" borderId="19" xfId="1" applyNumberFormat="1" applyFont="1" applyFill="1" applyBorder="1" applyAlignment="1" applyProtection="1">
      <alignment horizontal="right" vertical="center"/>
    </xf>
    <xf numFmtId="165" fontId="22" fillId="23" borderId="19" xfId="1" applyNumberFormat="1" applyFont="1" applyFill="1" applyBorder="1" applyAlignment="1" applyProtection="1">
      <alignment horizontal="right" vertical="center"/>
    </xf>
    <xf numFmtId="0" fontId="22" fillId="24" borderId="20" xfId="0" applyFont="1" applyFill="1" applyBorder="1" applyAlignment="1">
      <alignment horizontal="right" vertical="center"/>
    </xf>
    <xf numFmtId="0" fontId="24" fillId="19" borderId="6" xfId="0" applyFont="1" applyFill="1" applyBorder="1" applyAlignment="1">
      <alignment horizontal="center" wrapText="1"/>
    </xf>
    <xf numFmtId="0" fontId="8" fillId="19" borderId="8" xfId="0" applyFont="1" applyFill="1" applyBorder="1" applyAlignment="1">
      <alignment wrapText="1"/>
    </xf>
    <xf numFmtId="165" fontId="22" fillId="22" borderId="13" xfId="1" applyNumberFormat="1" applyFont="1" applyFill="1" applyBorder="1" applyAlignment="1" applyProtection="1">
      <alignment horizontal="right" vertical="center"/>
    </xf>
    <xf numFmtId="165" fontId="22" fillId="23" borderId="13" xfId="1" applyNumberFormat="1" applyFont="1" applyFill="1" applyBorder="1" applyAlignment="1" applyProtection="1">
      <alignment horizontal="right" vertical="center"/>
    </xf>
    <xf numFmtId="165" fontId="23" fillId="22" borderId="13" xfId="1" applyNumberFormat="1" applyFont="1" applyFill="1" applyBorder="1" applyAlignment="1" applyProtection="1">
      <alignment horizontal="right" vertical="center"/>
    </xf>
    <xf numFmtId="166" fontId="22" fillId="24" borderId="14" xfId="0" applyNumberFormat="1" applyFont="1" applyFill="1" applyBorder="1" applyAlignment="1">
      <alignment horizontal="right" vertical="center"/>
    </xf>
    <xf numFmtId="0" fontId="24" fillId="21" borderId="7" xfId="0" applyFont="1" applyFill="1" applyBorder="1" applyAlignment="1">
      <alignment horizontal="center" wrapText="1"/>
    </xf>
    <xf numFmtId="0" fontId="24" fillId="20" borderId="7" xfId="0" applyFont="1" applyFill="1" applyBorder="1" applyAlignment="1">
      <alignment horizontal="center" wrapText="1"/>
    </xf>
    <xf numFmtId="0" fontId="24" fillId="19" borderId="8" xfId="0" applyFont="1" applyFill="1" applyBorder="1" applyAlignment="1">
      <alignment horizontal="center" wrapText="1"/>
    </xf>
    <xf numFmtId="0" fontId="24" fillId="21" borderId="51" xfId="0" applyFont="1" applyFill="1" applyBorder="1" applyAlignment="1">
      <alignment horizontal="center" wrapText="1"/>
    </xf>
    <xf numFmtId="165" fontId="22" fillId="22" borderId="31" xfId="1" applyNumberFormat="1" applyFont="1" applyFill="1" applyBorder="1" applyAlignment="1" applyProtection="1">
      <alignment horizontal="right" vertical="center"/>
    </xf>
    <xf numFmtId="165" fontId="22" fillId="22" borderId="43" xfId="1" applyNumberFormat="1" applyFont="1" applyFill="1" applyBorder="1" applyAlignment="1" applyProtection="1">
      <alignment horizontal="right" vertical="center"/>
    </xf>
    <xf numFmtId="165" fontId="23" fillId="22" borderId="43" xfId="1" applyNumberFormat="1" applyFont="1" applyFill="1" applyBorder="1" applyAlignment="1" applyProtection="1">
      <alignment horizontal="right" vertical="center"/>
    </xf>
    <xf numFmtId="165" fontId="23" fillId="22" borderId="44" xfId="1" applyNumberFormat="1" applyFont="1" applyFill="1" applyBorder="1" applyAlignment="1" applyProtection="1">
      <alignment horizontal="right" vertical="center"/>
    </xf>
    <xf numFmtId="0" fontId="24" fillId="19" borderId="1" xfId="0" applyFont="1" applyFill="1" applyBorder="1" applyAlignment="1">
      <alignment horizontal="center" wrapText="1"/>
    </xf>
    <xf numFmtId="0" fontId="22" fillId="16" borderId="45" xfId="0" applyFont="1" applyFill="1" applyBorder="1" applyAlignment="1">
      <alignment horizontal="center"/>
    </xf>
    <xf numFmtId="0" fontId="22" fillId="16" borderId="41" xfId="0" applyFont="1" applyFill="1" applyBorder="1" applyAlignment="1">
      <alignment horizontal="center"/>
    </xf>
    <xf numFmtId="0" fontId="22" fillId="16" borderId="42" xfId="0" applyFont="1" applyFill="1" applyBorder="1" applyAlignment="1">
      <alignment horizontal="center"/>
    </xf>
    <xf numFmtId="165" fontId="20" fillId="0" borderId="0" xfId="0" applyNumberFormat="1" applyFont="1" applyBorder="1" applyAlignment="1" applyProtection="1">
      <alignment vertical="center" wrapText="1"/>
    </xf>
    <xf numFmtId="0" fontId="0" fillId="0" borderId="0" xfId="0" applyFill="1" applyBorder="1" applyAlignment="1">
      <alignment vertical="center" wrapText="1"/>
    </xf>
    <xf numFmtId="0" fontId="25" fillId="0" borderId="0" xfId="0" applyFont="1"/>
    <xf numFmtId="1" fontId="25" fillId="0" borderId="0" xfId="0" applyNumberFormat="1" applyFont="1"/>
    <xf numFmtId="165" fontId="25" fillId="0" borderId="0" xfId="0" applyNumberFormat="1" applyFont="1" applyBorder="1" applyAlignment="1" applyProtection="1">
      <alignment horizontal="left" vertical="center"/>
    </xf>
    <xf numFmtId="165" fontId="25" fillId="0" borderId="0" xfId="0" applyNumberFormat="1" applyFont="1"/>
    <xf numFmtId="0" fontId="4" fillId="4" borderId="52" xfId="0" applyFont="1" applyFill="1" applyBorder="1" applyAlignment="1">
      <alignment horizontal="center" vertical="center"/>
    </xf>
    <xf numFmtId="0" fontId="11" fillId="6" borderId="3" xfId="3" applyFont="1" applyFill="1" applyBorder="1" applyAlignment="1">
      <alignment horizontal="center" vertical="center"/>
    </xf>
    <xf numFmtId="165" fontId="11" fillId="7" borderId="5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Alignment="1">
      <alignment horizontal="center"/>
    </xf>
    <xf numFmtId="0" fontId="11" fillId="5" borderId="9" xfId="3" applyFont="1" applyFill="1" applyBorder="1" applyAlignment="1">
      <alignment horizontal="center" vertical="center"/>
    </xf>
    <xf numFmtId="165" fontId="25" fillId="0" borderId="0" xfId="0" applyNumberFormat="1" applyFont="1" applyBorder="1" applyAlignment="1" applyProtection="1">
      <alignment vertical="center" wrapText="1"/>
    </xf>
    <xf numFmtId="165" fontId="25" fillId="0" borderId="0" xfId="0" applyNumberFormat="1" applyFont="1" applyFill="1" applyBorder="1"/>
    <xf numFmtId="165" fontId="1" fillId="0" borderId="0" xfId="0" applyNumberFormat="1" applyFont="1" applyFill="1" applyBorder="1" applyAlignment="1">
      <alignment horizontal="center" vertical="center"/>
    </xf>
    <xf numFmtId="0" fontId="11" fillId="0" borderId="0" xfId="3" applyFont="1" applyFill="1" applyBorder="1" applyAlignment="1">
      <alignment horizontal="center" vertical="center"/>
    </xf>
    <xf numFmtId="165" fontId="0" fillId="0" borderId="0" xfId="0" applyNumberFormat="1"/>
    <xf numFmtId="165" fontId="26" fillId="0" borderId="0" xfId="0" applyNumberFormat="1" applyFont="1"/>
    <xf numFmtId="0" fontId="27" fillId="0" borderId="0" xfId="0" applyFont="1"/>
    <xf numFmtId="165" fontId="11" fillId="10" borderId="11" xfId="0" applyNumberFormat="1" applyFont="1" applyFill="1" applyBorder="1" applyAlignment="1" applyProtection="1">
      <alignment horizontal="center" vertical="center"/>
    </xf>
    <xf numFmtId="165" fontId="11" fillId="10" borderId="20" xfId="0" applyNumberFormat="1" applyFont="1" applyFill="1" applyBorder="1" applyAlignment="1" applyProtection="1">
      <alignment horizontal="center" vertical="center"/>
    </xf>
    <xf numFmtId="165" fontId="26" fillId="25" borderId="53" xfId="0" applyNumberFormat="1" applyFont="1" applyFill="1" applyBorder="1"/>
    <xf numFmtId="165" fontId="6" fillId="29" borderId="10" xfId="1" applyNumberFormat="1" applyFont="1" applyFill="1" applyBorder="1" applyAlignment="1" applyProtection="1">
      <alignment horizontal="right" vertical="center"/>
    </xf>
    <xf numFmtId="165" fontId="6" fillId="29" borderId="16" xfId="1" applyNumberFormat="1" applyFont="1" applyFill="1" applyBorder="1" applyAlignment="1" applyProtection="1">
      <alignment horizontal="right" vertical="center"/>
    </xf>
    <xf numFmtId="165" fontId="6" fillId="30" borderId="10" xfId="1" applyNumberFormat="1" applyFont="1" applyFill="1" applyBorder="1" applyAlignment="1" applyProtection="1">
      <alignment horizontal="right" vertical="center"/>
    </xf>
    <xf numFmtId="165" fontId="6" fillId="30" borderId="16" xfId="1" applyNumberFormat="1" applyFont="1" applyFill="1" applyBorder="1" applyAlignment="1" applyProtection="1">
      <alignment horizontal="right" vertical="center"/>
    </xf>
    <xf numFmtId="0" fontId="29" fillId="16" borderId="45" xfId="0" applyFont="1" applyFill="1" applyBorder="1" applyAlignment="1">
      <alignment horizontal="center"/>
    </xf>
    <xf numFmtId="0" fontId="29" fillId="16" borderId="41" xfId="0" applyFont="1" applyFill="1" applyBorder="1" applyAlignment="1">
      <alignment horizontal="center"/>
    </xf>
    <xf numFmtId="0" fontId="29" fillId="16" borderId="42" xfId="0" applyFont="1" applyFill="1" applyBorder="1" applyAlignment="1">
      <alignment horizontal="center"/>
    </xf>
    <xf numFmtId="0" fontId="28" fillId="26" borderId="51" xfId="0" applyFont="1" applyFill="1" applyBorder="1"/>
    <xf numFmtId="0" fontId="28" fillId="33" borderId="1" xfId="0" applyFont="1" applyFill="1" applyBorder="1"/>
    <xf numFmtId="0" fontId="28" fillId="33" borderId="8" xfId="0" applyFont="1" applyFill="1" applyBorder="1"/>
    <xf numFmtId="0" fontId="28" fillId="18" borderId="7" xfId="0" applyFont="1" applyFill="1" applyBorder="1"/>
    <xf numFmtId="0" fontId="28" fillId="18" borderId="8" xfId="0" applyFont="1" applyFill="1" applyBorder="1"/>
    <xf numFmtId="3" fontId="29" fillId="31" borderId="31" xfId="0" applyNumberFormat="1" applyFont="1" applyFill="1" applyBorder="1"/>
    <xf numFmtId="3" fontId="29" fillId="31" borderId="43" xfId="0" applyNumberFormat="1" applyFont="1" applyFill="1" applyBorder="1"/>
    <xf numFmtId="3" fontId="29" fillId="31" borderId="44" xfId="0" applyNumberFormat="1" applyFont="1" applyFill="1" applyBorder="1"/>
    <xf numFmtId="3" fontId="29" fillId="28" borderId="13" xfId="0" applyNumberFormat="1" applyFont="1" applyFill="1" applyBorder="1"/>
    <xf numFmtId="3" fontId="29" fillId="28" borderId="16" xfId="0" applyNumberFormat="1" applyFont="1" applyFill="1" applyBorder="1"/>
    <xf numFmtId="3" fontId="29" fillId="28" borderId="19" xfId="0" applyNumberFormat="1" applyFont="1" applyFill="1" applyBorder="1"/>
    <xf numFmtId="3" fontId="28" fillId="34" borderId="14" xfId="0" applyNumberFormat="1" applyFont="1" applyFill="1" applyBorder="1"/>
    <xf numFmtId="3" fontId="28" fillId="34" borderId="17" xfId="0" applyNumberFormat="1" applyFont="1" applyFill="1" applyBorder="1"/>
    <xf numFmtId="3" fontId="28" fillId="34" borderId="20" xfId="0" applyNumberFormat="1" applyFont="1" applyFill="1" applyBorder="1"/>
    <xf numFmtId="0" fontId="28" fillId="34" borderId="45" xfId="0" applyFont="1" applyFill="1" applyBorder="1"/>
    <xf numFmtId="0" fontId="28" fillId="34" borderId="41" xfId="0" applyFont="1" applyFill="1" applyBorder="1"/>
    <xf numFmtId="0" fontId="28" fillId="34" borderId="42" xfId="0" applyFont="1" applyFill="1" applyBorder="1"/>
    <xf numFmtId="0" fontId="28" fillId="31" borderId="31" xfId="0" applyFont="1" applyFill="1" applyBorder="1"/>
    <xf numFmtId="1" fontId="28" fillId="31" borderId="43" xfId="0" applyNumberFormat="1" applyFont="1" applyFill="1" applyBorder="1"/>
    <xf numFmtId="1" fontId="28" fillId="31" borderId="44" xfId="0" applyNumberFormat="1" applyFont="1" applyFill="1" applyBorder="1"/>
    <xf numFmtId="0" fontId="28" fillId="28" borderId="14" xfId="0" applyFont="1" applyFill="1" applyBorder="1"/>
    <xf numFmtId="1" fontId="28" fillId="28" borderId="17" xfId="0" applyNumberFormat="1" applyFont="1" applyFill="1" applyBorder="1"/>
    <xf numFmtId="1" fontId="28" fillId="28" borderId="20" xfId="0" applyNumberFormat="1" applyFont="1" applyFill="1" applyBorder="1"/>
    <xf numFmtId="165" fontId="30" fillId="25" borderId="54" xfId="1" applyNumberFormat="1" applyFont="1" applyFill="1" applyBorder="1"/>
    <xf numFmtId="170" fontId="18" fillId="0" borderId="31" xfId="2" applyNumberFormat="1" applyBorder="1"/>
    <xf numFmtId="170" fontId="22" fillId="35" borderId="31" xfId="2" applyNumberFormat="1" applyFont="1" applyFill="1" applyBorder="1"/>
    <xf numFmtId="170" fontId="22" fillId="26" borderId="31" xfId="2" applyNumberFormat="1" applyFont="1" applyFill="1" applyBorder="1"/>
    <xf numFmtId="0" fontId="28" fillId="0" borderId="0" xfId="0" applyFont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9" fillId="2" borderId="16" xfId="3" applyFont="1" applyFill="1" applyBorder="1" applyAlignment="1">
      <alignment horizontal="center"/>
    </xf>
    <xf numFmtId="0" fontId="10" fillId="0" borderId="25" xfId="3" applyFont="1" applyBorder="1" applyAlignment="1">
      <alignment vertical="top" wrapText="1"/>
    </xf>
    <xf numFmtId="0" fontId="9" fillId="2" borderId="21" xfId="3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165" fontId="21" fillId="0" borderId="33" xfId="0" applyNumberFormat="1" applyFont="1" applyBorder="1" applyAlignment="1" applyProtection="1">
      <alignment horizontal="center" vertical="center" wrapText="1"/>
    </xf>
    <xf numFmtId="165" fontId="20" fillId="0" borderId="34" xfId="0" applyNumberFormat="1" applyFont="1" applyBorder="1" applyAlignment="1" applyProtection="1">
      <alignment horizontal="center" vertical="center" wrapText="1"/>
    </xf>
    <xf numFmtId="165" fontId="20" fillId="0" borderId="35" xfId="0" applyNumberFormat="1" applyFont="1" applyBorder="1" applyAlignment="1" applyProtection="1">
      <alignment horizontal="center" vertical="center" wrapText="1"/>
    </xf>
    <xf numFmtId="165" fontId="20" fillId="0" borderId="36" xfId="0" applyNumberFormat="1" applyFont="1" applyBorder="1" applyAlignment="1" applyProtection="1">
      <alignment horizontal="center" vertical="center" wrapText="1"/>
    </xf>
    <xf numFmtId="165" fontId="20" fillId="0" borderId="0" xfId="0" applyNumberFormat="1" applyFont="1" applyBorder="1" applyAlignment="1" applyProtection="1">
      <alignment horizontal="center" vertical="center" wrapText="1"/>
    </xf>
    <xf numFmtId="165" fontId="20" fillId="0" borderId="37" xfId="0" applyNumberFormat="1" applyFont="1" applyBorder="1" applyAlignment="1" applyProtection="1">
      <alignment horizontal="center" vertical="center" wrapText="1"/>
    </xf>
    <xf numFmtId="165" fontId="20" fillId="0" borderId="38" xfId="0" applyNumberFormat="1" applyFont="1" applyBorder="1" applyAlignment="1" applyProtection="1">
      <alignment horizontal="center" vertical="center" wrapText="1"/>
    </xf>
    <xf numFmtId="165" fontId="20" fillId="0" borderId="2" xfId="0" applyNumberFormat="1" applyFont="1" applyBorder="1" applyAlignment="1" applyProtection="1">
      <alignment horizontal="center" vertical="center" wrapText="1"/>
    </xf>
    <xf numFmtId="165" fontId="20" fillId="0" borderId="39" xfId="0" applyNumberFormat="1" applyFont="1" applyBorder="1" applyAlignment="1" applyProtection="1">
      <alignment horizontal="center" vertical="center" wrapText="1"/>
    </xf>
    <xf numFmtId="0" fontId="15" fillId="14" borderId="6" xfId="0" applyFont="1" applyFill="1" applyBorder="1" applyAlignment="1">
      <alignment horizontal="center" vertical="center"/>
    </xf>
    <xf numFmtId="0" fontId="15" fillId="14" borderId="7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24" fillId="19" borderId="7" xfId="0" applyFont="1" applyFill="1" applyBorder="1" applyAlignment="1">
      <alignment horizontal="center" vertical="center" wrapText="1"/>
    </xf>
    <xf numFmtId="169" fontId="15" fillId="18" borderId="6" xfId="0" applyNumberFormat="1" applyFont="1" applyFill="1" applyBorder="1" applyAlignment="1">
      <alignment horizontal="center" vertical="center"/>
    </xf>
    <xf numFmtId="169" fontId="15" fillId="18" borderId="7" xfId="0" applyNumberFormat="1" applyFont="1" applyFill="1" applyBorder="1" applyAlignment="1">
      <alignment horizontal="center" vertical="center"/>
    </xf>
    <xf numFmtId="169" fontId="15" fillId="18" borderId="8" xfId="0" applyNumberFormat="1" applyFont="1" applyFill="1" applyBorder="1" applyAlignment="1">
      <alignment horizontal="center" vertical="center"/>
    </xf>
    <xf numFmtId="0" fontId="13" fillId="0" borderId="0" xfId="0" applyFont="1" applyBorder="1" applyAlignment="1">
      <alignment vertical="center" wrapText="1"/>
    </xf>
    <xf numFmtId="0" fontId="0" fillId="36" borderId="17" xfId="0" applyFill="1" applyBorder="1"/>
    <xf numFmtId="0" fontId="0" fillId="36" borderId="20" xfId="0" applyFill="1" applyBorder="1"/>
    <xf numFmtId="165" fontId="30" fillId="25" borderId="1" xfId="1" applyNumberFormat="1" applyFont="1" applyFill="1" applyBorder="1"/>
    <xf numFmtId="165" fontId="4" fillId="8" borderId="11" xfId="0" applyNumberFormat="1" applyFont="1" applyFill="1" applyBorder="1"/>
    <xf numFmtId="165" fontId="4" fillId="8" borderId="17" xfId="0" applyNumberFormat="1" applyFont="1" applyFill="1" applyBorder="1"/>
    <xf numFmtId="1" fontId="4" fillId="26" borderId="16" xfId="0" applyNumberFormat="1" applyFont="1" applyFill="1" applyBorder="1"/>
    <xf numFmtId="1" fontId="4" fillId="27" borderId="16" xfId="0" applyNumberFormat="1" applyFont="1" applyFill="1" applyBorder="1"/>
    <xf numFmtId="1" fontId="4" fillId="26" borderId="19" xfId="0" applyNumberFormat="1" applyFont="1" applyFill="1" applyBorder="1"/>
    <xf numFmtId="1" fontId="4" fillId="27" borderId="19" xfId="0" applyNumberFormat="1" applyFont="1" applyFill="1" applyBorder="1"/>
    <xf numFmtId="165" fontId="4" fillId="8" borderId="20" xfId="0" applyNumberFormat="1" applyFont="1" applyFill="1" applyBorder="1"/>
    <xf numFmtId="165" fontId="32" fillId="9" borderId="14" xfId="0" applyNumberFormat="1" applyFont="1" applyFill="1" applyBorder="1" applyAlignment="1" applyProtection="1">
      <alignment horizontal="center" vertical="center"/>
    </xf>
    <xf numFmtId="165" fontId="32" fillId="9" borderId="17" xfId="0" applyNumberFormat="1" applyFont="1" applyFill="1" applyBorder="1" applyAlignment="1" applyProtection="1">
      <alignment horizontal="center" vertical="center"/>
    </xf>
    <xf numFmtId="165" fontId="32" fillId="9" borderId="20" xfId="0" applyNumberFormat="1" applyFont="1" applyFill="1" applyBorder="1" applyAlignment="1" applyProtection="1">
      <alignment horizontal="center" vertical="center"/>
    </xf>
    <xf numFmtId="165" fontId="32" fillId="9" borderId="11" xfId="0" applyNumberFormat="1" applyFont="1" applyFill="1" applyBorder="1" applyAlignment="1" applyProtection="1">
      <alignment horizontal="center" vertical="center"/>
    </xf>
    <xf numFmtId="1" fontId="22" fillId="32" borderId="17" xfId="0" applyNumberFormat="1" applyFont="1" applyFill="1" applyBorder="1"/>
    <xf numFmtId="0" fontId="22" fillId="32" borderId="20" xfId="0" applyFont="1" applyFill="1" applyBorder="1"/>
  </cellXfs>
  <cellStyles count="5">
    <cellStyle name="Millares" xfId="1" builtinId="3"/>
    <cellStyle name="Normal" xfId="0" builtinId="0"/>
    <cellStyle name="Normal 2" xfId="4"/>
    <cellStyle name="Porcentaje" xfId="2" builtinId="5"/>
    <cellStyle name="Texto explicativo" xfId="3" builtinId="53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2DFF2D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306A5C"/>
      <rgbColor rgb="FFE0E0E0"/>
      <rgbColor rgb="FF808080"/>
      <rgbColor rgb="FF99FFFF"/>
      <rgbColor rgb="FF993366"/>
      <rgbColor rgb="FFE0E5EB"/>
      <rgbColor rgb="FFE3FDFC"/>
      <rgbColor rgb="FF660066"/>
      <rgbColor rgb="FFFF8080"/>
      <rgbColor rgb="FF0066CC"/>
      <rgbColor rgb="FFD9D9D9"/>
      <rgbColor rgb="FF000080"/>
      <rgbColor rgb="FFFF00FF"/>
      <rgbColor rgb="FFCCFF00"/>
      <rgbColor rgb="FF00FFFF"/>
      <rgbColor rgb="FF800080"/>
      <rgbColor rgb="FF800000"/>
      <rgbColor rgb="FF008080"/>
      <rgbColor rgb="FF0000FF"/>
      <rgbColor rgb="FF00CCFF"/>
      <rgbColor rgb="FFC5ECFF"/>
      <rgbColor rgb="FFCBFDB5"/>
      <rgbColor rgb="FFFFCB97"/>
      <rgbColor rgb="FF9AE2FC"/>
      <rgbColor rgb="FFFF9999"/>
      <rgbColor rgb="FFCC99FF"/>
      <rgbColor rgb="FFFFCC99"/>
      <rgbColor rgb="FF3366FF"/>
      <rgbColor rgb="FF34F0EC"/>
      <rgbColor rgb="FF99FF99"/>
      <rgbColor rgb="FFFFCC00"/>
      <rgbColor rgb="FFFF9900"/>
      <rgbColor rgb="FFFF6600"/>
      <rgbColor rgb="FF44546A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D3F0FD"/>
      <color rgb="FFFFE7FF"/>
      <color rgb="FFFF85FF"/>
      <color rgb="FF64EEEE"/>
      <color rgb="FFFFABFF"/>
      <color rgb="FFD2F8FE"/>
      <color rgb="FF9BFF9B"/>
      <color rgb="FFCCFFCC"/>
      <color rgb="FFE8FBFE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Pramide</a:t>
            </a:r>
            <a:r>
              <a:rPr lang="es-MX" baseline="0"/>
              <a:t> poblacional de Chihuahua 2015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'Piramide poblacional'!$G$8</c:f>
              <c:strCache>
                <c:ptCount val="1"/>
                <c:pt idx="0">
                  <c:v>Hombres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'Piramide poblacional'!$F$9:$F$118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'Piramide poblacional'!$G$9:$G$118</c:f>
              <c:numCache>
                <c:formatCode>0.000%</c:formatCode>
                <c:ptCount val="110"/>
                <c:pt idx="0">
                  <c:v>-9.4327087658510281E-3</c:v>
                </c:pt>
                <c:pt idx="1">
                  <c:v>-9.405904453261343E-3</c:v>
                </c:pt>
                <c:pt idx="2">
                  <c:v>-9.4228519317342552E-3</c:v>
                </c:pt>
                <c:pt idx="3">
                  <c:v>-9.4315830307081603E-3</c:v>
                </c:pt>
                <c:pt idx="4">
                  <c:v>-9.3021595130431244E-3</c:v>
                </c:pt>
                <c:pt idx="5">
                  <c:v>-9.5374734088497538E-3</c:v>
                </c:pt>
                <c:pt idx="6">
                  <c:v>-9.8417695103398956E-3</c:v>
                </c:pt>
                <c:pt idx="7">
                  <c:v>-9.8047597029715002E-3</c:v>
                </c:pt>
                <c:pt idx="8">
                  <c:v>-9.8318159535068055E-3</c:v>
                </c:pt>
                <c:pt idx="9">
                  <c:v>-9.8025740178919237E-3</c:v>
                </c:pt>
                <c:pt idx="10">
                  <c:v>-9.7238294279386774E-3</c:v>
                </c:pt>
                <c:pt idx="11">
                  <c:v>-9.6433193486446644E-3</c:v>
                </c:pt>
                <c:pt idx="12">
                  <c:v>-9.5616514839553281E-3</c:v>
                </c:pt>
                <c:pt idx="13">
                  <c:v>-9.4734088642353317E-3</c:v>
                </c:pt>
                <c:pt idx="14">
                  <c:v>-9.3879081285577586E-3</c:v>
                </c:pt>
                <c:pt idx="15">
                  <c:v>-9.2988976440372944E-3</c:v>
                </c:pt>
                <c:pt idx="16">
                  <c:v>-9.196974089305936E-3</c:v>
                </c:pt>
                <c:pt idx="17">
                  <c:v>-9.090782052180009E-3</c:v>
                </c:pt>
                <c:pt idx="18">
                  <c:v>-8.989862898187876E-3</c:v>
                </c:pt>
                <c:pt idx="19">
                  <c:v>-8.8577687340075269E-3</c:v>
                </c:pt>
                <c:pt idx="20">
                  <c:v>-8.7235693849172687E-3</c:v>
                </c:pt>
                <c:pt idx="21">
                  <c:v>-8.5782825532486773E-3</c:v>
                </c:pt>
                <c:pt idx="22">
                  <c:v>-8.3708621700979147E-3</c:v>
                </c:pt>
                <c:pt idx="23">
                  <c:v>-8.1914711555518809E-3</c:v>
                </c:pt>
                <c:pt idx="24">
                  <c:v>-8.0488229057565398E-3</c:v>
                </c:pt>
                <c:pt idx="25">
                  <c:v>-7.8721262668748088E-3</c:v>
                </c:pt>
                <c:pt idx="26">
                  <c:v>-7.6460210672661417E-3</c:v>
                </c:pt>
                <c:pt idx="27">
                  <c:v>-7.4548434741841503E-3</c:v>
                </c:pt>
                <c:pt idx="28">
                  <c:v>-7.3361436680925958E-3</c:v>
                </c:pt>
                <c:pt idx="29">
                  <c:v>-7.229963767138606E-3</c:v>
                </c:pt>
                <c:pt idx="30">
                  <c:v>-7.1518452792455065E-3</c:v>
                </c:pt>
                <c:pt idx="31">
                  <c:v>-7.0988977914348385E-3</c:v>
                </c:pt>
                <c:pt idx="32">
                  <c:v>-7.0529903633950548E-3</c:v>
                </c:pt>
                <c:pt idx="33">
                  <c:v>-7.028695368139503E-3</c:v>
                </c:pt>
                <c:pt idx="34">
                  <c:v>-7.023524989300832E-3</c:v>
                </c:pt>
                <c:pt idx="35">
                  <c:v>-7.0256353347865914E-3</c:v>
                </c:pt>
                <c:pt idx="36">
                  <c:v>-7.0228630921414428E-3</c:v>
                </c:pt>
                <c:pt idx="37">
                  <c:v>-7.0053579368105617E-3</c:v>
                </c:pt>
                <c:pt idx="38">
                  <c:v>-6.9722338823819223E-3</c:v>
                </c:pt>
                <c:pt idx="39">
                  <c:v>-6.9319315410371661E-3</c:v>
                </c:pt>
                <c:pt idx="40">
                  <c:v>-6.8900363272985524E-3</c:v>
                </c:pt>
                <c:pt idx="41">
                  <c:v>-6.8452968913999546E-3</c:v>
                </c:pt>
                <c:pt idx="42">
                  <c:v>-6.7933344893319238E-3</c:v>
                </c:pt>
                <c:pt idx="43">
                  <c:v>-6.721329508104403E-3</c:v>
                </c:pt>
                <c:pt idx="44">
                  <c:v>-6.6194914835981632E-3</c:v>
                </c:pt>
                <c:pt idx="45">
                  <c:v>-6.4889243817169463E-3</c:v>
                </c:pt>
                <c:pt idx="46">
                  <c:v>-6.3302704035577513E-3</c:v>
                </c:pt>
                <c:pt idx="47">
                  <c:v>-6.1450260153091555E-3</c:v>
                </c:pt>
                <c:pt idx="48">
                  <c:v>-5.93907034407333E-3</c:v>
                </c:pt>
                <c:pt idx="49">
                  <c:v>-5.7179339404702717E-3</c:v>
                </c:pt>
                <c:pt idx="50">
                  <c:v>-5.4856419078382502E-3</c:v>
                </c:pt>
                <c:pt idx="51">
                  <c:v>-5.2462093035208429E-3</c:v>
                </c:pt>
                <c:pt idx="52">
                  <c:v>-5.0051159290717233E-3</c:v>
                </c:pt>
                <c:pt idx="53">
                  <c:v>-4.7675353631692402E-3</c:v>
                </c:pt>
                <c:pt idx="54">
                  <c:v>-4.5363031286643034E-3</c:v>
                </c:pt>
                <c:pt idx="55">
                  <c:v>-4.3120719837502555E-3</c:v>
                </c:pt>
                <c:pt idx="56">
                  <c:v>-4.0937148227126558E-3</c:v>
                </c:pt>
                <c:pt idx="57">
                  <c:v>-3.879613056019123E-3</c:v>
                </c:pt>
                <c:pt idx="58">
                  <c:v>-3.6684735465819219E-3</c:v>
                </c:pt>
                <c:pt idx="59">
                  <c:v>-3.461029438628865E-3</c:v>
                </c:pt>
                <c:pt idx="60">
                  <c:v>-3.2601122985663981E-3</c:v>
                </c:pt>
                <c:pt idx="61">
                  <c:v>-3.0679679683249354E-3</c:v>
                </c:pt>
                <c:pt idx="62">
                  <c:v>-2.8852434030792518E-3</c:v>
                </c:pt>
                <c:pt idx="63">
                  <c:v>-2.7123512399220245E-3</c:v>
                </c:pt>
                <c:pt idx="64">
                  <c:v>-2.5503283150180786E-3</c:v>
                </c:pt>
                <c:pt idx="65">
                  <c:v>-2.3992590802878349E-3</c:v>
                </c:pt>
                <c:pt idx="66">
                  <c:v>-2.2588378226186742E-3</c:v>
                </c:pt>
                <c:pt idx="67">
                  <c:v>-2.1293978133967604E-3</c:v>
                </c:pt>
                <c:pt idx="68">
                  <c:v>-2.0115812770574886E-3</c:v>
                </c:pt>
                <c:pt idx="69">
                  <c:v>-1.89874065670251E-3</c:v>
                </c:pt>
                <c:pt idx="70">
                  <c:v>-1.7868564416684575E-3</c:v>
                </c:pt>
                <c:pt idx="71">
                  <c:v>-1.6818955146509988E-3</c:v>
                </c:pt>
                <c:pt idx="72">
                  <c:v>-1.5819453107519641E-3</c:v>
                </c:pt>
                <c:pt idx="73">
                  <c:v>-1.483268475195529E-3</c:v>
                </c:pt>
                <c:pt idx="74">
                  <c:v>-1.3869559188868195E-3</c:v>
                </c:pt>
                <c:pt idx="75">
                  <c:v>-1.2927702978837424E-3</c:v>
                </c:pt>
                <c:pt idx="76">
                  <c:v>-1.1999837428059077E-3</c:v>
                </c:pt>
                <c:pt idx="77">
                  <c:v>-1.1080355918630796E-3</c:v>
                </c:pt>
                <c:pt idx="78">
                  <c:v>-1.0167946803848092E-3</c:v>
                </c:pt>
                <c:pt idx="79">
                  <c:v>-9.2711961435493347E-4</c:v>
                </c:pt>
                <c:pt idx="80">
                  <c:v>-8.4019891855371595E-4</c:v>
                </c:pt>
                <c:pt idx="81">
                  <c:v>-7.5661993906522981E-4</c:v>
                </c:pt>
                <c:pt idx="82">
                  <c:v>-6.7669881994282207E-4</c:v>
                </c:pt>
                <c:pt idx="83">
                  <c:v>-6.000123403268235E-4</c:v>
                </c:pt>
                <c:pt idx="84">
                  <c:v>-5.2764998298623716E-4</c:v>
                </c:pt>
                <c:pt idx="85">
                  <c:v>-4.591538276703465E-4</c:v>
                </c:pt>
                <c:pt idx="86">
                  <c:v>-3.9510290549221727E-4</c:v>
                </c:pt>
                <c:pt idx="87">
                  <c:v>-3.3630363400415786E-4</c:v>
                </c:pt>
                <c:pt idx="88">
                  <c:v>-2.831548206407018E-4</c:v>
                </c:pt>
                <c:pt idx="89">
                  <c:v>-2.3532432419977716E-4</c:v>
                </c:pt>
                <c:pt idx="90">
                  <c:v>-1.9372523667994466E-4</c:v>
                </c:pt>
                <c:pt idx="91">
                  <c:v>-1.5762355796537024E-4</c:v>
                </c:pt>
                <c:pt idx="92">
                  <c:v>-1.2679471224358822E-4</c:v>
                </c:pt>
                <c:pt idx="93">
                  <c:v>-1.0087592271703158E-4</c:v>
                </c:pt>
                <c:pt idx="94">
                  <c:v>-7.9239640090754819E-5</c:v>
                </c:pt>
                <c:pt idx="95">
                  <c:v>-6.1336475281304761E-5</c:v>
                </c:pt>
                <c:pt idx="96">
                  <c:v>-4.6745678457172645E-5</c:v>
                </c:pt>
                <c:pt idx="97">
                  <c:v>-3.5018501902039009E-5</c:v>
                </c:pt>
                <c:pt idx="98">
                  <c:v>-2.5730189911199104E-5</c:v>
                </c:pt>
                <c:pt idx="99">
                  <c:v>-1.8540802986718231E-5</c:v>
                </c:pt>
                <c:pt idx="100">
                  <c:v>-1.3150512647498414E-5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4F-47AA-9780-3A783E870892}"/>
            </c:ext>
          </c:extLst>
        </c:ser>
        <c:ser>
          <c:idx val="1"/>
          <c:order val="1"/>
          <c:tx>
            <c:strRef>
              <c:f>'Piramide poblacional'!$H$8</c:f>
              <c:strCache>
                <c:ptCount val="1"/>
                <c:pt idx="0">
                  <c:v>Mujeres</c:v>
                </c:pt>
              </c:strCache>
            </c:strRef>
          </c:tx>
          <c:spPr>
            <a:solidFill>
              <a:srgbClr val="FF85FF"/>
            </a:solidFill>
            <a:ln>
              <a:solidFill>
                <a:srgbClr val="FFE7FF"/>
              </a:solidFill>
            </a:ln>
            <a:effectLst/>
          </c:spPr>
          <c:invertIfNegative val="0"/>
          <c:cat>
            <c:numRef>
              <c:f>'Piramide poblacional'!$F$9:$F$118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'Piramide poblacional'!$H$9:$H$118</c:f>
              <c:numCache>
                <c:formatCode>0.000%</c:formatCode>
                <c:ptCount val="110"/>
                <c:pt idx="0">
                  <c:v>9.0042538061034325E-3</c:v>
                </c:pt>
                <c:pt idx="1">
                  <c:v>8.9723614681856724E-3</c:v>
                </c:pt>
                <c:pt idx="2">
                  <c:v>8.972325368011326E-3</c:v>
                </c:pt>
                <c:pt idx="3">
                  <c:v>8.9636395617188336E-3</c:v>
                </c:pt>
                <c:pt idx="4">
                  <c:v>8.8068508637774781E-3</c:v>
                </c:pt>
                <c:pt idx="5">
                  <c:v>9.0193369050430554E-3</c:v>
                </c:pt>
                <c:pt idx="6">
                  <c:v>9.3286984500720021E-3</c:v>
                </c:pt>
                <c:pt idx="7">
                  <c:v>9.3121455504458633E-3</c:v>
                </c:pt>
                <c:pt idx="8">
                  <c:v>9.3567595131920454E-3</c:v>
                </c:pt>
                <c:pt idx="9">
                  <c:v>9.3419218898073125E-3</c:v>
                </c:pt>
                <c:pt idx="10">
                  <c:v>9.280635718775878E-3</c:v>
                </c:pt>
                <c:pt idx="11">
                  <c:v>9.2211363761873257E-3</c:v>
                </c:pt>
                <c:pt idx="12">
                  <c:v>9.1641088989044481E-3</c:v>
                </c:pt>
                <c:pt idx="13">
                  <c:v>9.0988206068978762E-3</c:v>
                </c:pt>
                <c:pt idx="14">
                  <c:v>9.0419893120095816E-3</c:v>
                </c:pt>
                <c:pt idx="15">
                  <c:v>9.0068227053191272E-3</c:v>
                </c:pt>
                <c:pt idx="16">
                  <c:v>8.9718808533523417E-3</c:v>
                </c:pt>
                <c:pt idx="17">
                  <c:v>8.9320923892042582E-3</c:v>
                </c:pt>
                <c:pt idx="18">
                  <c:v>8.9017076656233724E-3</c:v>
                </c:pt>
                <c:pt idx="19">
                  <c:v>8.8494799182694903E-3</c:v>
                </c:pt>
                <c:pt idx="20">
                  <c:v>8.7978461840327316E-3</c:v>
                </c:pt>
                <c:pt idx="21">
                  <c:v>8.7244458144102102E-3</c:v>
                </c:pt>
                <c:pt idx="22">
                  <c:v>8.5777094082343953E-3</c:v>
                </c:pt>
                <c:pt idx="23">
                  <c:v>8.4472285969323362E-3</c:v>
                </c:pt>
                <c:pt idx="24">
                  <c:v>8.3399108538978906E-3</c:v>
                </c:pt>
                <c:pt idx="25">
                  <c:v>8.1881581273693278E-3</c:v>
                </c:pt>
                <c:pt idx="26">
                  <c:v>7.9704642128205737E-3</c:v>
                </c:pt>
                <c:pt idx="27">
                  <c:v>7.8000563228857343E-3</c:v>
                </c:pt>
                <c:pt idx="28">
                  <c:v>7.7338142039896076E-3</c:v>
                </c:pt>
                <c:pt idx="29">
                  <c:v>7.6646260609918443E-3</c:v>
                </c:pt>
                <c:pt idx="30">
                  <c:v>7.6073200346298761E-3</c:v>
                </c:pt>
                <c:pt idx="31">
                  <c:v>7.5826464654669481E-3</c:v>
                </c:pt>
                <c:pt idx="32">
                  <c:v>7.5634496371122335E-3</c:v>
                </c:pt>
                <c:pt idx="33">
                  <c:v>7.557226920012948E-3</c:v>
                </c:pt>
                <c:pt idx="34">
                  <c:v>7.5575992869399014E-3</c:v>
                </c:pt>
                <c:pt idx="35">
                  <c:v>7.5593597876189231E-3</c:v>
                </c:pt>
                <c:pt idx="36">
                  <c:v>7.5586995395571614E-3</c:v>
                </c:pt>
                <c:pt idx="37">
                  <c:v>7.5446058248588906E-3</c:v>
                </c:pt>
                <c:pt idx="38">
                  <c:v>7.5129403295022355E-3</c:v>
                </c:pt>
                <c:pt idx="39">
                  <c:v>7.4708687504848464E-3</c:v>
                </c:pt>
                <c:pt idx="40">
                  <c:v>7.4226373358809248E-3</c:v>
                </c:pt>
                <c:pt idx="41">
                  <c:v>7.3671735555711267E-3</c:v>
                </c:pt>
                <c:pt idx="42">
                  <c:v>7.300703386247981E-3</c:v>
                </c:pt>
                <c:pt idx="43">
                  <c:v>7.2125783621917973E-3</c:v>
                </c:pt>
                <c:pt idx="44">
                  <c:v>7.0942316776088895E-3</c:v>
                </c:pt>
                <c:pt idx="45">
                  <c:v>6.944822830788247E-3</c:v>
                </c:pt>
                <c:pt idx="46">
                  <c:v>6.7652948500120753E-3</c:v>
                </c:pt>
                <c:pt idx="47">
                  <c:v>6.5600013002133093E-3</c:v>
                </c:pt>
                <c:pt idx="48">
                  <c:v>6.3361496711374608E-3</c:v>
                </c:pt>
                <c:pt idx="49">
                  <c:v>6.0993070630482819E-3</c:v>
                </c:pt>
                <c:pt idx="50">
                  <c:v>5.8543635662596525E-3</c:v>
                </c:pt>
                <c:pt idx="51">
                  <c:v>5.6073803260174452E-3</c:v>
                </c:pt>
                <c:pt idx="52">
                  <c:v>5.3644384812374683E-3</c:v>
                </c:pt>
                <c:pt idx="53">
                  <c:v>5.1293150114873898E-3</c:v>
                </c:pt>
                <c:pt idx="54">
                  <c:v>4.9020835747899437E-3</c:v>
                </c:pt>
                <c:pt idx="55">
                  <c:v>4.6798124221241102E-3</c:v>
                </c:pt>
                <c:pt idx="56">
                  <c:v>4.4599838833157901E-3</c:v>
                </c:pt>
                <c:pt idx="57">
                  <c:v>4.2420026067291347E-3</c:v>
                </c:pt>
                <c:pt idx="58">
                  <c:v>4.0260852526602074E-3</c:v>
                </c:pt>
                <c:pt idx="59">
                  <c:v>3.8132768099720347E-3</c:v>
                </c:pt>
                <c:pt idx="60">
                  <c:v>3.6061530305395721E-3</c:v>
                </c:pt>
                <c:pt idx="61">
                  <c:v>3.4067026834620866E-3</c:v>
                </c:pt>
                <c:pt idx="62">
                  <c:v>3.2151693660192292E-3</c:v>
                </c:pt>
                <c:pt idx="63">
                  <c:v>3.0325149464419492E-3</c:v>
                </c:pt>
                <c:pt idx="64">
                  <c:v>2.8604400039837709E-3</c:v>
                </c:pt>
                <c:pt idx="65">
                  <c:v>2.6996874070521364E-3</c:v>
                </c:pt>
                <c:pt idx="66">
                  <c:v>2.5499391451310719E-3</c:v>
                </c:pt>
                <c:pt idx="67">
                  <c:v>2.4105159385746648E-3</c:v>
                </c:pt>
                <c:pt idx="68">
                  <c:v>2.2802119503451531E-3</c:v>
                </c:pt>
                <c:pt idx="69">
                  <c:v>2.1566506758125621E-3</c:v>
                </c:pt>
                <c:pt idx="70">
                  <c:v>2.0372729045072145E-3</c:v>
                </c:pt>
                <c:pt idx="71">
                  <c:v>1.9207624087929354E-3</c:v>
                </c:pt>
                <c:pt idx="72">
                  <c:v>1.8067057448401546E-3</c:v>
                </c:pt>
                <c:pt idx="73">
                  <c:v>1.6949115343322745E-3</c:v>
                </c:pt>
                <c:pt idx="74">
                  <c:v>1.5857071309407682E-3</c:v>
                </c:pt>
                <c:pt idx="75">
                  <c:v>1.4790519247855625E-3</c:v>
                </c:pt>
                <c:pt idx="76">
                  <c:v>1.3743186261619468E-3</c:v>
                </c:pt>
                <c:pt idx="77">
                  <c:v>1.2714717452903884E-3</c:v>
                </c:pt>
                <c:pt idx="78">
                  <c:v>1.1709982631543786E-3</c:v>
                </c:pt>
                <c:pt idx="79">
                  <c:v>1.0733526846630032E-3</c:v>
                </c:pt>
                <c:pt idx="80">
                  <c:v>9.7898150271761154E-4</c:v>
                </c:pt>
                <c:pt idx="81">
                  <c:v>8.8847570022877016E-4</c:v>
                </c:pt>
                <c:pt idx="82">
                  <c:v>8.0253254275612521E-4</c:v>
                </c:pt>
                <c:pt idx="83">
                  <c:v>7.209248840941325E-4</c:v>
                </c:pt>
                <c:pt idx="84">
                  <c:v>6.4301843774833994E-4</c:v>
                </c:pt>
                <c:pt idx="85">
                  <c:v>5.6832476174931829E-4</c:v>
                </c:pt>
                <c:pt idx="86">
                  <c:v>4.976847161185428E-4</c:v>
                </c:pt>
                <c:pt idx="87">
                  <c:v>4.314560080803312E-4</c:v>
                </c:pt>
                <c:pt idx="88">
                  <c:v>3.7007166934970877E-4</c:v>
                </c:pt>
                <c:pt idx="89">
                  <c:v>3.1355749772258836E-4</c:v>
                </c:pt>
                <c:pt idx="90">
                  <c:v>2.6332123368247377E-4</c:v>
                </c:pt>
                <c:pt idx="91">
                  <c:v>2.1872130345702907E-4</c:v>
                </c:pt>
                <c:pt idx="92">
                  <c:v>1.7956250882170921E-4</c:v>
                </c:pt>
                <c:pt idx="93">
                  <c:v>1.4551977247135475E-4</c:v>
                </c:pt>
                <c:pt idx="94">
                  <c:v>1.1635343098798688E-4</c:v>
                </c:pt>
                <c:pt idx="95">
                  <c:v>9.1670488395412052E-5</c:v>
                </c:pt>
                <c:pt idx="96">
                  <c:v>7.1044691090028784E-5</c:v>
                </c:pt>
                <c:pt idx="97">
                  <c:v>5.4122558167221279E-5</c:v>
                </c:pt>
                <c:pt idx="98">
                  <c:v>4.0487857429252369E-5</c:v>
                </c:pt>
                <c:pt idx="99">
                  <c:v>2.9743072476193815E-5</c:v>
                </c:pt>
                <c:pt idx="100">
                  <c:v>2.149854816941203E-5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4F-47AA-9780-3A783E870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18641247"/>
        <c:axId val="422251343"/>
      </c:barChart>
      <c:catAx>
        <c:axId val="4186412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2251343"/>
        <c:crosses val="autoZero"/>
        <c:auto val="1"/>
        <c:lblAlgn val="ctr"/>
        <c:lblOffset val="100"/>
        <c:noMultiLvlLbl val="0"/>
      </c:catAx>
      <c:valAx>
        <c:axId val="422251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#%;#,##0.#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8641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205740</xdr:colOff>
      <xdr:row>6</xdr:row>
      <xdr:rowOff>175260</xdr:rowOff>
    </xdr:from>
    <xdr:to>
      <xdr:col>12</xdr:col>
      <xdr:colOff>342900</xdr:colOff>
      <xdr:row>15</xdr:row>
      <xdr:rowOff>167640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FABFD19-C58A-4FEC-ABFB-621E79C41662}"/>
            </a:ext>
          </a:extLst>
        </xdr:cNvPr>
        <xdr:cNvSpPr/>
      </xdr:nvSpPr>
      <xdr:spPr>
        <a:xfrm>
          <a:off x="5753100" y="1272540"/>
          <a:ext cx="4099560" cy="16383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2000" b="1" i="1">
              <a:latin typeface="Book Antiqua" panose="02040602050305030304" pitchFamily="18" charset="0"/>
            </a:rPr>
            <a:t>Lopéz Hernández Alejandro</a:t>
          </a:r>
          <a:r>
            <a:rPr lang="es-MX" sz="2000" b="1" i="1" baseline="0">
              <a:latin typeface="Book Antiqua" panose="02040602050305030304" pitchFamily="18" charset="0"/>
            </a:rPr>
            <a:t> </a:t>
          </a:r>
          <a:endParaRPr lang="es-MX" sz="2000" b="1" i="1">
            <a:latin typeface="Book Antiqua" panose="02040602050305030304" pitchFamily="18" charset="0"/>
          </a:endParaRPr>
        </a:p>
        <a:p>
          <a:pPr algn="ctr"/>
          <a:r>
            <a:rPr lang="es-MX" sz="2000" b="1" i="1">
              <a:latin typeface="Book Antiqua" panose="02040602050305030304" pitchFamily="18" charset="0"/>
            </a:rPr>
            <a:t>Montoya Franco Luis</a:t>
          </a:r>
          <a:r>
            <a:rPr lang="es-MX" sz="2000" b="1" i="1" baseline="0">
              <a:latin typeface="Book Antiqua" panose="02040602050305030304" pitchFamily="18" charset="0"/>
            </a:rPr>
            <a:t> Angel </a:t>
          </a:r>
        </a:p>
        <a:p>
          <a:pPr algn="ctr"/>
          <a:r>
            <a:rPr lang="es-MX" sz="2000" b="1" i="1" baseline="0">
              <a:latin typeface="Book Antiqua" panose="02040602050305030304" pitchFamily="18" charset="0"/>
            </a:rPr>
            <a:t>Demografía </a:t>
          </a:r>
        </a:p>
        <a:p>
          <a:pPr algn="ctr"/>
          <a:r>
            <a:rPr lang="es-MX" sz="2000" b="1" i="1" baseline="0">
              <a:latin typeface="Book Antiqua" panose="02040602050305030304" pitchFamily="18" charset="0"/>
            </a:rPr>
            <a:t>Población de Chihuahua</a:t>
          </a:r>
          <a:endParaRPr lang="es-MX" sz="2000" b="1" i="1"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2</xdr:col>
      <xdr:colOff>579120</xdr:colOff>
      <xdr:row>23</xdr:row>
      <xdr:rowOff>68580</xdr:rowOff>
    </xdr:from>
    <xdr:to>
      <xdr:col>5</xdr:col>
      <xdr:colOff>53340</xdr:colOff>
      <xdr:row>26</xdr:row>
      <xdr:rowOff>114300</xdr:rowOff>
    </xdr:to>
    <xdr:sp macro="[0]!Macro7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414769A-BA9D-48D9-B5F8-8BABC7EF587A}"/>
            </a:ext>
          </a:extLst>
        </xdr:cNvPr>
        <xdr:cNvSpPr/>
      </xdr:nvSpPr>
      <xdr:spPr>
        <a:xfrm>
          <a:off x="1371600" y="4274820"/>
          <a:ext cx="1851660" cy="594360"/>
        </a:xfrm>
        <a:prstGeom prst="roundRect">
          <a:avLst/>
        </a:prstGeom>
        <a:solidFill>
          <a:srgbClr val="65FF65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 i="1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Población</a:t>
          </a:r>
          <a:r>
            <a:rPr lang="es-MX" sz="18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 </a:t>
          </a:r>
          <a:endParaRPr lang="es-MX" sz="18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5</xdr:col>
      <xdr:colOff>579120</xdr:colOff>
      <xdr:row>23</xdr:row>
      <xdr:rowOff>68580</xdr:rowOff>
    </xdr:from>
    <xdr:to>
      <xdr:col>8</xdr:col>
      <xdr:colOff>53340</xdr:colOff>
      <xdr:row>26</xdr:row>
      <xdr:rowOff>114300</xdr:rowOff>
    </xdr:to>
    <xdr:sp macro="[0]!Macro8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2F02A20-A2A6-4591-93AB-488CD8328E09}"/>
            </a:ext>
          </a:extLst>
        </xdr:cNvPr>
        <xdr:cNvSpPr/>
      </xdr:nvSpPr>
      <xdr:spPr>
        <a:xfrm>
          <a:off x="3749040" y="4274820"/>
          <a:ext cx="1851660" cy="59436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Piramide poblacional </a:t>
          </a:r>
          <a:endParaRPr lang="es-MX" sz="14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8</xdr:col>
      <xdr:colOff>579120</xdr:colOff>
      <xdr:row>23</xdr:row>
      <xdr:rowOff>68580</xdr:rowOff>
    </xdr:from>
    <xdr:to>
      <xdr:col>11</xdr:col>
      <xdr:colOff>53340</xdr:colOff>
      <xdr:row>26</xdr:row>
      <xdr:rowOff>114300</xdr:rowOff>
    </xdr:to>
    <xdr:sp macro="[0]!Macro9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3E58BE21-3A00-4352-BA12-EF990638882E}"/>
            </a:ext>
          </a:extLst>
        </xdr:cNvPr>
        <xdr:cNvSpPr/>
      </xdr:nvSpPr>
      <xdr:spPr>
        <a:xfrm>
          <a:off x="6126480" y="4274820"/>
          <a:ext cx="1851660" cy="594360"/>
        </a:xfrm>
        <a:prstGeom prst="roundRect">
          <a:avLst/>
        </a:prstGeom>
        <a:solidFill>
          <a:srgbClr val="FFABFF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i="1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Interpolación</a:t>
          </a:r>
          <a:r>
            <a:rPr lang="es-MX" sz="14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 de Beers</a:t>
          </a:r>
          <a:endParaRPr lang="es-MX" sz="14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11</xdr:col>
      <xdr:colOff>579120</xdr:colOff>
      <xdr:row>23</xdr:row>
      <xdr:rowOff>68580</xdr:rowOff>
    </xdr:from>
    <xdr:to>
      <xdr:col>14</xdr:col>
      <xdr:colOff>53340</xdr:colOff>
      <xdr:row>26</xdr:row>
      <xdr:rowOff>114300</xdr:rowOff>
    </xdr:to>
    <xdr:sp macro="[0]!Macro10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DC90A1AA-CB73-48F9-A230-467AD37B6B51}"/>
            </a:ext>
          </a:extLst>
        </xdr:cNvPr>
        <xdr:cNvSpPr/>
      </xdr:nvSpPr>
      <xdr:spPr>
        <a:xfrm>
          <a:off x="8503920" y="4274820"/>
          <a:ext cx="1851660" cy="594360"/>
        </a:xfrm>
        <a:prstGeom prst="roundRect">
          <a:avLst/>
        </a:prstGeom>
        <a:solidFill>
          <a:srgbClr val="64EEEE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i="1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Correción</a:t>
          </a:r>
          <a:r>
            <a:rPr lang="es-MX" sz="14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 e Indice de Whipple</a:t>
          </a:r>
          <a:endParaRPr lang="es-MX" sz="14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14</xdr:col>
      <xdr:colOff>624840</xdr:colOff>
      <xdr:row>23</xdr:row>
      <xdr:rowOff>68580</xdr:rowOff>
    </xdr:from>
    <xdr:to>
      <xdr:col>17</xdr:col>
      <xdr:colOff>99060</xdr:colOff>
      <xdr:row>26</xdr:row>
      <xdr:rowOff>114300</xdr:rowOff>
    </xdr:to>
    <xdr:sp macro="[0]!Macro11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61E3184-7EA5-40FB-B78B-5EED92EAFF7C}"/>
            </a:ext>
          </a:extLst>
        </xdr:cNvPr>
        <xdr:cNvSpPr/>
      </xdr:nvSpPr>
      <xdr:spPr>
        <a:xfrm>
          <a:off x="10927080" y="4274820"/>
          <a:ext cx="1851660" cy="594360"/>
        </a:xfrm>
        <a:prstGeom prst="roundRect">
          <a:avLst/>
        </a:prstGeom>
        <a:solidFill>
          <a:srgbClr val="FFFF0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i="1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Tablas</a:t>
          </a:r>
          <a:r>
            <a:rPr lang="es-MX" sz="1400" b="1" i="1" baseline="0">
              <a:solidFill>
                <a:schemeClr val="tx1">
                  <a:lumMod val="95000"/>
                  <a:lumOff val="5000"/>
                </a:schemeClr>
              </a:solidFill>
              <a:latin typeface="Book Antiqua" panose="02040602050305030304" pitchFamily="18" charset="0"/>
            </a:rPr>
            <a:t> de mortalidad</a:t>
          </a:r>
          <a:endParaRPr lang="es-MX" sz="1400" b="1" i="1">
            <a:solidFill>
              <a:schemeClr val="tx1">
                <a:lumMod val="95000"/>
                <a:lumOff val="5000"/>
              </a:schemeClr>
            </a:solidFill>
            <a:latin typeface="Book Antiqua" panose="0204060205030503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13</xdr:row>
      <xdr:rowOff>133350</xdr:rowOff>
    </xdr:from>
    <xdr:to>
      <xdr:col>5</xdr:col>
      <xdr:colOff>485775</xdr:colOff>
      <xdr:row>13</xdr:row>
      <xdr:rowOff>133350</xdr:rowOff>
    </xdr:to>
    <xdr:cxnSp macro="">
      <xdr:nvCxnSpPr>
        <xdr:cNvPr id="2" name="Conector recto de flecha 1">
          <a:extLst>
            <a:ext uri="{FF2B5EF4-FFF2-40B4-BE49-F238E27FC236}">
              <a16:creationId xmlns:a16="http://schemas.microsoft.com/office/drawing/2014/main" id="{120E2163-EA8D-45E8-92A5-034A82DC53AD}"/>
            </a:ext>
          </a:extLst>
        </xdr:cNvPr>
        <xdr:cNvCxnSpPr/>
      </xdr:nvCxnSpPr>
      <xdr:spPr>
        <a:xfrm>
          <a:off x="3171825" y="2609850"/>
          <a:ext cx="1123950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746760</xdr:colOff>
      <xdr:row>3</xdr:row>
      <xdr:rowOff>91440</xdr:rowOff>
    </xdr:from>
    <xdr:to>
      <xdr:col>17</xdr:col>
      <xdr:colOff>175260</xdr:colOff>
      <xdr:row>28</xdr:row>
      <xdr:rowOff>30480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31B3CC9-139C-4B70-89CD-2CC0A960A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99060</xdr:colOff>
      <xdr:row>14</xdr:row>
      <xdr:rowOff>0</xdr:rowOff>
    </xdr:from>
    <xdr:to>
      <xdr:col>11</xdr:col>
      <xdr:colOff>449580</xdr:colOff>
      <xdr:row>14</xdr:row>
      <xdr:rowOff>175260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3EE9C9D-6014-41F4-ABF0-9F6FADBD2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7635" y="2686050"/>
          <a:ext cx="35052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99060</xdr:colOff>
      <xdr:row>15</xdr:row>
      <xdr:rowOff>7620</xdr:rowOff>
    </xdr:from>
    <xdr:to>
      <xdr:col>11</xdr:col>
      <xdr:colOff>449580</xdr:colOff>
      <xdr:row>16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CB235B7-B930-4A83-ABC5-EE2D2360F1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7635" y="2884170"/>
          <a:ext cx="350520" cy="182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91440</xdr:colOff>
      <xdr:row>16</xdr:row>
      <xdr:rowOff>7620</xdr:rowOff>
    </xdr:from>
    <xdr:to>
      <xdr:col>11</xdr:col>
      <xdr:colOff>525780</xdr:colOff>
      <xdr:row>17</xdr:row>
      <xdr:rowOff>15240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1BE4D54-F528-4CF8-ABAF-2F986B9F05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0015" y="3074670"/>
          <a:ext cx="434340" cy="20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"/>
  <sheetViews>
    <sheetView showGridLines="0" tabSelected="1" topLeftCell="B1" workbookViewId="0">
      <selection activeCell="D9" sqref="D9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92D050"/>
  </sheetPr>
  <dimension ref="A1:N114"/>
  <sheetViews>
    <sheetView workbookViewId="0">
      <selection activeCell="E5" sqref="E5"/>
    </sheetView>
  </sheetViews>
  <sheetFormatPr baseColWidth="10" defaultColWidth="11.44140625" defaultRowHeight="14.4" x14ac:dyDescent="0.3"/>
  <cols>
    <col min="1" max="7" width="11.44140625" style="140"/>
    <col min="8" max="9" width="8.5546875" style="140" customWidth="1"/>
    <col min="10" max="13" width="11.44140625" style="140"/>
    <col min="14" max="14" width="11.5546875" customWidth="1"/>
    <col min="15" max="16384" width="11.44140625" style="140"/>
  </cols>
  <sheetData>
    <row r="1" spans="1:9" s="140" customFormat="1" x14ac:dyDescent="0.3"/>
    <row r="2" spans="1:9" s="140" customFormat="1" x14ac:dyDescent="0.3"/>
    <row r="3" spans="1:9" s="140" customFormat="1" ht="15" thickBot="1" x14ac:dyDescent="0.35"/>
    <row r="4" spans="1:9" s="140" customFormat="1" ht="15" thickBot="1" x14ac:dyDescent="0.35">
      <c r="A4" s="167" t="s">
        <v>3</v>
      </c>
      <c r="B4" s="166" t="s">
        <v>0</v>
      </c>
      <c r="C4" s="169" t="s">
        <v>1</v>
      </c>
      <c r="D4" s="168" t="s">
        <v>120</v>
      </c>
    </row>
    <row r="5" spans="1:9" s="140" customFormat="1" x14ac:dyDescent="0.3">
      <c r="A5" s="163">
        <v>0</v>
      </c>
      <c r="B5" s="171">
        <v>34996.566694600202</v>
      </c>
      <c r="C5" s="174">
        <v>33406.943507173601</v>
      </c>
      <c r="D5" s="177">
        <f>SUM(B5:C5)</f>
        <v>68403.51020177381</v>
      </c>
      <c r="G5" s="193" t="s">
        <v>128</v>
      </c>
      <c r="H5" s="193"/>
      <c r="I5" s="193"/>
    </row>
    <row r="6" spans="1:9" s="140" customFormat="1" ht="15" thickBot="1" x14ac:dyDescent="0.35">
      <c r="A6" s="164">
        <v>1</v>
      </c>
      <c r="B6" s="172">
        <v>34897.119236130602</v>
      </c>
      <c r="C6" s="175">
        <v>33288.618818190698</v>
      </c>
      <c r="D6" s="178">
        <f t="shared" ref="D6:D69" si="0">SUM(B6:C6)</f>
        <v>68185.738054321293</v>
      </c>
    </row>
    <row r="7" spans="1:9" s="140" customFormat="1" ht="15" thickBot="1" x14ac:dyDescent="0.35">
      <c r="A7" s="164">
        <v>2</v>
      </c>
      <c r="B7" s="172">
        <v>34959.9965681256</v>
      </c>
      <c r="C7" s="175">
        <v>33288.484881885597</v>
      </c>
      <c r="D7" s="178">
        <f t="shared" si="0"/>
        <v>68248.481450011197</v>
      </c>
      <c r="G7" s="167" t="s">
        <v>3</v>
      </c>
      <c r="H7" s="166" t="s">
        <v>0</v>
      </c>
      <c r="I7" s="170" t="s">
        <v>1</v>
      </c>
    </row>
    <row r="8" spans="1:9" s="140" customFormat="1" x14ac:dyDescent="0.3">
      <c r="A8" s="164">
        <v>3</v>
      </c>
      <c r="B8" s="172">
        <v>34992.3900719581</v>
      </c>
      <c r="C8" s="175">
        <v>33256.259419745598</v>
      </c>
      <c r="D8" s="178">
        <f t="shared" si="0"/>
        <v>68248.649491703691</v>
      </c>
      <c r="G8" s="180" t="s">
        <v>122</v>
      </c>
      <c r="H8" s="183">
        <f>139362+34997</f>
        <v>174359</v>
      </c>
      <c r="I8" s="186">
        <f>33407+171997</f>
        <v>205404</v>
      </c>
    </row>
    <row r="9" spans="1:9" s="140" customFormat="1" x14ac:dyDescent="0.3">
      <c r="A9" s="164">
        <v>4</v>
      </c>
      <c r="B9" s="172">
        <v>34512.212120931799</v>
      </c>
      <c r="C9" s="175">
        <v>32674.553118759301</v>
      </c>
      <c r="D9" s="178">
        <f t="shared" si="0"/>
        <v>67186.7652396911</v>
      </c>
      <c r="G9" s="181" t="s">
        <v>92</v>
      </c>
      <c r="H9" s="184">
        <v>181122.53592614277</v>
      </c>
      <c r="I9" s="187">
        <v>171997.36119711981</v>
      </c>
    </row>
    <row r="10" spans="1:9" s="140" customFormat="1" x14ac:dyDescent="0.3">
      <c r="A10" s="164">
        <v>5</v>
      </c>
      <c r="B10" s="172">
        <v>35385.257038694603</v>
      </c>
      <c r="C10" s="175">
        <v>33462.903750525198</v>
      </c>
      <c r="D10" s="178">
        <f t="shared" si="0"/>
        <v>68848.160789219808</v>
      </c>
      <c r="G10" s="181" t="s">
        <v>93</v>
      </c>
      <c r="H10" s="184">
        <v>177307.5017278025</v>
      </c>
      <c r="I10" s="187">
        <v>169948.73406793241</v>
      </c>
    </row>
    <row r="11" spans="1:9" s="140" customFormat="1" x14ac:dyDescent="0.3">
      <c r="A11" s="164">
        <v>6</v>
      </c>
      <c r="B11" s="172">
        <v>36514.234840835597</v>
      </c>
      <c r="C11" s="175">
        <v>34610.675001827403</v>
      </c>
      <c r="D11" s="178">
        <f t="shared" si="0"/>
        <v>71124.909842663008</v>
      </c>
      <c r="G11" s="181" t="s">
        <v>94</v>
      </c>
      <c r="H11" s="184">
        <v>168567.0616269935</v>
      </c>
      <c r="I11" s="187">
        <v>165701.7219742031</v>
      </c>
    </row>
    <row r="12" spans="1:9" s="140" customFormat="1" x14ac:dyDescent="0.3">
      <c r="A12" s="164">
        <v>7</v>
      </c>
      <c r="B12" s="172">
        <v>36376.923679845298</v>
      </c>
      <c r="C12" s="175">
        <v>34549.2616082694</v>
      </c>
      <c r="D12" s="178">
        <f t="shared" si="0"/>
        <v>70926.185288114706</v>
      </c>
      <c r="G12" s="181" t="s">
        <v>95</v>
      </c>
      <c r="H12" s="184">
        <v>155502.66865950701</v>
      </c>
      <c r="I12" s="187">
        <v>159116.8266314076</v>
      </c>
    </row>
    <row r="13" spans="1:9" s="140" customFormat="1" x14ac:dyDescent="0.3">
      <c r="A13" s="164">
        <v>8</v>
      </c>
      <c r="B13" s="172">
        <v>36477.305860602602</v>
      </c>
      <c r="C13" s="175">
        <v>34714.785166932597</v>
      </c>
      <c r="D13" s="178">
        <f t="shared" si="0"/>
        <v>71192.091027535207</v>
      </c>
      <c r="G13" s="181" t="s">
        <v>97</v>
      </c>
      <c r="H13" s="184">
        <v>139274.8984355228</v>
      </c>
      <c r="I13" s="187">
        <v>146019.98976789092</v>
      </c>
    </row>
    <row r="14" spans="1:9" s="140" customFormat="1" x14ac:dyDescent="0.3">
      <c r="A14" s="164">
        <v>9</v>
      </c>
      <c r="B14" s="172">
        <v>36368.814506164701</v>
      </c>
      <c r="C14" s="175">
        <v>34659.735669565198</v>
      </c>
      <c r="D14" s="178">
        <f t="shared" si="0"/>
        <v>71028.550175729906</v>
      </c>
      <c r="G14" s="181" t="s">
        <v>98</v>
      </c>
      <c r="H14" s="184">
        <v>131175.15081091871</v>
      </c>
      <c r="I14" s="187">
        <v>140496.06552070621</v>
      </c>
    </row>
    <row r="15" spans="1:9" s="140" customFormat="1" x14ac:dyDescent="0.3">
      <c r="A15" s="164">
        <v>10</v>
      </c>
      <c r="B15" s="172">
        <v>36076.661916432</v>
      </c>
      <c r="C15" s="175">
        <v>34432.356066823399</v>
      </c>
      <c r="D15" s="178">
        <f t="shared" si="0"/>
        <v>70509.017983255399</v>
      </c>
      <c r="G15" s="181" t="s">
        <v>99</v>
      </c>
      <c r="H15" s="184">
        <v>129698.77172659361</v>
      </c>
      <c r="I15" s="187">
        <v>139673.27720826142</v>
      </c>
    </row>
    <row r="16" spans="1:9" s="140" customFormat="1" x14ac:dyDescent="0.3">
      <c r="A16" s="164">
        <v>11</v>
      </c>
      <c r="B16" s="172">
        <v>35777.959133430697</v>
      </c>
      <c r="C16" s="175">
        <v>34211.6058281726</v>
      </c>
      <c r="D16" s="178">
        <f t="shared" si="0"/>
        <v>69989.56496160329</v>
      </c>
      <c r="G16" s="181" t="s">
        <v>100</v>
      </c>
      <c r="H16" s="184">
        <v>125660.1735106441</v>
      </c>
      <c r="I16" s="187">
        <v>135038.7698381872</v>
      </c>
    </row>
    <row r="17" spans="1:9" s="140" customFormat="1" x14ac:dyDescent="0.3">
      <c r="A17" s="164">
        <v>12</v>
      </c>
      <c r="B17" s="172">
        <v>35474.960817214996</v>
      </c>
      <c r="C17" s="175">
        <v>34000.026528769202</v>
      </c>
      <c r="D17" s="178">
        <f t="shared" si="0"/>
        <v>69474.987345984206</v>
      </c>
      <c r="G17" s="181" t="s">
        <v>103</v>
      </c>
      <c r="H17" s="184">
        <v>113608.69635259471</v>
      </c>
      <c r="I17" s="187">
        <v>121341.90614958591</v>
      </c>
    </row>
    <row r="18" spans="1:9" s="140" customFormat="1" x14ac:dyDescent="0.3">
      <c r="A18" s="164">
        <v>13</v>
      </c>
      <c r="B18" s="172">
        <v>35147.569311445499</v>
      </c>
      <c r="C18" s="175">
        <v>33757.798540785901</v>
      </c>
      <c r="D18" s="178">
        <f t="shared" si="0"/>
        <v>68905.3678522314</v>
      </c>
      <c r="G18" s="181" t="s">
        <v>104</v>
      </c>
      <c r="H18" s="184">
        <v>92904.620099017295</v>
      </c>
      <c r="I18" s="187">
        <v>99645.090996316896</v>
      </c>
    </row>
    <row r="19" spans="1:9" s="140" customFormat="1" x14ac:dyDescent="0.3">
      <c r="A19" s="164">
        <v>14</v>
      </c>
      <c r="B19" s="172">
        <v>34830.350549279297</v>
      </c>
      <c r="C19" s="175">
        <v>33546.947103381302</v>
      </c>
      <c r="D19" s="178">
        <f t="shared" si="0"/>
        <v>68377.297652660607</v>
      </c>
      <c r="G19" s="181" t="s">
        <v>105</v>
      </c>
      <c r="H19" s="184">
        <v>72031.794815745496</v>
      </c>
      <c r="I19" s="187">
        <v>78733.245542376899</v>
      </c>
    </row>
    <row r="20" spans="1:9" s="140" customFormat="1" x14ac:dyDescent="0.3">
      <c r="A20" s="164">
        <v>15</v>
      </c>
      <c r="B20" s="172">
        <v>34500.110166016697</v>
      </c>
      <c r="C20" s="175">
        <v>33416.474454748197</v>
      </c>
      <c r="D20" s="178">
        <f t="shared" si="0"/>
        <v>67916.584620764886</v>
      </c>
      <c r="G20" s="181" t="s">
        <v>106</v>
      </c>
      <c r="H20" s="184">
        <v>53707.839911892763</v>
      </c>
      <c r="I20" s="187">
        <v>59810.916124149197</v>
      </c>
    </row>
    <row r="21" spans="1:9" s="140" customFormat="1" x14ac:dyDescent="0.3">
      <c r="A21" s="164">
        <v>16</v>
      </c>
      <c r="B21" s="172">
        <v>34121.960626001201</v>
      </c>
      <c r="C21" s="175">
        <v>33286.835675141701</v>
      </c>
      <c r="D21" s="178">
        <f t="shared" si="0"/>
        <v>67408.796301142895</v>
      </c>
      <c r="G21" s="181" t="s">
        <v>107</v>
      </c>
      <c r="H21" s="184">
        <v>39690.280191404396</v>
      </c>
      <c r="I21" s="187">
        <v>44881.449951228402</v>
      </c>
    </row>
    <row r="22" spans="1:9" s="140" customFormat="1" x14ac:dyDescent="0.3">
      <c r="A22" s="164">
        <v>17</v>
      </c>
      <c r="B22" s="172">
        <v>33727.974465507497</v>
      </c>
      <c r="C22" s="175">
        <v>33139.215338947797</v>
      </c>
      <c r="D22" s="178">
        <f t="shared" si="0"/>
        <v>66867.189804455295</v>
      </c>
      <c r="G22" s="181" t="s">
        <v>108</v>
      </c>
      <c r="H22" s="184">
        <v>29387.641458923128</v>
      </c>
      <c r="I22" s="187">
        <v>33559.45176459878</v>
      </c>
    </row>
    <row r="23" spans="1:9" s="140" customFormat="1" x14ac:dyDescent="0.3">
      <c r="A23" s="164">
        <v>18</v>
      </c>
      <c r="B23" s="172">
        <v>33353.551381839898</v>
      </c>
      <c r="C23" s="175">
        <v>33026.4840936935</v>
      </c>
      <c r="D23" s="178">
        <f t="shared" si="0"/>
        <v>66380.035475533397</v>
      </c>
      <c r="G23" s="181" t="s">
        <v>109</v>
      </c>
      <c r="H23" s="184">
        <v>20571.56704506775</v>
      </c>
      <c r="I23" s="187">
        <v>23630.528800309825</v>
      </c>
    </row>
    <row r="24" spans="1:9" s="140" customFormat="1" x14ac:dyDescent="0.3">
      <c r="A24" s="164">
        <v>19</v>
      </c>
      <c r="B24" s="172">
        <v>32863.464987628198</v>
      </c>
      <c r="C24" s="175">
        <v>32832.712411671899</v>
      </c>
      <c r="D24" s="178">
        <f t="shared" si="0"/>
        <v>65696.177399300097</v>
      </c>
      <c r="G24" s="181" t="s">
        <v>110</v>
      </c>
      <c r="H24" s="184">
        <v>12618.816683058842</v>
      </c>
      <c r="I24" s="187">
        <v>14966.412209288032</v>
      </c>
    </row>
    <row r="25" spans="1:9" s="140" customFormat="1" x14ac:dyDescent="0.3">
      <c r="A25" s="164">
        <v>20</v>
      </c>
      <c r="B25" s="172">
        <v>32365.568085752901</v>
      </c>
      <c r="C25" s="175">
        <v>32641.1445949648</v>
      </c>
      <c r="D25" s="178">
        <f t="shared" si="0"/>
        <v>65006.712680717697</v>
      </c>
      <c r="G25" s="181" t="s">
        <v>111</v>
      </c>
      <c r="H25" s="184">
        <v>6340.7571197572979</v>
      </c>
      <c r="I25" s="187">
        <v>8092.1426057386398</v>
      </c>
    </row>
    <row r="26" spans="1:9" s="140" customFormat="1" x14ac:dyDescent="0.3">
      <c r="A26" s="164">
        <v>21</v>
      </c>
      <c r="B26" s="172">
        <v>31826.535192810799</v>
      </c>
      <c r="C26" s="175">
        <v>32368.819752264</v>
      </c>
      <c r="D26" s="178">
        <f t="shared" si="0"/>
        <v>64195.354945074796</v>
      </c>
      <c r="G26" s="181" t="s">
        <v>112</v>
      </c>
      <c r="H26" s="184">
        <v>2442.2260886888812</v>
      </c>
      <c r="I26" s="187">
        <v>3426.2234686881311</v>
      </c>
    </row>
    <row r="27" spans="1:9" s="140" customFormat="1" x14ac:dyDescent="0.3">
      <c r="A27" s="164">
        <v>22</v>
      </c>
      <c r="B27" s="172">
        <v>31056.978806310799</v>
      </c>
      <c r="C27" s="175">
        <v>31824.408750850602</v>
      </c>
      <c r="D27" s="178">
        <f t="shared" si="0"/>
        <v>62881.387557161404</v>
      </c>
      <c r="G27" s="181" t="s">
        <v>113</v>
      </c>
      <c r="H27" s="184">
        <v>695.17299404937944</v>
      </c>
      <c r="I27" s="187">
        <v>1065.0617992678958</v>
      </c>
    </row>
    <row r="28" spans="1:9" s="140" customFormat="1" ht="15" thickBot="1" x14ac:dyDescent="0.35">
      <c r="A28" s="164">
        <v>23</v>
      </c>
      <c r="B28" s="172">
        <v>30391.4149941744</v>
      </c>
      <c r="C28" s="175">
        <v>31340.3081040004</v>
      </c>
      <c r="D28" s="178">
        <f t="shared" si="0"/>
        <v>61731.7230981748</v>
      </c>
      <c r="G28" s="182" t="s">
        <v>114</v>
      </c>
      <c r="H28" s="185">
        <v>149.90892075636538</v>
      </c>
      <c r="I28" s="188">
        <v>252.63335452839846</v>
      </c>
    </row>
    <row r="29" spans="1:9" s="140" customFormat="1" x14ac:dyDescent="0.3">
      <c r="A29" s="164">
        <v>24</v>
      </c>
      <c r="B29" s="172">
        <v>29862.1715804581</v>
      </c>
      <c r="C29" s="175">
        <v>30942.1454293278</v>
      </c>
      <c r="D29" s="178">
        <f t="shared" si="0"/>
        <v>60804.317009785897</v>
      </c>
      <c r="H29" s="141"/>
      <c r="I29" s="141"/>
    </row>
    <row r="30" spans="1:9" s="140" customFormat="1" x14ac:dyDescent="0.3">
      <c r="A30" s="164">
        <v>25</v>
      </c>
      <c r="B30" s="172">
        <v>29206.6042497118</v>
      </c>
      <c r="C30" s="175">
        <v>30379.123232112201</v>
      </c>
      <c r="D30" s="178">
        <f t="shared" si="0"/>
        <v>59585.727481823997</v>
      </c>
      <c r="H30" s="141"/>
      <c r="I30" s="141"/>
    </row>
    <row r="31" spans="1:9" s="140" customFormat="1" x14ac:dyDescent="0.3">
      <c r="A31" s="164">
        <v>26</v>
      </c>
      <c r="B31" s="172">
        <v>28367.724783110702</v>
      </c>
      <c r="C31" s="175">
        <v>29571.4507184547</v>
      </c>
      <c r="D31" s="178">
        <f t="shared" si="0"/>
        <v>57939.175501565405</v>
      </c>
      <c r="H31" s="141"/>
      <c r="I31" s="141"/>
    </row>
    <row r="32" spans="1:9" s="140" customFormat="1" x14ac:dyDescent="0.3">
      <c r="A32" s="164">
        <v>27</v>
      </c>
      <c r="B32" s="172">
        <v>27658.4312436951</v>
      </c>
      <c r="C32" s="175">
        <v>28939.2154577859</v>
      </c>
      <c r="D32" s="178">
        <f t="shared" si="0"/>
        <v>56597.646701481004</v>
      </c>
    </row>
    <row r="33" spans="1:4" s="140" customFormat="1" x14ac:dyDescent="0.3">
      <c r="A33" s="164">
        <v>28</v>
      </c>
      <c r="B33" s="172">
        <v>27218.039646367499</v>
      </c>
      <c r="C33" s="175">
        <v>28693.448648962902</v>
      </c>
      <c r="D33" s="178">
        <f t="shared" si="0"/>
        <v>55911.488295330404</v>
      </c>
    </row>
    <row r="34" spans="1:4" s="140" customFormat="1" x14ac:dyDescent="0.3">
      <c r="A34" s="164">
        <v>29</v>
      </c>
      <c r="B34" s="172">
        <v>26824.098512637702</v>
      </c>
      <c r="C34" s="175">
        <v>28436.751710575201</v>
      </c>
      <c r="D34" s="178">
        <f t="shared" si="0"/>
        <v>55260.850223212903</v>
      </c>
    </row>
    <row r="35" spans="1:4" s="140" customFormat="1" x14ac:dyDescent="0.3">
      <c r="A35" s="164">
        <v>30</v>
      </c>
      <c r="B35" s="172">
        <v>26534.268842338799</v>
      </c>
      <c r="C35" s="175">
        <v>28224.1389581451</v>
      </c>
      <c r="D35" s="178">
        <f t="shared" si="0"/>
        <v>54758.407800483896</v>
      </c>
    </row>
    <row r="36" spans="1:4" s="140" customFormat="1" x14ac:dyDescent="0.3">
      <c r="A36" s="164">
        <v>31</v>
      </c>
      <c r="B36" s="172">
        <v>26337.826830349</v>
      </c>
      <c r="C36" s="175">
        <v>28132.596832734602</v>
      </c>
      <c r="D36" s="178">
        <f t="shared" si="0"/>
        <v>54470.423663083602</v>
      </c>
    </row>
    <row r="37" spans="1:4" s="140" customFormat="1" x14ac:dyDescent="0.3">
      <c r="A37" s="164">
        <v>32</v>
      </c>
      <c r="B37" s="172">
        <v>26167.504348540999</v>
      </c>
      <c r="C37" s="175">
        <v>28061.374122427598</v>
      </c>
      <c r="D37" s="178">
        <f t="shared" si="0"/>
        <v>54228.878470968601</v>
      </c>
    </row>
    <row r="38" spans="1:4" s="140" customFormat="1" x14ac:dyDescent="0.3">
      <c r="A38" s="164">
        <v>33</v>
      </c>
      <c r="B38" s="172">
        <v>26077.366781177101</v>
      </c>
      <c r="C38" s="175">
        <v>28038.287039025301</v>
      </c>
      <c r="D38" s="178">
        <f t="shared" si="0"/>
        <v>54115.653820202402</v>
      </c>
    </row>
    <row r="39" spans="1:4" s="140" customFormat="1" x14ac:dyDescent="0.3">
      <c r="A39" s="164">
        <v>34</v>
      </c>
      <c r="B39" s="172">
        <v>26058.184008512799</v>
      </c>
      <c r="C39" s="175">
        <v>28039.6685683736</v>
      </c>
      <c r="D39" s="178">
        <f t="shared" si="0"/>
        <v>54097.852576886398</v>
      </c>
    </row>
    <row r="40" spans="1:4" s="140" customFormat="1" x14ac:dyDescent="0.3">
      <c r="A40" s="164">
        <v>35</v>
      </c>
      <c r="B40" s="172">
        <v>26066.013662578702</v>
      </c>
      <c r="C40" s="175">
        <v>28046.200253063402</v>
      </c>
      <c r="D40" s="178">
        <f t="shared" si="0"/>
        <v>54112.213915642104</v>
      </c>
    </row>
    <row r="41" spans="1:4" s="140" customFormat="1" x14ac:dyDescent="0.3">
      <c r="A41" s="164">
        <v>36</v>
      </c>
      <c r="B41" s="172">
        <v>26055.7282846419</v>
      </c>
      <c r="C41" s="175">
        <v>28043.750647557499</v>
      </c>
      <c r="D41" s="178">
        <f t="shared" si="0"/>
        <v>54099.478932199403</v>
      </c>
    </row>
    <row r="42" spans="1:4" s="140" customFormat="1" x14ac:dyDescent="0.3">
      <c r="A42" s="164">
        <v>37</v>
      </c>
      <c r="B42" s="172">
        <v>25990.781899542599</v>
      </c>
      <c r="C42" s="175">
        <v>27991.461147409002</v>
      </c>
      <c r="D42" s="178">
        <f t="shared" si="0"/>
        <v>53982.243046951597</v>
      </c>
    </row>
    <row r="43" spans="1:4" s="140" customFormat="1" x14ac:dyDescent="0.3">
      <c r="A43" s="164">
        <v>38</v>
      </c>
      <c r="B43" s="172">
        <v>25867.887383366698</v>
      </c>
      <c r="C43" s="175">
        <v>27873.978073598999</v>
      </c>
      <c r="D43" s="178">
        <f t="shared" si="0"/>
        <v>53741.865456965694</v>
      </c>
    </row>
    <row r="44" spans="1:4" s="140" customFormat="1" x14ac:dyDescent="0.3">
      <c r="A44" s="164">
        <v>39</v>
      </c>
      <c r="B44" s="172">
        <v>25718.360496463702</v>
      </c>
      <c r="C44" s="175">
        <v>27717.887086632501</v>
      </c>
      <c r="D44" s="178">
        <f t="shared" si="0"/>
        <v>53436.247583096207</v>
      </c>
    </row>
    <row r="45" spans="1:4" s="140" customFormat="1" x14ac:dyDescent="0.3">
      <c r="A45" s="164">
        <v>40</v>
      </c>
      <c r="B45" s="172">
        <v>25562.9238474392</v>
      </c>
      <c r="C45" s="175">
        <v>27538.9423147901</v>
      </c>
      <c r="D45" s="178">
        <f t="shared" si="0"/>
        <v>53101.8661622293</v>
      </c>
    </row>
    <row r="46" spans="1:4" s="140" customFormat="1" x14ac:dyDescent="0.3">
      <c r="A46" s="164">
        <v>41</v>
      </c>
      <c r="B46" s="172">
        <v>25396.934767189799</v>
      </c>
      <c r="C46" s="175">
        <v>27333.164532932398</v>
      </c>
      <c r="D46" s="178">
        <f t="shared" si="0"/>
        <v>52730.099300122194</v>
      </c>
    </row>
    <row r="47" spans="1:4" s="140" customFormat="1" x14ac:dyDescent="0.3">
      <c r="A47" s="164">
        <v>42</v>
      </c>
      <c r="B47" s="172">
        <v>25204.147550418202</v>
      </c>
      <c r="C47" s="175">
        <v>27086.551627598099</v>
      </c>
      <c r="D47" s="178">
        <f t="shared" si="0"/>
        <v>52290.699178016301</v>
      </c>
    </row>
    <row r="48" spans="1:4" s="140" customFormat="1" x14ac:dyDescent="0.3">
      <c r="A48" s="164">
        <v>43</v>
      </c>
      <c r="B48" s="172">
        <v>24936.999778720299</v>
      </c>
      <c r="C48" s="175">
        <v>26759.5964169156</v>
      </c>
      <c r="D48" s="178">
        <f t="shared" si="0"/>
        <v>51696.596195635895</v>
      </c>
    </row>
    <row r="49" spans="1:4" s="140" customFormat="1" x14ac:dyDescent="0.3">
      <c r="A49" s="164">
        <v>44</v>
      </c>
      <c r="B49" s="172">
        <v>24559.1675668766</v>
      </c>
      <c r="C49" s="175">
        <v>26320.514945950999</v>
      </c>
      <c r="D49" s="178">
        <f t="shared" si="0"/>
        <v>50879.682512827596</v>
      </c>
    </row>
    <row r="50" spans="1:4" s="140" customFormat="1" x14ac:dyDescent="0.3">
      <c r="A50" s="164">
        <v>45</v>
      </c>
      <c r="B50" s="172">
        <v>24074.746770843001</v>
      </c>
      <c r="C50" s="175">
        <v>25766.1888449002</v>
      </c>
      <c r="D50" s="178">
        <f t="shared" si="0"/>
        <v>49840.935615743205</v>
      </c>
    </row>
    <row r="51" spans="1:4" s="140" customFormat="1" x14ac:dyDescent="0.3">
      <c r="A51" s="164">
        <v>46</v>
      </c>
      <c r="B51" s="172">
        <v>23486.120039557401</v>
      </c>
      <c r="C51" s="175">
        <v>25100.116870376201</v>
      </c>
      <c r="D51" s="178">
        <f t="shared" si="0"/>
        <v>48586.236909933607</v>
      </c>
    </row>
    <row r="52" spans="1:4" s="140" customFormat="1" x14ac:dyDescent="0.3">
      <c r="A52" s="164">
        <v>47</v>
      </c>
      <c r="B52" s="172">
        <v>22798.839455679699</v>
      </c>
      <c r="C52" s="175">
        <v>24338.451310053399</v>
      </c>
      <c r="D52" s="178">
        <f t="shared" si="0"/>
        <v>47137.290765733094</v>
      </c>
    </row>
    <row r="53" spans="1:4" s="140" customFormat="1" x14ac:dyDescent="0.3">
      <c r="A53" s="164">
        <v>48</v>
      </c>
      <c r="B53" s="172">
        <v>22034.717339386902</v>
      </c>
      <c r="C53" s="175">
        <v>23507.9328809242</v>
      </c>
      <c r="D53" s="178">
        <f t="shared" si="0"/>
        <v>45542.650220311101</v>
      </c>
    </row>
    <row r="54" spans="1:4" s="140" customFormat="1" x14ac:dyDescent="0.3">
      <c r="A54" s="164">
        <v>49</v>
      </c>
      <c r="B54" s="172">
        <v>21214.272747127699</v>
      </c>
      <c r="C54" s="175">
        <v>22629.216243331899</v>
      </c>
      <c r="D54" s="178">
        <f t="shared" si="0"/>
        <v>43843.488990459598</v>
      </c>
    </row>
    <row r="55" spans="1:4" s="140" customFormat="1" x14ac:dyDescent="0.3">
      <c r="A55" s="164">
        <v>50</v>
      </c>
      <c r="B55" s="172">
        <v>20352.4393316764</v>
      </c>
      <c r="C55" s="175">
        <v>21720.4442633461</v>
      </c>
      <c r="D55" s="178">
        <f t="shared" si="0"/>
        <v>42072.883595022504</v>
      </c>
    </row>
    <row r="56" spans="1:4" s="140" customFormat="1" x14ac:dyDescent="0.3">
      <c r="A56" s="164">
        <v>51</v>
      </c>
      <c r="B56" s="172">
        <v>19464.113473870701</v>
      </c>
      <c r="C56" s="175">
        <v>20804.104571944099</v>
      </c>
      <c r="D56" s="178">
        <f t="shared" si="0"/>
        <v>40268.2180458148</v>
      </c>
    </row>
    <row r="57" spans="1:4" s="140" customFormat="1" x14ac:dyDescent="0.3">
      <c r="A57" s="164">
        <v>52</v>
      </c>
      <c r="B57" s="172">
        <v>18569.625944574698</v>
      </c>
      <c r="C57" s="175">
        <v>19902.758979198599</v>
      </c>
      <c r="D57" s="178">
        <f t="shared" si="0"/>
        <v>38472.384923773294</v>
      </c>
    </row>
    <row r="58" spans="1:4" s="140" customFormat="1" x14ac:dyDescent="0.3">
      <c r="A58" s="164">
        <v>53</v>
      </c>
      <c r="B58" s="172">
        <v>17688.171388270799</v>
      </c>
      <c r="C58" s="175">
        <v>19030.420566677702</v>
      </c>
      <c r="D58" s="178">
        <f t="shared" si="0"/>
        <v>36718.591954948497</v>
      </c>
    </row>
    <row r="59" spans="1:4" s="140" customFormat="1" x14ac:dyDescent="0.3">
      <c r="A59" s="164">
        <v>54</v>
      </c>
      <c r="B59" s="172">
        <v>16830.269960624701</v>
      </c>
      <c r="C59" s="175">
        <v>18187.3626151504</v>
      </c>
      <c r="D59" s="178">
        <f t="shared" si="0"/>
        <v>35017.632575775104</v>
      </c>
    </row>
    <row r="60" spans="1:4" s="140" customFormat="1" x14ac:dyDescent="0.3">
      <c r="A60" s="164">
        <v>55</v>
      </c>
      <c r="B60" s="172">
        <v>15998.343478764</v>
      </c>
      <c r="C60" s="175">
        <v>17362.707957443101</v>
      </c>
      <c r="D60" s="178">
        <f t="shared" si="0"/>
        <v>33361.051436207097</v>
      </c>
    </row>
    <row r="61" spans="1:4" s="140" customFormat="1" x14ac:dyDescent="0.3">
      <c r="A61" s="164">
        <v>56</v>
      </c>
      <c r="B61" s="172">
        <v>15188.2102350492</v>
      </c>
      <c r="C61" s="175">
        <v>16547.115712335999</v>
      </c>
      <c r="D61" s="178">
        <f t="shared" si="0"/>
        <v>31735.325947385201</v>
      </c>
    </row>
    <row r="62" spans="1:4" s="140" customFormat="1" x14ac:dyDescent="0.3">
      <c r="A62" s="164">
        <v>57</v>
      </c>
      <c r="B62" s="172">
        <v>14393.8650534564</v>
      </c>
      <c r="C62" s="175">
        <v>15738.3770484374</v>
      </c>
      <c r="D62" s="178">
        <f t="shared" si="0"/>
        <v>30132.2421018938</v>
      </c>
    </row>
    <row r="63" spans="1:4" s="140" customFormat="1" x14ac:dyDescent="0.3">
      <c r="A63" s="164">
        <v>58</v>
      </c>
      <c r="B63" s="172">
        <v>13610.5102285269</v>
      </c>
      <c r="C63" s="175">
        <v>14937.295803403</v>
      </c>
      <c r="D63" s="178">
        <f t="shared" si="0"/>
        <v>28547.8060319299</v>
      </c>
    </row>
    <row r="64" spans="1:4" s="140" customFormat="1" x14ac:dyDescent="0.3">
      <c r="A64" s="164">
        <v>59</v>
      </c>
      <c r="B64" s="172">
        <v>12840.865819949</v>
      </c>
      <c r="C64" s="175">
        <v>14147.749020757399</v>
      </c>
      <c r="D64" s="178">
        <f t="shared" si="0"/>
        <v>26988.614840706399</v>
      </c>
    </row>
    <row r="65" spans="1:4" s="140" customFormat="1" x14ac:dyDescent="0.3">
      <c r="A65" s="164">
        <v>60</v>
      </c>
      <c r="B65" s="172">
        <v>12095.4373044689</v>
      </c>
      <c r="C65" s="175">
        <v>13379.293072325299</v>
      </c>
      <c r="D65" s="178">
        <f t="shared" si="0"/>
        <v>25474.730376794199</v>
      </c>
    </row>
    <row r="66" spans="1:4" s="140" customFormat="1" x14ac:dyDescent="0.3">
      <c r="A66" s="164">
        <v>61</v>
      </c>
      <c r="B66" s="172">
        <v>11382.5570454463</v>
      </c>
      <c r="C66" s="175">
        <v>12639.306548090801</v>
      </c>
      <c r="D66" s="178">
        <f t="shared" si="0"/>
        <v>24021.863593537098</v>
      </c>
    </row>
    <row r="67" spans="1:4" s="140" customFormat="1" x14ac:dyDescent="0.3">
      <c r="A67" s="164">
        <v>62</v>
      </c>
      <c r="B67" s="172">
        <v>10704.625330061101</v>
      </c>
      <c r="C67" s="175">
        <v>11928.6932253946</v>
      </c>
      <c r="D67" s="178">
        <f t="shared" si="0"/>
        <v>22633.318555455699</v>
      </c>
    </row>
    <row r="68" spans="1:4" s="140" customFormat="1" x14ac:dyDescent="0.3">
      <c r="A68" s="164">
        <v>63</v>
      </c>
      <c r="B68" s="172">
        <v>10063.1730951728</v>
      </c>
      <c r="C68" s="175">
        <v>11251.021759490601</v>
      </c>
      <c r="D68" s="178">
        <f t="shared" si="0"/>
        <v>21314.194854663401</v>
      </c>
    </row>
    <row r="69" spans="1:4" s="140" customFormat="1" x14ac:dyDescent="0.3">
      <c r="A69" s="164">
        <v>64</v>
      </c>
      <c r="B69" s="172">
        <v>9462.0471367436603</v>
      </c>
      <c r="C69" s="175">
        <v>10612.6015188479</v>
      </c>
      <c r="D69" s="178">
        <f t="shared" si="0"/>
        <v>20074.648655591562</v>
      </c>
    </row>
    <row r="70" spans="1:4" s="140" customFormat="1" x14ac:dyDescent="0.3">
      <c r="A70" s="164">
        <v>65</v>
      </c>
      <c r="B70" s="172">
        <v>8901.56078229591</v>
      </c>
      <c r="C70" s="175">
        <v>10016.188641115999</v>
      </c>
      <c r="D70" s="178">
        <f t="shared" ref="D70:D114" si="1">SUM(B70:C70)</f>
        <v>18917.749423411908</v>
      </c>
    </row>
    <row r="71" spans="1:4" s="140" customFormat="1" x14ac:dyDescent="0.3">
      <c r="A71" s="164">
        <v>66</v>
      </c>
      <c r="B71" s="172">
        <v>8380.5797967332692</v>
      </c>
      <c r="C71" s="175">
        <v>9460.6032662453508</v>
      </c>
      <c r="D71" s="178">
        <f t="shared" si="1"/>
        <v>17841.18306297862</v>
      </c>
    </row>
    <row r="72" spans="1:4" s="140" customFormat="1" x14ac:dyDescent="0.3">
      <c r="A72" s="164">
        <v>67</v>
      </c>
      <c r="B72" s="172">
        <v>7900.3406599029204</v>
      </c>
      <c r="C72" s="175">
        <v>8943.3251790970608</v>
      </c>
      <c r="D72" s="178">
        <f t="shared" si="1"/>
        <v>16843.665838999979</v>
      </c>
    </row>
    <row r="73" spans="1:4" s="140" customFormat="1" x14ac:dyDescent="0.3">
      <c r="A73" s="164">
        <v>68</v>
      </c>
      <c r="B73" s="172">
        <v>7463.2261073312202</v>
      </c>
      <c r="C73" s="175">
        <v>8459.8805686628202</v>
      </c>
      <c r="D73" s="178">
        <f t="shared" si="1"/>
        <v>15923.10667599404</v>
      </c>
    </row>
    <row r="74" spans="1:4" s="140" customFormat="1" x14ac:dyDescent="0.3">
      <c r="A74" s="164">
        <v>69</v>
      </c>
      <c r="B74" s="172">
        <v>7044.5728451410796</v>
      </c>
      <c r="C74" s="175">
        <v>8001.4522961071698</v>
      </c>
      <c r="D74" s="178">
        <f t="shared" si="1"/>
        <v>15046.02514124825</v>
      </c>
    </row>
    <row r="75" spans="1:4" s="140" customFormat="1" x14ac:dyDescent="0.3">
      <c r="A75" s="164">
        <v>70</v>
      </c>
      <c r="B75" s="172">
        <v>6629.4679701037403</v>
      </c>
      <c r="C75" s="175">
        <v>7558.5453603534497</v>
      </c>
      <c r="D75" s="178">
        <f t="shared" si="1"/>
        <v>14188.01333045719</v>
      </c>
    </row>
    <row r="76" spans="1:4" s="140" customFormat="1" x14ac:dyDescent="0.3">
      <c r="A76" s="164">
        <v>71</v>
      </c>
      <c r="B76" s="172">
        <v>6240.0493869718402</v>
      </c>
      <c r="C76" s="175">
        <v>7126.2763870287099</v>
      </c>
      <c r="D76" s="178">
        <f t="shared" si="1"/>
        <v>13366.32577400055</v>
      </c>
    </row>
    <row r="77" spans="1:4" s="140" customFormat="1" x14ac:dyDescent="0.3">
      <c r="A77" s="164">
        <v>72</v>
      </c>
      <c r="B77" s="172">
        <v>5869.2212331805504</v>
      </c>
      <c r="C77" s="175">
        <v>6703.1114461754796</v>
      </c>
      <c r="D77" s="178">
        <f t="shared" si="1"/>
        <v>12572.33267935603</v>
      </c>
    </row>
    <row r="78" spans="1:4" s="140" customFormat="1" x14ac:dyDescent="0.3">
      <c r="A78" s="164">
        <v>73</v>
      </c>
      <c r="B78" s="172">
        <v>5503.1174402525903</v>
      </c>
      <c r="C78" s="175">
        <v>6288.3404995441997</v>
      </c>
      <c r="D78" s="178">
        <f t="shared" si="1"/>
        <v>11791.45793979679</v>
      </c>
    </row>
    <row r="79" spans="1:4" s="140" customFormat="1" x14ac:dyDescent="0.3">
      <c r="A79" s="164">
        <v>74</v>
      </c>
      <c r="B79" s="172">
        <v>5145.7854284144096</v>
      </c>
      <c r="C79" s="175">
        <v>5883.17807149694</v>
      </c>
      <c r="D79" s="178">
        <f t="shared" si="1"/>
        <v>11028.96349991135</v>
      </c>
    </row>
    <row r="80" spans="1:4" s="140" customFormat="1" x14ac:dyDescent="0.3">
      <c r="A80" s="164">
        <v>75</v>
      </c>
      <c r="B80" s="172">
        <v>4796.3446210145703</v>
      </c>
      <c r="C80" s="175">
        <v>5487.4734941384304</v>
      </c>
      <c r="D80" s="178">
        <f t="shared" si="1"/>
        <v>10283.818115153001</v>
      </c>
    </row>
    <row r="81" spans="1:4" s="140" customFormat="1" x14ac:dyDescent="0.3">
      <c r="A81" s="164">
        <v>76</v>
      </c>
      <c r="B81" s="172">
        <v>4452.0945287293698</v>
      </c>
      <c r="C81" s="175">
        <v>5098.8994417202903</v>
      </c>
      <c r="D81" s="178">
        <f t="shared" si="1"/>
        <v>9550.993970449661</v>
      </c>
    </row>
    <row r="82" spans="1:4" s="140" customFormat="1" x14ac:dyDescent="0.3">
      <c r="A82" s="164">
        <v>77</v>
      </c>
      <c r="B82" s="172">
        <v>4110.9550239706296</v>
      </c>
      <c r="C82" s="175">
        <v>4717.3242425809403</v>
      </c>
      <c r="D82" s="178">
        <f t="shared" si="1"/>
        <v>8828.2792665515699</v>
      </c>
    </row>
    <row r="83" spans="1:4" s="140" customFormat="1" x14ac:dyDescent="0.3">
      <c r="A83" s="164">
        <v>78</v>
      </c>
      <c r="B83" s="172">
        <v>3772.4394688858201</v>
      </c>
      <c r="C83" s="175">
        <v>4344.5546590079502</v>
      </c>
      <c r="D83" s="178">
        <f t="shared" si="1"/>
        <v>8116.9941278937704</v>
      </c>
    </row>
    <row r="84" spans="1:4" s="140" customFormat="1" x14ac:dyDescent="0.3">
      <c r="A84" s="164">
        <v>79</v>
      </c>
      <c r="B84" s="172">
        <v>3439.7334024673601</v>
      </c>
      <c r="C84" s="175">
        <v>3982.27696286221</v>
      </c>
      <c r="D84" s="178">
        <f t="shared" si="1"/>
        <v>7422.01036532957</v>
      </c>
    </row>
    <row r="85" spans="1:4" s="140" customFormat="1" x14ac:dyDescent="0.3">
      <c r="A85" s="164">
        <v>80</v>
      </c>
      <c r="B85" s="172">
        <v>3117.2464050143099</v>
      </c>
      <c r="C85" s="175">
        <v>3632.1477004220601</v>
      </c>
      <c r="D85" s="178">
        <f t="shared" si="1"/>
        <v>6749.3941054363695</v>
      </c>
    </row>
    <row r="86" spans="1:4" s="140" customFormat="1" x14ac:dyDescent="0.3">
      <c r="A86" s="164">
        <v>81</v>
      </c>
      <c r="B86" s="172">
        <v>2807.15760628826</v>
      </c>
      <c r="C86" s="175">
        <v>3296.3594945446698</v>
      </c>
      <c r="D86" s="178">
        <f t="shared" si="1"/>
        <v>6103.5171008329298</v>
      </c>
    </row>
    <row r="87" spans="1:4" s="140" customFormat="1" x14ac:dyDescent="0.3">
      <c r="A87" s="164">
        <v>82</v>
      </c>
      <c r="B87" s="172">
        <v>2510.6399415215701</v>
      </c>
      <c r="C87" s="175">
        <v>2977.4992904297401</v>
      </c>
      <c r="D87" s="178">
        <f t="shared" si="1"/>
        <v>5488.1392319513106</v>
      </c>
    </row>
    <row r="88" spans="1:4" s="140" customFormat="1" x14ac:dyDescent="0.3">
      <c r="A88" s="164">
        <v>83</v>
      </c>
      <c r="B88" s="172">
        <v>2226.1232067135002</v>
      </c>
      <c r="C88" s="175">
        <v>2674.7243463443201</v>
      </c>
      <c r="D88" s="178">
        <f t="shared" si="1"/>
        <v>4900.8475530578198</v>
      </c>
    </row>
    <row r="89" spans="1:4" s="140" customFormat="1" x14ac:dyDescent="0.3">
      <c r="A89" s="164">
        <v>84</v>
      </c>
      <c r="B89" s="172">
        <v>1957.6495235212001</v>
      </c>
      <c r="C89" s="175">
        <v>2385.6813775472401</v>
      </c>
      <c r="D89" s="178">
        <f t="shared" si="1"/>
        <v>4343.3309010684407</v>
      </c>
    </row>
    <row r="90" spans="1:4" s="140" customFormat="1" x14ac:dyDescent="0.3">
      <c r="A90" s="164">
        <v>85</v>
      </c>
      <c r="B90" s="172">
        <v>1703.51994872562</v>
      </c>
      <c r="C90" s="175">
        <v>2108.5582013045801</v>
      </c>
      <c r="D90" s="178">
        <f t="shared" si="1"/>
        <v>3812.0781500302</v>
      </c>
    </row>
    <row r="91" spans="1:4" s="140" customFormat="1" x14ac:dyDescent="0.3">
      <c r="A91" s="164">
        <v>86</v>
      </c>
      <c r="B91" s="172">
        <v>1465.8827624729699</v>
      </c>
      <c r="C91" s="175">
        <v>1846.4745167985</v>
      </c>
      <c r="D91" s="178">
        <f t="shared" si="1"/>
        <v>3312.3572792714699</v>
      </c>
    </row>
    <row r="92" spans="1:4" s="140" customFormat="1" x14ac:dyDescent="0.3">
      <c r="A92" s="164">
        <v>87</v>
      </c>
      <c r="B92" s="172">
        <v>1247.72987794043</v>
      </c>
      <c r="C92" s="175">
        <v>1600.7574639888701</v>
      </c>
      <c r="D92" s="178">
        <f t="shared" si="1"/>
        <v>2848.4873419292999</v>
      </c>
    </row>
    <row r="93" spans="1:4" s="140" customFormat="1" x14ac:dyDescent="0.3">
      <c r="A93" s="164">
        <v>88</v>
      </c>
      <c r="B93" s="172">
        <v>1050.54092217124</v>
      </c>
      <c r="C93" s="175">
        <v>1373.0136464157699</v>
      </c>
      <c r="D93" s="178">
        <f t="shared" si="1"/>
        <v>2423.5545685870102</v>
      </c>
    </row>
    <row r="94" spans="1:4" s="140" customFormat="1" x14ac:dyDescent="0.3">
      <c r="A94" s="164">
        <v>89</v>
      </c>
      <c r="B94" s="172">
        <v>873.08360844703805</v>
      </c>
      <c r="C94" s="175">
        <v>1163.33877723092</v>
      </c>
      <c r="D94" s="178">
        <f t="shared" si="1"/>
        <v>2036.4223856779581</v>
      </c>
    </row>
    <row r="95" spans="1:4" s="140" customFormat="1" x14ac:dyDescent="0.3">
      <c r="A95" s="164">
        <v>90</v>
      </c>
      <c r="B95" s="172">
        <v>718.74562590560595</v>
      </c>
      <c r="C95" s="175">
        <v>976.95575527945198</v>
      </c>
      <c r="D95" s="178">
        <f t="shared" si="1"/>
        <v>1695.7013811850579</v>
      </c>
    </row>
    <row r="96" spans="1:4" s="140" customFormat="1" x14ac:dyDescent="0.3">
      <c r="A96" s="164">
        <v>91</v>
      </c>
      <c r="B96" s="172">
        <v>584.80373940364905</v>
      </c>
      <c r="C96" s="175">
        <v>811.48425907891499</v>
      </c>
      <c r="D96" s="178">
        <f t="shared" si="1"/>
        <v>1396.287998482564</v>
      </c>
    </row>
    <row r="97" spans="1:4" s="140" customFormat="1" x14ac:dyDescent="0.3">
      <c r="A97" s="164">
        <v>92</v>
      </c>
      <c r="B97" s="172">
        <v>470.42474369821502</v>
      </c>
      <c r="C97" s="175">
        <v>666.200078028353</v>
      </c>
      <c r="D97" s="178">
        <f t="shared" si="1"/>
        <v>1136.6248217265679</v>
      </c>
    </row>
    <row r="98" spans="1:4" s="140" customFormat="1" x14ac:dyDescent="0.3">
      <c r="A98" s="164">
        <v>93</v>
      </c>
      <c r="B98" s="172">
        <v>374.26269005851401</v>
      </c>
      <c r="C98" s="175">
        <v>539.89713337845706</v>
      </c>
      <c r="D98" s="178">
        <f t="shared" si="1"/>
        <v>914.15982343697101</v>
      </c>
    </row>
    <row r="99" spans="1:4" s="140" customFormat="1" x14ac:dyDescent="0.3">
      <c r="A99" s="164">
        <v>94</v>
      </c>
      <c r="B99" s="172">
        <v>293.98928962289699</v>
      </c>
      <c r="C99" s="175">
        <v>431.68624292295402</v>
      </c>
      <c r="D99" s="178">
        <f t="shared" si="1"/>
        <v>725.67553254585096</v>
      </c>
    </row>
    <row r="100" spans="1:4" s="140" customFormat="1" x14ac:dyDescent="0.3">
      <c r="A100" s="164">
        <v>95</v>
      </c>
      <c r="B100" s="172">
        <v>227.566237999951</v>
      </c>
      <c r="C100" s="175">
        <v>340.10934087894202</v>
      </c>
      <c r="D100" s="178">
        <f t="shared" si="1"/>
        <v>567.67557887889302</v>
      </c>
    </row>
    <row r="101" spans="1:4" s="140" customFormat="1" x14ac:dyDescent="0.3">
      <c r="A101" s="164">
        <v>96</v>
      </c>
      <c r="B101" s="172">
        <v>173.432499022266</v>
      </c>
      <c r="C101" s="175">
        <v>263.58497137435398</v>
      </c>
      <c r="D101" s="178">
        <f t="shared" si="1"/>
        <v>437.01747039661996</v>
      </c>
    </row>
    <row r="102" spans="1:4" s="140" customFormat="1" x14ac:dyDescent="0.3">
      <c r="A102" s="164">
        <v>97</v>
      </c>
      <c r="B102" s="172">
        <v>129.923160757007</v>
      </c>
      <c r="C102" s="175">
        <v>200.801674640768</v>
      </c>
      <c r="D102" s="178">
        <f t="shared" si="1"/>
        <v>330.724835397775</v>
      </c>
    </row>
    <row r="103" spans="1:4" s="140" customFormat="1" x14ac:dyDescent="0.3">
      <c r="A103" s="164">
        <v>98</v>
      </c>
      <c r="B103" s="172">
        <v>95.462324730299002</v>
      </c>
      <c r="C103" s="175">
        <v>150.215175515011</v>
      </c>
      <c r="D103" s="178">
        <f t="shared" si="1"/>
        <v>245.67750024531</v>
      </c>
    </row>
    <row r="104" spans="1:4" s="140" customFormat="1" x14ac:dyDescent="0.3">
      <c r="A104" s="164">
        <v>99</v>
      </c>
      <c r="B104" s="172">
        <v>68.788771539856398</v>
      </c>
      <c r="C104" s="175">
        <v>110.35063685882101</v>
      </c>
      <c r="D104" s="178">
        <f t="shared" si="1"/>
        <v>179.1394083986774</v>
      </c>
    </row>
    <row r="105" spans="1:4" s="140" customFormat="1" x14ac:dyDescent="0.3">
      <c r="A105" s="164">
        <v>100</v>
      </c>
      <c r="B105" s="172">
        <v>48.7900988316838</v>
      </c>
      <c r="C105" s="175">
        <v>79.762387827736902</v>
      </c>
      <c r="D105" s="178">
        <f t="shared" si="1"/>
        <v>128.55248665942071</v>
      </c>
    </row>
    <row r="106" spans="1:4" s="140" customFormat="1" x14ac:dyDescent="0.3">
      <c r="A106" s="164">
        <v>101</v>
      </c>
      <c r="B106" s="172">
        <v>34.154645370267097</v>
      </c>
      <c r="C106" s="175">
        <v>56.830252562857901</v>
      </c>
      <c r="D106" s="178">
        <f t="shared" si="1"/>
        <v>90.984897933124998</v>
      </c>
    </row>
    <row r="107" spans="1:4" s="140" customFormat="1" x14ac:dyDescent="0.3">
      <c r="A107" s="164">
        <v>102</v>
      </c>
      <c r="B107" s="172">
        <v>23.586889967660099</v>
      </c>
      <c r="C107" s="175">
        <v>39.929555734079102</v>
      </c>
      <c r="D107" s="178">
        <f t="shared" si="1"/>
        <v>63.516445701739201</v>
      </c>
    </row>
    <row r="108" spans="1:4" s="140" customFormat="1" x14ac:dyDescent="0.3">
      <c r="A108" s="164">
        <v>103</v>
      </c>
      <c r="B108" s="172">
        <v>16.0595747852587</v>
      </c>
      <c r="C108" s="175">
        <v>27.644850375565699</v>
      </c>
      <c r="D108" s="178">
        <f t="shared" si="1"/>
        <v>43.7044251608244</v>
      </c>
    </row>
    <row r="109" spans="1:4" s="140" customFormat="1" x14ac:dyDescent="0.3">
      <c r="A109" s="164">
        <v>104</v>
      </c>
      <c r="B109" s="172">
        <v>10.7403066650723</v>
      </c>
      <c r="C109" s="175">
        <v>18.807107728672001</v>
      </c>
      <c r="D109" s="178">
        <f t="shared" si="1"/>
        <v>29.547414393744301</v>
      </c>
    </row>
    <row r="110" spans="1:4" s="140" customFormat="1" x14ac:dyDescent="0.3">
      <c r="A110" s="164">
        <v>105</v>
      </c>
      <c r="B110" s="172">
        <v>7.0156128640417501</v>
      </c>
      <c r="C110" s="175">
        <v>12.475339505655599</v>
      </c>
      <c r="D110" s="178">
        <f t="shared" si="1"/>
        <v>19.49095236969735</v>
      </c>
    </row>
    <row r="111" spans="1:4" s="140" customFormat="1" x14ac:dyDescent="0.3">
      <c r="A111" s="164">
        <v>106</v>
      </c>
      <c r="B111" s="172">
        <v>4.4550045501958602</v>
      </c>
      <c r="C111" s="175">
        <v>7.9921185637869296</v>
      </c>
      <c r="D111" s="178">
        <f t="shared" si="1"/>
        <v>12.447123113982791</v>
      </c>
    </row>
    <row r="112" spans="1:4" x14ac:dyDescent="0.3">
      <c r="A112" s="164">
        <v>107</v>
      </c>
      <c r="B112" s="172">
        <v>2.7822073960339901</v>
      </c>
      <c r="C112" s="175">
        <v>5.0029496152119597</v>
      </c>
      <c r="D112" s="178">
        <f t="shared" si="1"/>
        <v>7.7851570112459498</v>
      </c>
    </row>
    <row r="113" spans="1:4" x14ac:dyDescent="0.3">
      <c r="A113" s="164">
        <v>108</v>
      </c>
      <c r="B113" s="172">
        <v>1.71253532699267</v>
      </c>
      <c r="C113" s="175">
        <v>3.0814178033413202</v>
      </c>
      <c r="D113" s="178">
        <f t="shared" si="1"/>
        <v>4.79395313033399</v>
      </c>
    </row>
    <row r="114" spans="1:4" ht="15" thickBot="1" x14ac:dyDescent="0.35">
      <c r="A114" s="165">
        <v>109</v>
      </c>
      <c r="B114" s="173">
        <v>0.61204499915911803</v>
      </c>
      <c r="C114" s="176">
        <v>1.10737481149108</v>
      </c>
      <c r="D114" s="179">
        <f t="shared" si="1"/>
        <v>1.7194198106501979</v>
      </c>
    </row>
  </sheetData>
  <mergeCells count="1">
    <mergeCell ref="G5:I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</sheetPr>
  <dimension ref="B1:I118"/>
  <sheetViews>
    <sheetView workbookViewId="0">
      <selection activeCell="G4" sqref="G4"/>
    </sheetView>
  </sheetViews>
  <sheetFormatPr baseColWidth="10" defaultRowHeight="14.4" x14ac:dyDescent="0.3"/>
  <sheetData>
    <row r="1" spans="2:9" ht="15" thickBot="1" x14ac:dyDescent="0.35"/>
    <row r="2" spans="2:9" ht="15" thickBot="1" x14ac:dyDescent="0.35">
      <c r="B2" s="194" t="s">
        <v>130</v>
      </c>
      <c r="C2" s="194"/>
      <c r="D2" s="194"/>
    </row>
    <row r="3" spans="2:9" ht="15" thickBot="1" x14ac:dyDescent="0.35">
      <c r="B3" s="194"/>
      <c r="C3" s="194"/>
      <c r="D3" s="194"/>
    </row>
    <row r="4" spans="2:9" ht="15" thickBot="1" x14ac:dyDescent="0.35">
      <c r="B4" s="194"/>
      <c r="C4" s="194"/>
      <c r="D4" s="194"/>
    </row>
    <row r="6" spans="2:9" ht="15" thickBot="1" x14ac:dyDescent="0.35">
      <c r="B6" s="1"/>
      <c r="C6" s="1"/>
      <c r="D6" s="1"/>
      <c r="E6" s="1"/>
      <c r="F6" s="195"/>
      <c r="G6" s="195"/>
      <c r="H6" s="195"/>
      <c r="I6" s="1"/>
    </row>
    <row r="7" spans="2:9" ht="15" thickBot="1" x14ac:dyDescent="0.35">
      <c r="B7" s="167" t="s">
        <v>3</v>
      </c>
      <c r="C7" s="166" t="s">
        <v>0</v>
      </c>
      <c r="D7" s="169" t="s">
        <v>1</v>
      </c>
      <c r="E7" s="1"/>
      <c r="F7" s="196" t="s">
        <v>2</v>
      </c>
      <c r="G7" s="196"/>
      <c r="H7" s="196"/>
      <c r="I7" s="1"/>
    </row>
    <row r="8" spans="2:9" ht="15" thickBot="1" x14ac:dyDescent="0.35">
      <c r="B8" s="163">
        <v>0</v>
      </c>
      <c r="C8" s="171">
        <v>34996.566694600202</v>
      </c>
      <c r="D8" s="174">
        <v>33406.943507173601</v>
      </c>
      <c r="E8" s="8"/>
      <c r="F8" s="5" t="s">
        <v>3</v>
      </c>
      <c r="G8" s="6" t="s">
        <v>0</v>
      </c>
      <c r="H8" s="7" t="s">
        <v>1</v>
      </c>
      <c r="I8" s="8"/>
    </row>
    <row r="9" spans="2:9" x14ac:dyDescent="0.3">
      <c r="B9" s="164">
        <v>1</v>
      </c>
      <c r="C9" s="172">
        <v>34897.119236130602</v>
      </c>
      <c r="D9" s="175">
        <v>33288.618818190698</v>
      </c>
      <c r="E9" s="8"/>
      <c r="F9" s="163">
        <v>0</v>
      </c>
      <c r="G9" s="192">
        <f>-C8/SUM($C$8:$D$117)</f>
        <v>-9.4327087658510281E-3</v>
      </c>
      <c r="H9" s="191">
        <f>D8/SUM($C$8:$D$117)</f>
        <v>9.0042538061034325E-3</v>
      </c>
      <c r="I9" s="8"/>
    </row>
    <row r="10" spans="2:9" x14ac:dyDescent="0.3">
      <c r="B10" s="164">
        <v>2</v>
      </c>
      <c r="C10" s="172">
        <v>34959.9965681256</v>
      </c>
      <c r="D10" s="175">
        <v>33288.484881885597</v>
      </c>
      <c r="E10" s="8"/>
      <c r="F10" s="164">
        <v>1</v>
      </c>
      <c r="G10" s="192">
        <f t="shared" ref="G10:G73" si="0">-C9/SUM($C$8:$D$117)</f>
        <v>-9.405904453261343E-3</v>
      </c>
      <c r="H10" s="191">
        <f t="shared" ref="H10:H73" si="1">D9/SUM($C$8:$D$117)</f>
        <v>8.9723614681856724E-3</v>
      </c>
      <c r="I10" s="8"/>
    </row>
    <row r="11" spans="2:9" x14ac:dyDescent="0.3">
      <c r="B11" s="164">
        <v>3</v>
      </c>
      <c r="C11" s="172">
        <v>34992.3900719581</v>
      </c>
      <c r="D11" s="175">
        <v>33256.259419745598</v>
      </c>
      <c r="E11" s="8"/>
      <c r="F11" s="164">
        <v>2</v>
      </c>
      <c r="G11" s="192">
        <f t="shared" si="0"/>
        <v>-9.4228519317342552E-3</v>
      </c>
      <c r="H11" s="191">
        <f t="shared" si="1"/>
        <v>8.972325368011326E-3</v>
      </c>
      <c r="I11" s="8"/>
    </row>
    <row r="12" spans="2:9" x14ac:dyDescent="0.3">
      <c r="B12" s="164">
        <v>4</v>
      </c>
      <c r="C12" s="172">
        <v>34512.212120931799</v>
      </c>
      <c r="D12" s="175">
        <v>32674.553118759301</v>
      </c>
      <c r="E12" s="8"/>
      <c r="F12" s="164">
        <v>3</v>
      </c>
      <c r="G12" s="192">
        <f t="shared" si="0"/>
        <v>-9.4315830307081603E-3</v>
      </c>
      <c r="H12" s="191">
        <f t="shared" si="1"/>
        <v>8.9636395617188336E-3</v>
      </c>
      <c r="I12" s="8"/>
    </row>
    <row r="13" spans="2:9" x14ac:dyDescent="0.3">
      <c r="B13" s="164">
        <v>5</v>
      </c>
      <c r="C13" s="172">
        <v>35385.257038694603</v>
      </c>
      <c r="D13" s="175">
        <v>33462.903750525198</v>
      </c>
      <c r="E13" s="8"/>
      <c r="F13" s="164">
        <v>4</v>
      </c>
      <c r="G13" s="192">
        <f t="shared" si="0"/>
        <v>-9.3021595130431244E-3</v>
      </c>
      <c r="H13" s="191">
        <f t="shared" si="1"/>
        <v>8.8068508637774781E-3</v>
      </c>
      <c r="I13" s="8"/>
    </row>
    <row r="14" spans="2:9" x14ac:dyDescent="0.3">
      <c r="B14" s="164">
        <v>6</v>
      </c>
      <c r="C14" s="172">
        <v>36514.234840835597</v>
      </c>
      <c r="D14" s="175">
        <v>34610.675001827403</v>
      </c>
      <c r="E14" s="8"/>
      <c r="F14" s="164">
        <v>5</v>
      </c>
      <c r="G14" s="192">
        <f t="shared" si="0"/>
        <v>-9.5374734088497538E-3</v>
      </c>
      <c r="H14" s="191">
        <f t="shared" si="1"/>
        <v>9.0193369050430554E-3</v>
      </c>
      <c r="I14" s="8"/>
    </row>
    <row r="15" spans="2:9" x14ac:dyDescent="0.3">
      <c r="B15" s="164">
        <v>7</v>
      </c>
      <c r="C15" s="172">
        <v>36376.923679845298</v>
      </c>
      <c r="D15" s="175">
        <v>34549.2616082694</v>
      </c>
      <c r="E15" s="8"/>
      <c r="F15" s="164">
        <v>6</v>
      </c>
      <c r="G15" s="192">
        <f t="shared" si="0"/>
        <v>-9.8417695103398956E-3</v>
      </c>
      <c r="H15" s="191">
        <f t="shared" si="1"/>
        <v>9.3286984500720021E-3</v>
      </c>
      <c r="I15" s="8"/>
    </row>
    <row r="16" spans="2:9" x14ac:dyDescent="0.3">
      <c r="B16" s="164">
        <v>8</v>
      </c>
      <c r="C16" s="172">
        <v>36477.305860602602</v>
      </c>
      <c r="D16" s="175">
        <v>34714.785166932597</v>
      </c>
      <c r="E16" s="8"/>
      <c r="F16" s="164">
        <v>7</v>
      </c>
      <c r="G16" s="192">
        <f t="shared" si="0"/>
        <v>-9.8047597029715002E-3</v>
      </c>
      <c r="H16" s="191">
        <f t="shared" si="1"/>
        <v>9.3121455504458633E-3</v>
      </c>
      <c r="I16" s="8"/>
    </row>
    <row r="17" spans="2:9" x14ac:dyDescent="0.3">
      <c r="B17" s="164">
        <v>9</v>
      </c>
      <c r="C17" s="172">
        <v>36368.814506164701</v>
      </c>
      <c r="D17" s="175">
        <v>34659.735669565198</v>
      </c>
      <c r="E17" s="8"/>
      <c r="F17" s="164">
        <v>8</v>
      </c>
      <c r="G17" s="192">
        <f t="shared" si="0"/>
        <v>-9.8318159535068055E-3</v>
      </c>
      <c r="H17" s="191">
        <f t="shared" si="1"/>
        <v>9.3567595131920454E-3</v>
      </c>
      <c r="I17" s="8"/>
    </row>
    <row r="18" spans="2:9" x14ac:dyDescent="0.3">
      <c r="B18" s="164">
        <v>10</v>
      </c>
      <c r="C18" s="172">
        <v>36076.661916432</v>
      </c>
      <c r="D18" s="175">
        <v>34432.356066823399</v>
      </c>
      <c r="E18" s="8"/>
      <c r="F18" s="164">
        <v>9</v>
      </c>
      <c r="G18" s="192">
        <f t="shared" si="0"/>
        <v>-9.8025740178919237E-3</v>
      </c>
      <c r="H18" s="191">
        <f t="shared" si="1"/>
        <v>9.3419218898073125E-3</v>
      </c>
      <c r="I18" s="8"/>
    </row>
    <row r="19" spans="2:9" x14ac:dyDescent="0.3">
      <c r="B19" s="164">
        <v>11</v>
      </c>
      <c r="C19" s="172">
        <v>35777.959133430697</v>
      </c>
      <c r="D19" s="175">
        <v>34211.6058281726</v>
      </c>
      <c r="E19" s="8"/>
      <c r="F19" s="164">
        <v>10</v>
      </c>
      <c r="G19" s="192">
        <f t="shared" si="0"/>
        <v>-9.7238294279386774E-3</v>
      </c>
      <c r="H19" s="191">
        <f t="shared" si="1"/>
        <v>9.280635718775878E-3</v>
      </c>
      <c r="I19" s="8"/>
    </row>
    <row r="20" spans="2:9" x14ac:dyDescent="0.3">
      <c r="B20" s="164">
        <v>12</v>
      </c>
      <c r="C20" s="172">
        <v>35474.960817214996</v>
      </c>
      <c r="D20" s="175">
        <v>34000.026528769202</v>
      </c>
      <c r="E20" s="8"/>
      <c r="F20" s="164">
        <v>11</v>
      </c>
      <c r="G20" s="192">
        <f t="shared" si="0"/>
        <v>-9.6433193486446644E-3</v>
      </c>
      <c r="H20" s="191">
        <f t="shared" si="1"/>
        <v>9.2211363761873257E-3</v>
      </c>
      <c r="I20" s="8"/>
    </row>
    <row r="21" spans="2:9" x14ac:dyDescent="0.3">
      <c r="B21" s="164">
        <v>13</v>
      </c>
      <c r="C21" s="172">
        <v>35147.569311445499</v>
      </c>
      <c r="D21" s="175">
        <v>33757.798540785901</v>
      </c>
      <c r="E21" s="8"/>
      <c r="F21" s="164">
        <v>12</v>
      </c>
      <c r="G21" s="192">
        <f t="shared" si="0"/>
        <v>-9.5616514839553281E-3</v>
      </c>
      <c r="H21" s="191">
        <f t="shared" si="1"/>
        <v>9.1641088989044481E-3</v>
      </c>
      <c r="I21" s="8"/>
    </row>
    <row r="22" spans="2:9" x14ac:dyDescent="0.3">
      <c r="B22" s="164">
        <v>14</v>
      </c>
      <c r="C22" s="172">
        <v>34830.350549279297</v>
      </c>
      <c r="D22" s="175">
        <v>33546.947103381302</v>
      </c>
      <c r="E22" s="8"/>
      <c r="F22" s="164">
        <v>13</v>
      </c>
      <c r="G22" s="192">
        <f t="shared" si="0"/>
        <v>-9.4734088642353317E-3</v>
      </c>
      <c r="H22" s="191">
        <f t="shared" si="1"/>
        <v>9.0988206068978762E-3</v>
      </c>
      <c r="I22" s="8"/>
    </row>
    <row r="23" spans="2:9" x14ac:dyDescent="0.3">
      <c r="B23" s="164">
        <v>15</v>
      </c>
      <c r="C23" s="172">
        <v>34500.110166016697</v>
      </c>
      <c r="D23" s="175">
        <v>33416.474454748197</v>
      </c>
      <c r="E23" s="8"/>
      <c r="F23" s="164">
        <v>14</v>
      </c>
      <c r="G23" s="192">
        <f t="shared" si="0"/>
        <v>-9.3879081285577586E-3</v>
      </c>
      <c r="H23" s="191">
        <f t="shared" si="1"/>
        <v>9.0419893120095816E-3</v>
      </c>
      <c r="I23" s="8"/>
    </row>
    <row r="24" spans="2:9" x14ac:dyDescent="0.3">
      <c r="B24" s="164">
        <v>16</v>
      </c>
      <c r="C24" s="172">
        <v>34121.960626001201</v>
      </c>
      <c r="D24" s="175">
        <v>33286.835675141701</v>
      </c>
      <c r="E24" s="1"/>
      <c r="F24" s="164">
        <v>15</v>
      </c>
      <c r="G24" s="192">
        <f t="shared" si="0"/>
        <v>-9.2988976440372944E-3</v>
      </c>
      <c r="H24" s="191">
        <f t="shared" si="1"/>
        <v>9.0068227053191272E-3</v>
      </c>
      <c r="I24" s="1"/>
    </row>
    <row r="25" spans="2:9" x14ac:dyDescent="0.3">
      <c r="B25" s="164">
        <v>17</v>
      </c>
      <c r="C25" s="172">
        <v>33727.974465507497</v>
      </c>
      <c r="D25" s="175">
        <v>33139.215338947797</v>
      </c>
      <c r="F25" s="164">
        <v>16</v>
      </c>
      <c r="G25" s="192">
        <f t="shared" si="0"/>
        <v>-9.196974089305936E-3</v>
      </c>
      <c r="H25" s="191">
        <f t="shared" si="1"/>
        <v>8.9718808533523417E-3</v>
      </c>
    </row>
    <row r="26" spans="2:9" x14ac:dyDescent="0.3">
      <c r="B26" s="164">
        <v>18</v>
      </c>
      <c r="C26" s="172">
        <v>33353.551381839898</v>
      </c>
      <c r="D26" s="175">
        <v>33026.4840936935</v>
      </c>
      <c r="F26" s="164">
        <v>17</v>
      </c>
      <c r="G26" s="192">
        <f t="shared" si="0"/>
        <v>-9.090782052180009E-3</v>
      </c>
      <c r="H26" s="191">
        <f t="shared" si="1"/>
        <v>8.9320923892042582E-3</v>
      </c>
    </row>
    <row r="27" spans="2:9" x14ac:dyDescent="0.3">
      <c r="B27" s="164">
        <v>19</v>
      </c>
      <c r="C27" s="172">
        <v>32863.464987628198</v>
      </c>
      <c r="D27" s="175">
        <v>32832.712411671899</v>
      </c>
      <c r="F27" s="164">
        <v>18</v>
      </c>
      <c r="G27" s="192">
        <f t="shared" si="0"/>
        <v>-8.989862898187876E-3</v>
      </c>
      <c r="H27" s="191">
        <f t="shared" si="1"/>
        <v>8.9017076656233724E-3</v>
      </c>
    </row>
    <row r="28" spans="2:9" x14ac:dyDescent="0.3">
      <c r="B28" s="164">
        <v>20</v>
      </c>
      <c r="C28" s="172">
        <v>32365.568085752901</v>
      </c>
      <c r="D28" s="175">
        <v>32641.1445949648</v>
      </c>
      <c r="F28" s="164">
        <v>19</v>
      </c>
      <c r="G28" s="192">
        <f t="shared" si="0"/>
        <v>-8.8577687340075269E-3</v>
      </c>
      <c r="H28" s="191">
        <f t="shared" si="1"/>
        <v>8.8494799182694903E-3</v>
      </c>
    </row>
    <row r="29" spans="2:9" x14ac:dyDescent="0.3">
      <c r="B29" s="164">
        <v>21</v>
      </c>
      <c r="C29" s="172">
        <v>31826.535192810799</v>
      </c>
      <c r="D29" s="175">
        <v>32368.819752264</v>
      </c>
      <c r="F29" s="164">
        <v>20</v>
      </c>
      <c r="G29" s="192">
        <f t="shared" si="0"/>
        <v>-8.7235693849172687E-3</v>
      </c>
      <c r="H29" s="191">
        <f t="shared" si="1"/>
        <v>8.7978461840327316E-3</v>
      </c>
    </row>
    <row r="30" spans="2:9" x14ac:dyDescent="0.3">
      <c r="B30" s="164">
        <v>22</v>
      </c>
      <c r="C30" s="172">
        <v>31056.978806310799</v>
      </c>
      <c r="D30" s="175">
        <v>31824.408750850602</v>
      </c>
      <c r="F30" s="164">
        <v>21</v>
      </c>
      <c r="G30" s="192">
        <f t="shared" si="0"/>
        <v>-8.5782825532486773E-3</v>
      </c>
      <c r="H30" s="191">
        <f t="shared" si="1"/>
        <v>8.7244458144102102E-3</v>
      </c>
    </row>
    <row r="31" spans="2:9" x14ac:dyDescent="0.3">
      <c r="B31" s="164">
        <v>23</v>
      </c>
      <c r="C31" s="172">
        <v>30391.4149941744</v>
      </c>
      <c r="D31" s="175">
        <v>31340.3081040004</v>
      </c>
      <c r="F31" s="164">
        <v>22</v>
      </c>
      <c r="G31" s="192">
        <f t="shared" si="0"/>
        <v>-8.3708621700979147E-3</v>
      </c>
      <c r="H31" s="191">
        <f t="shared" si="1"/>
        <v>8.5777094082343953E-3</v>
      </c>
    </row>
    <row r="32" spans="2:9" x14ac:dyDescent="0.3">
      <c r="B32" s="164">
        <v>24</v>
      </c>
      <c r="C32" s="172">
        <v>29862.1715804581</v>
      </c>
      <c r="D32" s="175">
        <v>30942.1454293278</v>
      </c>
      <c r="F32" s="164">
        <v>23</v>
      </c>
      <c r="G32" s="192">
        <f t="shared" si="0"/>
        <v>-8.1914711555518809E-3</v>
      </c>
      <c r="H32" s="191">
        <f t="shared" si="1"/>
        <v>8.4472285969323362E-3</v>
      </c>
    </row>
    <row r="33" spans="2:8" x14ac:dyDescent="0.3">
      <c r="B33" s="164">
        <v>25</v>
      </c>
      <c r="C33" s="172">
        <v>29206.6042497118</v>
      </c>
      <c r="D33" s="175">
        <v>30379.123232112201</v>
      </c>
      <c r="F33" s="164">
        <v>24</v>
      </c>
      <c r="G33" s="192">
        <f t="shared" si="0"/>
        <v>-8.0488229057565398E-3</v>
      </c>
      <c r="H33" s="191">
        <f t="shared" si="1"/>
        <v>8.3399108538978906E-3</v>
      </c>
    </row>
    <row r="34" spans="2:8" x14ac:dyDescent="0.3">
      <c r="B34" s="164">
        <v>26</v>
      </c>
      <c r="C34" s="172">
        <v>28367.724783110702</v>
      </c>
      <c r="D34" s="175">
        <v>29571.4507184547</v>
      </c>
      <c r="F34" s="164">
        <v>25</v>
      </c>
      <c r="G34" s="192">
        <f t="shared" si="0"/>
        <v>-7.8721262668748088E-3</v>
      </c>
      <c r="H34" s="191">
        <f t="shared" si="1"/>
        <v>8.1881581273693278E-3</v>
      </c>
    </row>
    <row r="35" spans="2:8" x14ac:dyDescent="0.3">
      <c r="B35" s="164">
        <v>27</v>
      </c>
      <c r="C35" s="172">
        <v>27658.4312436951</v>
      </c>
      <c r="D35" s="175">
        <v>28939.2154577859</v>
      </c>
      <c r="F35" s="164">
        <v>26</v>
      </c>
      <c r="G35" s="192">
        <f t="shared" si="0"/>
        <v>-7.6460210672661417E-3</v>
      </c>
      <c r="H35" s="191">
        <f t="shared" si="1"/>
        <v>7.9704642128205737E-3</v>
      </c>
    </row>
    <row r="36" spans="2:8" x14ac:dyDescent="0.3">
      <c r="B36" s="164">
        <v>28</v>
      </c>
      <c r="C36" s="172">
        <v>27218.039646367499</v>
      </c>
      <c r="D36" s="175">
        <v>28693.448648962902</v>
      </c>
      <c r="F36" s="164">
        <v>27</v>
      </c>
      <c r="G36" s="192">
        <f t="shared" si="0"/>
        <v>-7.4548434741841503E-3</v>
      </c>
      <c r="H36" s="191">
        <f t="shared" si="1"/>
        <v>7.8000563228857343E-3</v>
      </c>
    </row>
    <row r="37" spans="2:8" x14ac:dyDescent="0.3">
      <c r="B37" s="164">
        <v>29</v>
      </c>
      <c r="C37" s="172">
        <v>26824.098512637702</v>
      </c>
      <c r="D37" s="175">
        <v>28436.751710575201</v>
      </c>
      <c r="F37" s="164">
        <v>28</v>
      </c>
      <c r="G37" s="192">
        <f t="shared" si="0"/>
        <v>-7.3361436680925958E-3</v>
      </c>
      <c r="H37" s="191">
        <f t="shared" si="1"/>
        <v>7.7338142039896076E-3</v>
      </c>
    </row>
    <row r="38" spans="2:8" x14ac:dyDescent="0.3">
      <c r="B38" s="164">
        <v>30</v>
      </c>
      <c r="C38" s="172">
        <v>26534.268842338799</v>
      </c>
      <c r="D38" s="175">
        <v>28224.1389581451</v>
      </c>
      <c r="F38" s="164">
        <v>29</v>
      </c>
      <c r="G38" s="192">
        <f t="shared" si="0"/>
        <v>-7.229963767138606E-3</v>
      </c>
      <c r="H38" s="191">
        <f t="shared" si="1"/>
        <v>7.6646260609918443E-3</v>
      </c>
    </row>
    <row r="39" spans="2:8" x14ac:dyDescent="0.3">
      <c r="B39" s="164">
        <v>31</v>
      </c>
      <c r="C39" s="172">
        <v>26337.826830349</v>
      </c>
      <c r="D39" s="175">
        <v>28132.596832734602</v>
      </c>
      <c r="F39" s="164">
        <v>30</v>
      </c>
      <c r="G39" s="192">
        <f t="shared" si="0"/>
        <v>-7.1518452792455065E-3</v>
      </c>
      <c r="H39" s="191">
        <f t="shared" si="1"/>
        <v>7.6073200346298761E-3</v>
      </c>
    </row>
    <row r="40" spans="2:8" x14ac:dyDescent="0.3">
      <c r="B40" s="164">
        <v>32</v>
      </c>
      <c r="C40" s="172">
        <v>26167.504348540999</v>
      </c>
      <c r="D40" s="175">
        <v>28061.374122427598</v>
      </c>
      <c r="F40" s="164">
        <v>31</v>
      </c>
      <c r="G40" s="192">
        <f t="shared" si="0"/>
        <v>-7.0988977914348385E-3</v>
      </c>
      <c r="H40" s="191">
        <f t="shared" si="1"/>
        <v>7.5826464654669481E-3</v>
      </c>
    </row>
    <row r="41" spans="2:8" x14ac:dyDescent="0.3">
      <c r="B41" s="164">
        <v>33</v>
      </c>
      <c r="C41" s="172">
        <v>26077.366781177101</v>
      </c>
      <c r="D41" s="175">
        <v>28038.287039025301</v>
      </c>
      <c r="F41" s="164">
        <v>32</v>
      </c>
      <c r="G41" s="192">
        <f t="shared" si="0"/>
        <v>-7.0529903633950548E-3</v>
      </c>
      <c r="H41" s="191">
        <f t="shared" si="1"/>
        <v>7.5634496371122335E-3</v>
      </c>
    </row>
    <row r="42" spans="2:8" x14ac:dyDescent="0.3">
      <c r="B42" s="164">
        <v>34</v>
      </c>
      <c r="C42" s="172">
        <v>26058.184008512799</v>
      </c>
      <c r="D42" s="175">
        <v>28039.6685683736</v>
      </c>
      <c r="F42" s="164">
        <v>33</v>
      </c>
      <c r="G42" s="192">
        <f t="shared" si="0"/>
        <v>-7.028695368139503E-3</v>
      </c>
      <c r="H42" s="191">
        <f t="shared" si="1"/>
        <v>7.557226920012948E-3</v>
      </c>
    </row>
    <row r="43" spans="2:8" x14ac:dyDescent="0.3">
      <c r="B43" s="164">
        <v>35</v>
      </c>
      <c r="C43" s="172">
        <v>26066.013662578702</v>
      </c>
      <c r="D43" s="175">
        <v>28046.200253063402</v>
      </c>
      <c r="F43" s="164">
        <v>34</v>
      </c>
      <c r="G43" s="192">
        <f t="shared" si="0"/>
        <v>-7.023524989300832E-3</v>
      </c>
      <c r="H43" s="191">
        <f t="shared" si="1"/>
        <v>7.5575992869399014E-3</v>
      </c>
    </row>
    <row r="44" spans="2:8" x14ac:dyDescent="0.3">
      <c r="B44" s="164">
        <v>36</v>
      </c>
      <c r="C44" s="172">
        <v>26055.7282846419</v>
      </c>
      <c r="D44" s="175">
        <v>28043.750647557499</v>
      </c>
      <c r="F44" s="164">
        <v>35</v>
      </c>
      <c r="G44" s="192">
        <f t="shared" si="0"/>
        <v>-7.0256353347865914E-3</v>
      </c>
      <c r="H44" s="191">
        <f t="shared" si="1"/>
        <v>7.5593597876189231E-3</v>
      </c>
    </row>
    <row r="45" spans="2:8" x14ac:dyDescent="0.3">
      <c r="B45" s="164">
        <v>37</v>
      </c>
      <c r="C45" s="172">
        <v>25990.781899542599</v>
      </c>
      <c r="D45" s="175">
        <v>27991.461147409002</v>
      </c>
      <c r="F45" s="164">
        <v>36</v>
      </c>
      <c r="G45" s="192">
        <f t="shared" si="0"/>
        <v>-7.0228630921414428E-3</v>
      </c>
      <c r="H45" s="191">
        <f t="shared" si="1"/>
        <v>7.5586995395571614E-3</v>
      </c>
    </row>
    <row r="46" spans="2:8" x14ac:dyDescent="0.3">
      <c r="B46" s="164">
        <v>38</v>
      </c>
      <c r="C46" s="172">
        <v>25867.887383366698</v>
      </c>
      <c r="D46" s="175">
        <v>27873.978073598999</v>
      </c>
      <c r="F46" s="164">
        <v>37</v>
      </c>
      <c r="G46" s="192">
        <f t="shared" si="0"/>
        <v>-7.0053579368105617E-3</v>
      </c>
      <c r="H46" s="191">
        <f t="shared" si="1"/>
        <v>7.5446058248588906E-3</v>
      </c>
    </row>
    <row r="47" spans="2:8" x14ac:dyDescent="0.3">
      <c r="B47" s="164">
        <v>39</v>
      </c>
      <c r="C47" s="172">
        <v>25718.360496463702</v>
      </c>
      <c r="D47" s="175">
        <v>27717.887086632501</v>
      </c>
      <c r="F47" s="164">
        <v>38</v>
      </c>
      <c r="G47" s="192">
        <f t="shared" si="0"/>
        <v>-6.9722338823819223E-3</v>
      </c>
      <c r="H47" s="191">
        <f t="shared" si="1"/>
        <v>7.5129403295022355E-3</v>
      </c>
    </row>
    <row r="48" spans="2:8" x14ac:dyDescent="0.3">
      <c r="B48" s="164">
        <v>40</v>
      </c>
      <c r="C48" s="172">
        <v>25562.9238474392</v>
      </c>
      <c r="D48" s="175">
        <v>27538.9423147901</v>
      </c>
      <c r="F48" s="164">
        <v>39</v>
      </c>
      <c r="G48" s="192">
        <f t="shared" si="0"/>
        <v>-6.9319315410371661E-3</v>
      </c>
      <c r="H48" s="191">
        <f t="shared" si="1"/>
        <v>7.4708687504848464E-3</v>
      </c>
    </row>
    <row r="49" spans="2:8" x14ac:dyDescent="0.3">
      <c r="B49" s="164">
        <v>41</v>
      </c>
      <c r="C49" s="172">
        <v>25396.934767189799</v>
      </c>
      <c r="D49" s="175">
        <v>27333.164532932398</v>
      </c>
      <c r="F49" s="164">
        <v>40</v>
      </c>
      <c r="G49" s="192">
        <f t="shared" si="0"/>
        <v>-6.8900363272985524E-3</v>
      </c>
      <c r="H49" s="191">
        <f t="shared" si="1"/>
        <v>7.4226373358809248E-3</v>
      </c>
    </row>
    <row r="50" spans="2:8" x14ac:dyDescent="0.3">
      <c r="B50" s="164">
        <v>42</v>
      </c>
      <c r="C50" s="172">
        <v>25204.147550418202</v>
      </c>
      <c r="D50" s="175">
        <v>27086.551627598099</v>
      </c>
      <c r="F50" s="164">
        <v>41</v>
      </c>
      <c r="G50" s="192">
        <f t="shared" si="0"/>
        <v>-6.8452968913999546E-3</v>
      </c>
      <c r="H50" s="191">
        <f t="shared" si="1"/>
        <v>7.3671735555711267E-3</v>
      </c>
    </row>
    <row r="51" spans="2:8" x14ac:dyDescent="0.3">
      <c r="B51" s="164">
        <v>43</v>
      </c>
      <c r="C51" s="172">
        <v>24936.999778720299</v>
      </c>
      <c r="D51" s="175">
        <v>26759.5964169156</v>
      </c>
      <c r="F51" s="164">
        <v>42</v>
      </c>
      <c r="G51" s="192">
        <f t="shared" si="0"/>
        <v>-6.7933344893319238E-3</v>
      </c>
      <c r="H51" s="191">
        <f t="shared" si="1"/>
        <v>7.300703386247981E-3</v>
      </c>
    </row>
    <row r="52" spans="2:8" x14ac:dyDescent="0.3">
      <c r="B52" s="164">
        <v>44</v>
      </c>
      <c r="C52" s="172">
        <v>24559.1675668766</v>
      </c>
      <c r="D52" s="175">
        <v>26320.514945950999</v>
      </c>
      <c r="F52" s="164">
        <v>43</v>
      </c>
      <c r="G52" s="192">
        <f t="shared" si="0"/>
        <v>-6.721329508104403E-3</v>
      </c>
      <c r="H52" s="191">
        <f t="shared" si="1"/>
        <v>7.2125783621917973E-3</v>
      </c>
    </row>
    <row r="53" spans="2:8" x14ac:dyDescent="0.3">
      <c r="B53" s="164">
        <v>45</v>
      </c>
      <c r="C53" s="172">
        <v>24074.746770843001</v>
      </c>
      <c r="D53" s="175">
        <v>25766.1888449002</v>
      </c>
      <c r="F53" s="164">
        <v>44</v>
      </c>
      <c r="G53" s="192">
        <f t="shared" si="0"/>
        <v>-6.6194914835981632E-3</v>
      </c>
      <c r="H53" s="191">
        <f t="shared" si="1"/>
        <v>7.0942316776088895E-3</v>
      </c>
    </row>
    <row r="54" spans="2:8" x14ac:dyDescent="0.3">
      <c r="B54" s="164">
        <v>46</v>
      </c>
      <c r="C54" s="172">
        <v>23486.120039557401</v>
      </c>
      <c r="D54" s="175">
        <v>25100.116870376201</v>
      </c>
      <c r="F54" s="164">
        <v>45</v>
      </c>
      <c r="G54" s="192">
        <f t="shared" si="0"/>
        <v>-6.4889243817169463E-3</v>
      </c>
      <c r="H54" s="191">
        <f t="shared" si="1"/>
        <v>6.944822830788247E-3</v>
      </c>
    </row>
    <row r="55" spans="2:8" x14ac:dyDescent="0.3">
      <c r="B55" s="164">
        <v>47</v>
      </c>
      <c r="C55" s="172">
        <v>22798.839455679699</v>
      </c>
      <c r="D55" s="175">
        <v>24338.451310053399</v>
      </c>
      <c r="F55" s="164">
        <v>46</v>
      </c>
      <c r="G55" s="192">
        <f t="shared" si="0"/>
        <v>-6.3302704035577513E-3</v>
      </c>
      <c r="H55" s="191">
        <f t="shared" si="1"/>
        <v>6.7652948500120753E-3</v>
      </c>
    </row>
    <row r="56" spans="2:8" x14ac:dyDescent="0.3">
      <c r="B56" s="164">
        <v>48</v>
      </c>
      <c r="C56" s="172">
        <v>22034.717339386902</v>
      </c>
      <c r="D56" s="175">
        <v>23507.9328809242</v>
      </c>
      <c r="F56" s="164">
        <v>47</v>
      </c>
      <c r="G56" s="192">
        <f t="shared" si="0"/>
        <v>-6.1450260153091555E-3</v>
      </c>
      <c r="H56" s="191">
        <f t="shared" si="1"/>
        <v>6.5600013002133093E-3</v>
      </c>
    </row>
    <row r="57" spans="2:8" x14ac:dyDescent="0.3">
      <c r="B57" s="164">
        <v>49</v>
      </c>
      <c r="C57" s="172">
        <v>21214.272747127699</v>
      </c>
      <c r="D57" s="175">
        <v>22629.216243331899</v>
      </c>
      <c r="F57" s="164">
        <v>48</v>
      </c>
      <c r="G57" s="192">
        <f t="shared" si="0"/>
        <v>-5.93907034407333E-3</v>
      </c>
      <c r="H57" s="191">
        <f t="shared" si="1"/>
        <v>6.3361496711374608E-3</v>
      </c>
    </row>
    <row r="58" spans="2:8" x14ac:dyDescent="0.3">
      <c r="B58" s="164">
        <v>50</v>
      </c>
      <c r="C58" s="172">
        <v>20352.4393316764</v>
      </c>
      <c r="D58" s="175">
        <v>21720.4442633461</v>
      </c>
      <c r="F58" s="164">
        <v>49</v>
      </c>
      <c r="G58" s="192">
        <f t="shared" si="0"/>
        <v>-5.7179339404702717E-3</v>
      </c>
      <c r="H58" s="191">
        <f t="shared" si="1"/>
        <v>6.0993070630482819E-3</v>
      </c>
    </row>
    <row r="59" spans="2:8" x14ac:dyDescent="0.3">
      <c r="B59" s="164">
        <v>51</v>
      </c>
      <c r="C59" s="172">
        <v>19464.113473870701</v>
      </c>
      <c r="D59" s="175">
        <v>20804.104571944099</v>
      </c>
      <c r="F59" s="164">
        <v>50</v>
      </c>
      <c r="G59" s="192">
        <f t="shared" si="0"/>
        <v>-5.4856419078382502E-3</v>
      </c>
      <c r="H59" s="191">
        <f t="shared" si="1"/>
        <v>5.8543635662596525E-3</v>
      </c>
    </row>
    <row r="60" spans="2:8" x14ac:dyDescent="0.3">
      <c r="B60" s="164">
        <v>52</v>
      </c>
      <c r="C60" s="172">
        <v>18569.625944574698</v>
      </c>
      <c r="D60" s="175">
        <v>19902.758979198599</v>
      </c>
      <c r="F60" s="164">
        <v>51</v>
      </c>
      <c r="G60" s="192">
        <f t="shared" si="0"/>
        <v>-5.2462093035208429E-3</v>
      </c>
      <c r="H60" s="191">
        <f t="shared" si="1"/>
        <v>5.6073803260174452E-3</v>
      </c>
    </row>
    <row r="61" spans="2:8" x14ac:dyDescent="0.3">
      <c r="B61" s="164">
        <v>53</v>
      </c>
      <c r="C61" s="172">
        <v>17688.171388270799</v>
      </c>
      <c r="D61" s="175">
        <v>19030.420566677702</v>
      </c>
      <c r="F61" s="164">
        <v>52</v>
      </c>
      <c r="G61" s="192">
        <f t="shared" si="0"/>
        <v>-5.0051159290717233E-3</v>
      </c>
      <c r="H61" s="191">
        <f t="shared" si="1"/>
        <v>5.3644384812374683E-3</v>
      </c>
    </row>
    <row r="62" spans="2:8" x14ac:dyDescent="0.3">
      <c r="B62" s="164">
        <v>54</v>
      </c>
      <c r="C62" s="172">
        <v>16830.269960624701</v>
      </c>
      <c r="D62" s="175">
        <v>18187.3626151504</v>
      </c>
      <c r="F62" s="164">
        <v>53</v>
      </c>
      <c r="G62" s="192">
        <f t="shared" si="0"/>
        <v>-4.7675353631692402E-3</v>
      </c>
      <c r="H62" s="191">
        <f t="shared" si="1"/>
        <v>5.1293150114873898E-3</v>
      </c>
    </row>
    <row r="63" spans="2:8" x14ac:dyDescent="0.3">
      <c r="B63" s="164">
        <v>55</v>
      </c>
      <c r="C63" s="172">
        <v>15998.343478764</v>
      </c>
      <c r="D63" s="175">
        <v>17362.707957443101</v>
      </c>
      <c r="F63" s="164">
        <v>54</v>
      </c>
      <c r="G63" s="192">
        <f t="shared" si="0"/>
        <v>-4.5363031286643034E-3</v>
      </c>
      <c r="H63" s="191">
        <f t="shared" si="1"/>
        <v>4.9020835747899437E-3</v>
      </c>
    </row>
    <row r="64" spans="2:8" x14ac:dyDescent="0.3">
      <c r="B64" s="164">
        <v>56</v>
      </c>
      <c r="C64" s="172">
        <v>15188.2102350492</v>
      </c>
      <c r="D64" s="175">
        <v>16547.115712335999</v>
      </c>
      <c r="F64" s="164">
        <v>55</v>
      </c>
      <c r="G64" s="192">
        <f t="shared" si="0"/>
        <v>-4.3120719837502555E-3</v>
      </c>
      <c r="H64" s="191">
        <f t="shared" si="1"/>
        <v>4.6798124221241102E-3</v>
      </c>
    </row>
    <row r="65" spans="2:8" x14ac:dyDescent="0.3">
      <c r="B65" s="164">
        <v>57</v>
      </c>
      <c r="C65" s="172">
        <v>14393.8650534564</v>
      </c>
      <c r="D65" s="175">
        <v>15738.3770484374</v>
      </c>
      <c r="F65" s="164">
        <v>56</v>
      </c>
      <c r="G65" s="192">
        <f t="shared" si="0"/>
        <v>-4.0937148227126558E-3</v>
      </c>
      <c r="H65" s="191">
        <f t="shared" si="1"/>
        <v>4.4599838833157901E-3</v>
      </c>
    </row>
    <row r="66" spans="2:8" x14ac:dyDescent="0.3">
      <c r="B66" s="164">
        <v>58</v>
      </c>
      <c r="C66" s="172">
        <v>13610.5102285269</v>
      </c>
      <c r="D66" s="175">
        <v>14937.295803403</v>
      </c>
      <c r="F66" s="164">
        <v>57</v>
      </c>
      <c r="G66" s="192">
        <f t="shared" si="0"/>
        <v>-3.879613056019123E-3</v>
      </c>
      <c r="H66" s="191">
        <f t="shared" si="1"/>
        <v>4.2420026067291347E-3</v>
      </c>
    </row>
    <row r="67" spans="2:8" x14ac:dyDescent="0.3">
      <c r="B67" s="164">
        <v>59</v>
      </c>
      <c r="C67" s="172">
        <v>12840.865819949</v>
      </c>
      <c r="D67" s="175">
        <v>14147.749020757399</v>
      </c>
      <c r="F67" s="164">
        <v>58</v>
      </c>
      <c r="G67" s="192">
        <f t="shared" si="0"/>
        <v>-3.6684735465819219E-3</v>
      </c>
      <c r="H67" s="191">
        <f t="shared" si="1"/>
        <v>4.0260852526602074E-3</v>
      </c>
    </row>
    <row r="68" spans="2:8" x14ac:dyDescent="0.3">
      <c r="B68" s="164">
        <v>60</v>
      </c>
      <c r="C68" s="172">
        <v>12095.4373044689</v>
      </c>
      <c r="D68" s="175">
        <v>13379.293072325299</v>
      </c>
      <c r="F68" s="164">
        <v>59</v>
      </c>
      <c r="G68" s="192">
        <f t="shared" si="0"/>
        <v>-3.461029438628865E-3</v>
      </c>
      <c r="H68" s="191">
        <f t="shared" si="1"/>
        <v>3.8132768099720347E-3</v>
      </c>
    </row>
    <row r="69" spans="2:8" x14ac:dyDescent="0.3">
      <c r="B69" s="164">
        <v>61</v>
      </c>
      <c r="C69" s="172">
        <v>11382.5570454463</v>
      </c>
      <c r="D69" s="175">
        <v>12639.306548090801</v>
      </c>
      <c r="F69" s="164">
        <v>60</v>
      </c>
      <c r="G69" s="192">
        <f t="shared" si="0"/>
        <v>-3.2601122985663981E-3</v>
      </c>
      <c r="H69" s="191">
        <f t="shared" si="1"/>
        <v>3.6061530305395721E-3</v>
      </c>
    </row>
    <row r="70" spans="2:8" x14ac:dyDescent="0.3">
      <c r="B70" s="164">
        <v>62</v>
      </c>
      <c r="C70" s="172">
        <v>10704.625330061101</v>
      </c>
      <c r="D70" s="175">
        <v>11928.6932253946</v>
      </c>
      <c r="F70" s="164">
        <v>61</v>
      </c>
      <c r="G70" s="192">
        <f t="shared" si="0"/>
        <v>-3.0679679683249354E-3</v>
      </c>
      <c r="H70" s="191">
        <f t="shared" si="1"/>
        <v>3.4067026834620866E-3</v>
      </c>
    </row>
    <row r="71" spans="2:8" x14ac:dyDescent="0.3">
      <c r="B71" s="164">
        <v>63</v>
      </c>
      <c r="C71" s="172">
        <v>10063.1730951728</v>
      </c>
      <c r="D71" s="175">
        <v>11251.021759490601</v>
      </c>
      <c r="F71" s="164">
        <v>62</v>
      </c>
      <c r="G71" s="192">
        <f t="shared" si="0"/>
        <v>-2.8852434030792518E-3</v>
      </c>
      <c r="H71" s="191">
        <f t="shared" si="1"/>
        <v>3.2151693660192292E-3</v>
      </c>
    </row>
    <row r="72" spans="2:8" x14ac:dyDescent="0.3">
      <c r="B72" s="164">
        <v>64</v>
      </c>
      <c r="C72" s="172">
        <v>9462.0471367436603</v>
      </c>
      <c r="D72" s="175">
        <v>10612.6015188479</v>
      </c>
      <c r="F72" s="164">
        <v>63</v>
      </c>
      <c r="G72" s="192">
        <f t="shared" si="0"/>
        <v>-2.7123512399220245E-3</v>
      </c>
      <c r="H72" s="191">
        <f t="shared" si="1"/>
        <v>3.0325149464419492E-3</v>
      </c>
    </row>
    <row r="73" spans="2:8" x14ac:dyDescent="0.3">
      <c r="B73" s="164">
        <v>65</v>
      </c>
      <c r="C73" s="172">
        <v>8901.56078229591</v>
      </c>
      <c r="D73" s="175">
        <v>10016.188641115999</v>
      </c>
      <c r="F73" s="164">
        <v>64</v>
      </c>
      <c r="G73" s="192">
        <f t="shared" si="0"/>
        <v>-2.5503283150180786E-3</v>
      </c>
      <c r="H73" s="191">
        <f t="shared" si="1"/>
        <v>2.8604400039837709E-3</v>
      </c>
    </row>
    <row r="74" spans="2:8" x14ac:dyDescent="0.3">
      <c r="B74" s="164">
        <v>66</v>
      </c>
      <c r="C74" s="172">
        <v>8380.5797967332692</v>
      </c>
      <c r="D74" s="175">
        <v>9460.6032662453508</v>
      </c>
      <c r="F74" s="164">
        <v>65</v>
      </c>
      <c r="G74" s="192">
        <f t="shared" ref="G74:G109" si="2">-C73/SUM($C$8:$D$117)</f>
        <v>-2.3992590802878349E-3</v>
      </c>
      <c r="H74" s="191">
        <f t="shared" ref="H74:H109" si="3">D73/SUM($C$8:$D$117)</f>
        <v>2.6996874070521364E-3</v>
      </c>
    </row>
    <row r="75" spans="2:8" x14ac:dyDescent="0.3">
      <c r="B75" s="164">
        <v>67</v>
      </c>
      <c r="C75" s="172">
        <v>7900.3406599029204</v>
      </c>
      <c r="D75" s="175">
        <v>8943.3251790970608</v>
      </c>
      <c r="F75" s="164">
        <v>66</v>
      </c>
      <c r="G75" s="192">
        <f t="shared" si="2"/>
        <v>-2.2588378226186742E-3</v>
      </c>
      <c r="H75" s="191">
        <f t="shared" si="3"/>
        <v>2.5499391451310719E-3</v>
      </c>
    </row>
    <row r="76" spans="2:8" x14ac:dyDescent="0.3">
      <c r="B76" s="164">
        <v>68</v>
      </c>
      <c r="C76" s="172">
        <v>7463.2261073312202</v>
      </c>
      <c r="D76" s="175">
        <v>8459.8805686628202</v>
      </c>
      <c r="F76" s="164">
        <v>67</v>
      </c>
      <c r="G76" s="192">
        <f t="shared" si="2"/>
        <v>-2.1293978133967604E-3</v>
      </c>
      <c r="H76" s="191">
        <f t="shared" si="3"/>
        <v>2.4105159385746648E-3</v>
      </c>
    </row>
    <row r="77" spans="2:8" x14ac:dyDescent="0.3">
      <c r="B77" s="164">
        <v>69</v>
      </c>
      <c r="C77" s="172">
        <v>7044.5728451410796</v>
      </c>
      <c r="D77" s="175">
        <v>8001.4522961071698</v>
      </c>
      <c r="F77" s="164">
        <v>68</v>
      </c>
      <c r="G77" s="192">
        <f t="shared" si="2"/>
        <v>-2.0115812770574886E-3</v>
      </c>
      <c r="H77" s="191">
        <f t="shared" si="3"/>
        <v>2.2802119503451531E-3</v>
      </c>
    </row>
    <row r="78" spans="2:8" x14ac:dyDescent="0.3">
      <c r="B78" s="164">
        <v>70</v>
      </c>
      <c r="C78" s="172">
        <v>6629.4679701037403</v>
      </c>
      <c r="D78" s="175">
        <v>7558.5453603534497</v>
      </c>
      <c r="F78" s="164">
        <v>69</v>
      </c>
      <c r="G78" s="192">
        <f t="shared" si="2"/>
        <v>-1.89874065670251E-3</v>
      </c>
      <c r="H78" s="191">
        <f t="shared" si="3"/>
        <v>2.1566506758125621E-3</v>
      </c>
    </row>
    <row r="79" spans="2:8" x14ac:dyDescent="0.3">
      <c r="B79" s="164">
        <v>71</v>
      </c>
      <c r="C79" s="172">
        <v>6240.0493869718402</v>
      </c>
      <c r="D79" s="175">
        <v>7126.2763870287099</v>
      </c>
      <c r="F79" s="164">
        <v>70</v>
      </c>
      <c r="G79" s="192">
        <f t="shared" si="2"/>
        <v>-1.7868564416684575E-3</v>
      </c>
      <c r="H79" s="191">
        <f t="shared" si="3"/>
        <v>2.0372729045072145E-3</v>
      </c>
    </row>
    <row r="80" spans="2:8" x14ac:dyDescent="0.3">
      <c r="B80" s="164">
        <v>72</v>
      </c>
      <c r="C80" s="172">
        <v>5869.2212331805504</v>
      </c>
      <c r="D80" s="175">
        <v>6703.1114461754796</v>
      </c>
      <c r="F80" s="164">
        <v>71</v>
      </c>
      <c r="G80" s="192">
        <f t="shared" si="2"/>
        <v>-1.6818955146509988E-3</v>
      </c>
      <c r="H80" s="191">
        <f t="shared" si="3"/>
        <v>1.9207624087929354E-3</v>
      </c>
    </row>
    <row r="81" spans="2:8" x14ac:dyDescent="0.3">
      <c r="B81" s="164">
        <v>73</v>
      </c>
      <c r="C81" s="172">
        <v>5503.1174402525903</v>
      </c>
      <c r="D81" s="175">
        <v>6288.3404995441997</v>
      </c>
      <c r="F81" s="164">
        <v>72</v>
      </c>
      <c r="G81" s="192">
        <f t="shared" si="2"/>
        <v>-1.5819453107519641E-3</v>
      </c>
      <c r="H81" s="191">
        <f t="shared" si="3"/>
        <v>1.8067057448401546E-3</v>
      </c>
    </row>
    <row r="82" spans="2:8" x14ac:dyDescent="0.3">
      <c r="B82" s="164">
        <v>74</v>
      </c>
      <c r="C82" s="172">
        <v>5145.7854284144096</v>
      </c>
      <c r="D82" s="175">
        <v>5883.17807149694</v>
      </c>
      <c r="F82" s="164">
        <v>73</v>
      </c>
      <c r="G82" s="192">
        <f t="shared" si="2"/>
        <v>-1.483268475195529E-3</v>
      </c>
      <c r="H82" s="191">
        <f t="shared" si="3"/>
        <v>1.6949115343322745E-3</v>
      </c>
    </row>
    <row r="83" spans="2:8" x14ac:dyDescent="0.3">
      <c r="B83" s="164">
        <v>75</v>
      </c>
      <c r="C83" s="172">
        <v>4796.3446210145703</v>
      </c>
      <c r="D83" s="175">
        <v>5487.4734941384304</v>
      </c>
      <c r="F83" s="164">
        <v>74</v>
      </c>
      <c r="G83" s="192">
        <f t="shared" si="2"/>
        <v>-1.3869559188868195E-3</v>
      </c>
      <c r="H83" s="191">
        <f t="shared" si="3"/>
        <v>1.5857071309407682E-3</v>
      </c>
    </row>
    <row r="84" spans="2:8" x14ac:dyDescent="0.3">
      <c r="B84" s="164">
        <v>76</v>
      </c>
      <c r="C84" s="172">
        <v>4452.0945287293698</v>
      </c>
      <c r="D84" s="175">
        <v>5098.8994417202903</v>
      </c>
      <c r="F84" s="164">
        <v>75</v>
      </c>
      <c r="G84" s="192">
        <f t="shared" si="2"/>
        <v>-1.2927702978837424E-3</v>
      </c>
      <c r="H84" s="191">
        <f t="shared" si="3"/>
        <v>1.4790519247855625E-3</v>
      </c>
    </row>
    <row r="85" spans="2:8" x14ac:dyDescent="0.3">
      <c r="B85" s="164">
        <v>77</v>
      </c>
      <c r="C85" s="172">
        <v>4110.9550239706296</v>
      </c>
      <c r="D85" s="175">
        <v>4717.3242425809403</v>
      </c>
      <c r="F85" s="164">
        <v>76</v>
      </c>
      <c r="G85" s="192">
        <f t="shared" si="2"/>
        <v>-1.1999837428059077E-3</v>
      </c>
      <c r="H85" s="191">
        <f t="shared" si="3"/>
        <v>1.3743186261619468E-3</v>
      </c>
    </row>
    <row r="86" spans="2:8" x14ac:dyDescent="0.3">
      <c r="B86" s="164">
        <v>78</v>
      </c>
      <c r="C86" s="172">
        <v>3772.4394688858201</v>
      </c>
      <c r="D86" s="175">
        <v>4344.5546590079502</v>
      </c>
      <c r="F86" s="164">
        <v>77</v>
      </c>
      <c r="G86" s="192">
        <f t="shared" si="2"/>
        <v>-1.1080355918630796E-3</v>
      </c>
      <c r="H86" s="191">
        <f t="shared" si="3"/>
        <v>1.2714717452903884E-3</v>
      </c>
    </row>
    <row r="87" spans="2:8" x14ac:dyDescent="0.3">
      <c r="B87" s="164">
        <v>79</v>
      </c>
      <c r="C87" s="172">
        <v>3439.7334024673601</v>
      </c>
      <c r="D87" s="175">
        <v>3982.27696286221</v>
      </c>
      <c r="F87" s="164">
        <v>78</v>
      </c>
      <c r="G87" s="192">
        <f t="shared" si="2"/>
        <v>-1.0167946803848092E-3</v>
      </c>
      <c r="H87" s="191">
        <f t="shared" si="3"/>
        <v>1.1709982631543786E-3</v>
      </c>
    </row>
    <row r="88" spans="2:8" x14ac:dyDescent="0.3">
      <c r="B88" s="164">
        <v>80</v>
      </c>
      <c r="C88" s="172">
        <v>3117.2464050143099</v>
      </c>
      <c r="D88" s="175">
        <v>3632.1477004220601</v>
      </c>
      <c r="F88" s="164">
        <v>79</v>
      </c>
      <c r="G88" s="192">
        <f t="shared" si="2"/>
        <v>-9.2711961435493347E-4</v>
      </c>
      <c r="H88" s="191">
        <f t="shared" si="3"/>
        <v>1.0733526846630032E-3</v>
      </c>
    </row>
    <row r="89" spans="2:8" x14ac:dyDescent="0.3">
      <c r="B89" s="164">
        <v>81</v>
      </c>
      <c r="C89" s="172">
        <v>2807.15760628826</v>
      </c>
      <c r="D89" s="175">
        <v>3296.3594945446698</v>
      </c>
      <c r="F89" s="164">
        <v>80</v>
      </c>
      <c r="G89" s="192">
        <f t="shared" si="2"/>
        <v>-8.4019891855371595E-4</v>
      </c>
      <c r="H89" s="191">
        <f t="shared" si="3"/>
        <v>9.7898150271761154E-4</v>
      </c>
    </row>
    <row r="90" spans="2:8" x14ac:dyDescent="0.3">
      <c r="B90" s="164">
        <v>82</v>
      </c>
      <c r="C90" s="172">
        <v>2510.6399415215701</v>
      </c>
      <c r="D90" s="175">
        <v>2977.4992904297401</v>
      </c>
      <c r="F90" s="164">
        <v>81</v>
      </c>
      <c r="G90" s="192">
        <f t="shared" si="2"/>
        <v>-7.5661993906522981E-4</v>
      </c>
      <c r="H90" s="191">
        <f t="shared" si="3"/>
        <v>8.8847570022877016E-4</v>
      </c>
    </row>
    <row r="91" spans="2:8" x14ac:dyDescent="0.3">
      <c r="B91" s="164">
        <v>83</v>
      </c>
      <c r="C91" s="172">
        <v>2226.1232067135002</v>
      </c>
      <c r="D91" s="175">
        <v>2674.7243463443201</v>
      </c>
      <c r="F91" s="164">
        <v>82</v>
      </c>
      <c r="G91" s="192">
        <f t="shared" si="2"/>
        <v>-6.7669881994282207E-4</v>
      </c>
      <c r="H91" s="191">
        <f t="shared" si="3"/>
        <v>8.0253254275612521E-4</v>
      </c>
    </row>
    <row r="92" spans="2:8" x14ac:dyDescent="0.3">
      <c r="B92" s="164">
        <v>84</v>
      </c>
      <c r="C92" s="172">
        <v>1957.6495235212001</v>
      </c>
      <c r="D92" s="175">
        <v>2385.6813775472401</v>
      </c>
      <c r="F92" s="164">
        <v>83</v>
      </c>
      <c r="G92" s="192">
        <f t="shared" si="2"/>
        <v>-6.000123403268235E-4</v>
      </c>
      <c r="H92" s="191">
        <f t="shared" si="3"/>
        <v>7.209248840941325E-4</v>
      </c>
    </row>
    <row r="93" spans="2:8" x14ac:dyDescent="0.3">
      <c r="B93" s="164">
        <v>85</v>
      </c>
      <c r="C93" s="172">
        <v>1703.51994872562</v>
      </c>
      <c r="D93" s="175">
        <v>2108.5582013045801</v>
      </c>
      <c r="F93" s="164">
        <v>84</v>
      </c>
      <c r="G93" s="192">
        <f t="shared" si="2"/>
        <v>-5.2764998298623716E-4</v>
      </c>
      <c r="H93" s="191">
        <f t="shared" si="3"/>
        <v>6.4301843774833994E-4</v>
      </c>
    </row>
    <row r="94" spans="2:8" x14ac:dyDescent="0.3">
      <c r="B94" s="164">
        <v>86</v>
      </c>
      <c r="C94" s="172">
        <v>1465.8827624729699</v>
      </c>
      <c r="D94" s="175">
        <v>1846.4745167985</v>
      </c>
      <c r="F94" s="164">
        <v>85</v>
      </c>
      <c r="G94" s="192">
        <f t="shared" si="2"/>
        <v>-4.591538276703465E-4</v>
      </c>
      <c r="H94" s="191">
        <f t="shared" si="3"/>
        <v>5.6832476174931829E-4</v>
      </c>
    </row>
    <row r="95" spans="2:8" x14ac:dyDescent="0.3">
      <c r="B95" s="164">
        <v>87</v>
      </c>
      <c r="C95" s="172">
        <v>1247.72987794043</v>
      </c>
      <c r="D95" s="175">
        <v>1600.7574639888701</v>
      </c>
      <c r="F95" s="164">
        <v>86</v>
      </c>
      <c r="G95" s="192">
        <f t="shared" si="2"/>
        <v>-3.9510290549221727E-4</v>
      </c>
      <c r="H95" s="191">
        <f t="shared" si="3"/>
        <v>4.976847161185428E-4</v>
      </c>
    </row>
    <row r="96" spans="2:8" x14ac:dyDescent="0.3">
      <c r="B96" s="164">
        <v>88</v>
      </c>
      <c r="C96" s="172">
        <v>1050.54092217124</v>
      </c>
      <c r="D96" s="175">
        <v>1373.0136464157699</v>
      </c>
      <c r="F96" s="164">
        <v>87</v>
      </c>
      <c r="G96" s="192">
        <f t="shared" si="2"/>
        <v>-3.3630363400415786E-4</v>
      </c>
      <c r="H96" s="191">
        <f t="shared" si="3"/>
        <v>4.314560080803312E-4</v>
      </c>
    </row>
    <row r="97" spans="2:8" x14ac:dyDescent="0.3">
      <c r="B97" s="164">
        <v>89</v>
      </c>
      <c r="C97" s="172">
        <v>873.08360844703805</v>
      </c>
      <c r="D97" s="175">
        <v>1163.33877723092</v>
      </c>
      <c r="F97" s="164">
        <v>88</v>
      </c>
      <c r="G97" s="192">
        <f t="shared" si="2"/>
        <v>-2.831548206407018E-4</v>
      </c>
      <c r="H97" s="191">
        <f t="shared" si="3"/>
        <v>3.7007166934970877E-4</v>
      </c>
    </row>
    <row r="98" spans="2:8" x14ac:dyDescent="0.3">
      <c r="B98" s="164">
        <v>90</v>
      </c>
      <c r="C98" s="172">
        <v>718.74562590560595</v>
      </c>
      <c r="D98" s="175">
        <v>976.95575527945198</v>
      </c>
      <c r="F98" s="164">
        <v>89</v>
      </c>
      <c r="G98" s="192">
        <f t="shared" si="2"/>
        <v>-2.3532432419977716E-4</v>
      </c>
      <c r="H98" s="191">
        <f t="shared" si="3"/>
        <v>3.1355749772258836E-4</v>
      </c>
    </row>
    <row r="99" spans="2:8" x14ac:dyDescent="0.3">
      <c r="B99" s="164">
        <v>91</v>
      </c>
      <c r="C99" s="172">
        <v>584.80373940364905</v>
      </c>
      <c r="D99" s="175">
        <v>811.48425907891499</v>
      </c>
      <c r="F99" s="164">
        <v>90</v>
      </c>
      <c r="G99" s="192">
        <f t="shared" si="2"/>
        <v>-1.9372523667994466E-4</v>
      </c>
      <c r="H99" s="191">
        <f t="shared" si="3"/>
        <v>2.6332123368247377E-4</v>
      </c>
    </row>
    <row r="100" spans="2:8" x14ac:dyDescent="0.3">
      <c r="B100" s="164">
        <v>92</v>
      </c>
      <c r="C100" s="172">
        <v>470.42474369821502</v>
      </c>
      <c r="D100" s="175">
        <v>666.200078028353</v>
      </c>
      <c r="F100" s="164">
        <v>91</v>
      </c>
      <c r="G100" s="192">
        <f t="shared" si="2"/>
        <v>-1.5762355796537024E-4</v>
      </c>
      <c r="H100" s="191">
        <f t="shared" si="3"/>
        <v>2.1872130345702907E-4</v>
      </c>
    </row>
    <row r="101" spans="2:8" x14ac:dyDescent="0.3">
      <c r="B101" s="164">
        <v>93</v>
      </c>
      <c r="C101" s="172">
        <v>374.26269005851401</v>
      </c>
      <c r="D101" s="175">
        <v>539.89713337845706</v>
      </c>
      <c r="F101" s="164">
        <v>92</v>
      </c>
      <c r="G101" s="192">
        <f t="shared" si="2"/>
        <v>-1.2679471224358822E-4</v>
      </c>
      <c r="H101" s="191">
        <f t="shared" si="3"/>
        <v>1.7956250882170921E-4</v>
      </c>
    </row>
    <row r="102" spans="2:8" x14ac:dyDescent="0.3">
      <c r="B102" s="164">
        <v>94</v>
      </c>
      <c r="C102" s="172">
        <v>293.98928962289699</v>
      </c>
      <c r="D102" s="175">
        <v>431.68624292295402</v>
      </c>
      <c r="F102" s="164">
        <v>93</v>
      </c>
      <c r="G102" s="192">
        <f t="shared" si="2"/>
        <v>-1.0087592271703158E-4</v>
      </c>
      <c r="H102" s="191">
        <f t="shared" si="3"/>
        <v>1.4551977247135475E-4</v>
      </c>
    </row>
    <row r="103" spans="2:8" x14ac:dyDescent="0.3">
      <c r="B103" s="164">
        <v>95</v>
      </c>
      <c r="C103" s="172">
        <v>227.566237999951</v>
      </c>
      <c r="D103" s="175">
        <v>340.10934087894202</v>
      </c>
      <c r="F103" s="164">
        <v>94</v>
      </c>
      <c r="G103" s="192">
        <f t="shared" si="2"/>
        <v>-7.9239640090754819E-5</v>
      </c>
      <c r="H103" s="191">
        <f t="shared" si="3"/>
        <v>1.1635343098798688E-4</v>
      </c>
    </row>
    <row r="104" spans="2:8" x14ac:dyDescent="0.3">
      <c r="B104" s="164">
        <v>96</v>
      </c>
      <c r="C104" s="172">
        <v>173.432499022266</v>
      </c>
      <c r="D104" s="175">
        <v>263.58497137435398</v>
      </c>
      <c r="F104" s="164">
        <v>95</v>
      </c>
      <c r="G104" s="192">
        <f t="shared" si="2"/>
        <v>-6.1336475281304761E-5</v>
      </c>
      <c r="H104" s="191">
        <f t="shared" si="3"/>
        <v>9.1670488395412052E-5</v>
      </c>
    </row>
    <row r="105" spans="2:8" x14ac:dyDescent="0.3">
      <c r="B105" s="164">
        <v>97</v>
      </c>
      <c r="C105" s="172">
        <v>129.923160757007</v>
      </c>
      <c r="D105" s="175">
        <v>200.801674640768</v>
      </c>
      <c r="F105" s="164">
        <v>96</v>
      </c>
      <c r="G105" s="192">
        <f t="shared" si="2"/>
        <v>-4.6745678457172645E-5</v>
      </c>
      <c r="H105" s="191">
        <f t="shared" si="3"/>
        <v>7.1044691090028784E-5</v>
      </c>
    </row>
    <row r="106" spans="2:8" x14ac:dyDescent="0.3">
      <c r="B106" s="164">
        <v>98</v>
      </c>
      <c r="C106" s="172">
        <v>95.462324730299002</v>
      </c>
      <c r="D106" s="175">
        <v>150.215175515011</v>
      </c>
      <c r="F106" s="164">
        <v>97</v>
      </c>
      <c r="G106" s="192">
        <f t="shared" si="2"/>
        <v>-3.5018501902039009E-5</v>
      </c>
      <c r="H106" s="191">
        <f t="shared" si="3"/>
        <v>5.4122558167221279E-5</v>
      </c>
    </row>
    <row r="107" spans="2:8" x14ac:dyDescent="0.3">
      <c r="B107" s="164">
        <v>99</v>
      </c>
      <c r="C107" s="172">
        <v>68.788771539856398</v>
      </c>
      <c r="D107" s="175">
        <v>110.35063685882101</v>
      </c>
      <c r="F107" s="164">
        <v>98</v>
      </c>
      <c r="G107" s="192">
        <f t="shared" si="2"/>
        <v>-2.5730189911199104E-5</v>
      </c>
      <c r="H107" s="191">
        <f t="shared" si="3"/>
        <v>4.0487857429252369E-5</v>
      </c>
    </row>
    <row r="108" spans="2:8" x14ac:dyDescent="0.3">
      <c r="B108" s="164">
        <v>100</v>
      </c>
      <c r="C108" s="172">
        <v>48.7900988316838</v>
      </c>
      <c r="D108" s="175">
        <v>79.762387827736902</v>
      </c>
      <c r="F108" s="164">
        <v>99</v>
      </c>
      <c r="G108" s="192">
        <f t="shared" si="2"/>
        <v>-1.8540802986718231E-5</v>
      </c>
      <c r="H108" s="191">
        <f t="shared" si="3"/>
        <v>2.9743072476193815E-5</v>
      </c>
    </row>
    <row r="109" spans="2:8" x14ac:dyDescent="0.3">
      <c r="B109" s="164">
        <v>101</v>
      </c>
      <c r="C109" s="172">
        <v>34.154645370267097</v>
      </c>
      <c r="D109" s="175">
        <v>56.830252562857901</v>
      </c>
      <c r="F109" s="164">
        <v>100</v>
      </c>
      <c r="G109" s="192">
        <f t="shared" si="2"/>
        <v>-1.3150512647498414E-5</v>
      </c>
      <c r="H109" s="191">
        <f t="shared" si="3"/>
        <v>2.149854816941203E-5</v>
      </c>
    </row>
    <row r="110" spans="2:8" x14ac:dyDescent="0.3">
      <c r="B110" s="164">
        <v>102</v>
      </c>
      <c r="C110" s="172">
        <v>23.586889967660099</v>
      </c>
      <c r="D110" s="175">
        <v>39.929555734079102</v>
      </c>
      <c r="F110" s="164"/>
      <c r="G110" s="190"/>
      <c r="H110" s="190"/>
    </row>
    <row r="111" spans="2:8" x14ac:dyDescent="0.3">
      <c r="B111" s="164">
        <v>103</v>
      </c>
      <c r="C111" s="172">
        <v>16.0595747852587</v>
      </c>
      <c r="D111" s="175">
        <v>27.644850375565699</v>
      </c>
      <c r="F111" s="164"/>
      <c r="G111" s="190"/>
      <c r="H111" s="190"/>
    </row>
    <row r="112" spans="2:8" x14ac:dyDescent="0.3">
      <c r="B112" s="164">
        <v>104</v>
      </c>
      <c r="C112" s="172">
        <v>10.7403066650723</v>
      </c>
      <c r="D112" s="175">
        <v>18.807107728672001</v>
      </c>
      <c r="F112" s="164"/>
      <c r="G112" s="190"/>
      <c r="H112" s="190"/>
    </row>
    <row r="113" spans="2:8" x14ac:dyDescent="0.3">
      <c r="B113" s="164">
        <v>105</v>
      </c>
      <c r="C113" s="172">
        <v>7.0156128640417501</v>
      </c>
      <c r="D113" s="175">
        <v>12.475339505655599</v>
      </c>
      <c r="F113" s="164"/>
      <c r="G113" s="190"/>
      <c r="H113" s="190"/>
    </row>
    <row r="114" spans="2:8" x14ac:dyDescent="0.3">
      <c r="B114" s="164">
        <v>106</v>
      </c>
      <c r="C114" s="172">
        <v>4.4550045501958602</v>
      </c>
      <c r="D114" s="175">
        <v>7.9921185637869296</v>
      </c>
      <c r="F114" s="164"/>
      <c r="G114" s="190"/>
      <c r="H114" s="190"/>
    </row>
    <row r="115" spans="2:8" x14ac:dyDescent="0.3">
      <c r="B115" s="164">
        <v>107</v>
      </c>
      <c r="C115" s="172">
        <v>2.7822073960339901</v>
      </c>
      <c r="D115" s="175">
        <v>5.0029496152119597</v>
      </c>
      <c r="F115" s="164"/>
      <c r="G115" s="190"/>
      <c r="H115" s="190"/>
    </row>
    <row r="116" spans="2:8" x14ac:dyDescent="0.3">
      <c r="B116" s="164">
        <v>108</v>
      </c>
      <c r="C116" s="172">
        <v>1.71253532699267</v>
      </c>
      <c r="D116" s="175">
        <v>3.0814178033413202</v>
      </c>
      <c r="F116" s="164"/>
      <c r="G116" s="190"/>
      <c r="H116" s="190"/>
    </row>
    <row r="117" spans="2:8" ht="15" thickBot="1" x14ac:dyDescent="0.35">
      <c r="B117" s="165">
        <v>109</v>
      </c>
      <c r="C117" s="173">
        <v>0.61204499915911803</v>
      </c>
      <c r="D117" s="176">
        <v>1.10737481149108</v>
      </c>
      <c r="F117" s="164"/>
      <c r="G117" s="190"/>
      <c r="H117" s="190"/>
    </row>
    <row r="118" spans="2:8" ht="15" thickBot="1" x14ac:dyDescent="0.35">
      <c r="F118" s="165"/>
      <c r="G118" s="190"/>
      <c r="H118" s="190"/>
    </row>
  </sheetData>
  <mergeCells count="3">
    <mergeCell ref="B2:D4"/>
    <mergeCell ref="F6:H6"/>
    <mergeCell ref="F7:H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E7FF"/>
  </sheetPr>
  <dimension ref="A1:Z108"/>
  <sheetViews>
    <sheetView topLeftCell="C1" zoomScale="80" zoomScaleNormal="80" workbookViewId="0">
      <selection activeCell="Q37" sqref="Q37"/>
    </sheetView>
  </sheetViews>
  <sheetFormatPr baseColWidth="10" defaultColWidth="8.88671875" defaultRowHeight="14.4" x14ac:dyDescent="0.3"/>
  <cols>
    <col min="8" max="8" width="12.88671875" customWidth="1"/>
    <col min="11" max="11" width="12.77734375" bestFit="1" customWidth="1"/>
    <col min="21" max="21" width="9.88671875" customWidth="1"/>
    <col min="24" max="25" width="12.33203125" style="143" customWidth="1"/>
  </cols>
  <sheetData>
    <row r="1" spans="1:26" x14ac:dyDescent="0.3">
      <c r="A1" s="10" t="s">
        <v>19</v>
      </c>
      <c r="B1" s="11"/>
      <c r="C1" s="11"/>
      <c r="D1" s="11"/>
      <c r="E1" s="11"/>
      <c r="F1" s="11"/>
      <c r="X1" s="142"/>
    </row>
    <row r="2" spans="1:26" x14ac:dyDescent="0.3">
      <c r="A2" s="12" t="s">
        <v>20</v>
      </c>
      <c r="B2" s="11"/>
      <c r="C2" s="11"/>
      <c r="D2" s="11"/>
      <c r="E2" s="11"/>
      <c r="F2" s="11"/>
    </row>
    <row r="3" spans="1:26" x14ac:dyDescent="0.3">
      <c r="A3" s="12"/>
      <c r="B3" s="11"/>
      <c r="C3" s="11"/>
      <c r="D3" s="11"/>
      <c r="E3" s="11"/>
      <c r="F3" s="11"/>
    </row>
    <row r="4" spans="1:26" ht="14.4" customHeight="1" x14ac:dyDescent="0.3">
      <c r="A4" s="200" t="s">
        <v>21</v>
      </c>
      <c r="B4" s="198" t="s">
        <v>22</v>
      </c>
      <c r="C4" s="198"/>
      <c r="D4" s="198"/>
      <c r="E4" s="198"/>
      <c r="F4" s="198"/>
    </row>
    <row r="5" spans="1:26" ht="15" thickBot="1" x14ac:dyDescent="0.35">
      <c r="A5" s="200"/>
      <c r="B5" s="13" t="s">
        <v>23</v>
      </c>
      <c r="C5" s="13" t="s">
        <v>24</v>
      </c>
      <c r="D5" s="13" t="s">
        <v>25</v>
      </c>
      <c r="E5" s="13" t="s">
        <v>26</v>
      </c>
      <c r="F5" s="14" t="s">
        <v>27</v>
      </c>
    </row>
    <row r="6" spans="1:26" ht="15" thickBot="1" x14ac:dyDescent="0.35">
      <c r="A6" s="200"/>
      <c r="B6" s="198" t="s">
        <v>28</v>
      </c>
      <c r="C6" s="198"/>
      <c r="D6" s="198"/>
      <c r="E6" s="198"/>
      <c r="F6" s="198"/>
      <c r="H6" s="2" t="s">
        <v>3</v>
      </c>
      <c r="I6" s="3" t="s">
        <v>0</v>
      </c>
      <c r="J6" s="4" t="s">
        <v>1</v>
      </c>
      <c r="K6" s="144" t="s">
        <v>29</v>
      </c>
      <c r="N6" s="15" t="s">
        <v>3</v>
      </c>
      <c r="O6" s="16" t="s">
        <v>30</v>
      </c>
      <c r="Q6" s="15" t="s">
        <v>3</v>
      </c>
      <c r="R6" s="16" t="s">
        <v>30</v>
      </c>
      <c r="T6" s="145" t="s">
        <v>3</v>
      </c>
      <c r="U6" s="146" t="s">
        <v>30</v>
      </c>
      <c r="X6" s="147" t="s">
        <v>123</v>
      </c>
      <c r="Y6" s="147" t="s">
        <v>124</v>
      </c>
      <c r="Z6" t="s">
        <v>125</v>
      </c>
    </row>
    <row r="7" spans="1:26" x14ac:dyDescent="0.3">
      <c r="A7" s="17" t="s">
        <v>31</v>
      </c>
      <c r="B7" s="18">
        <v>0.33329999999999999</v>
      </c>
      <c r="C7" s="19">
        <v>-0.1636</v>
      </c>
      <c r="D7" s="19">
        <v>-2.1000000000000001E-2</v>
      </c>
      <c r="E7" s="19">
        <v>7.9600000000000004E-2</v>
      </c>
      <c r="F7" s="20">
        <v>-2.8299999999999999E-2</v>
      </c>
      <c r="H7" s="21" t="s">
        <v>4</v>
      </c>
      <c r="I7" s="161">
        <v>174359</v>
      </c>
      <c r="J7" s="159">
        <v>205404</v>
      </c>
      <c r="K7" s="222">
        <f t="shared" ref="K7:K27" si="0">I7+J7</f>
        <v>379763</v>
      </c>
      <c r="N7" s="22">
        <v>0</v>
      </c>
      <c r="O7" s="229">
        <f t="array" ref="O7:O11">MMULT($B$7:$F$11,K7:K11)</f>
        <v>79216.275236846166</v>
      </c>
      <c r="P7" s="23">
        <f>SUM(O7:O11)</f>
        <v>379763</v>
      </c>
      <c r="Q7" s="22">
        <v>35</v>
      </c>
      <c r="R7" s="229">
        <f t="array" ref="R7:R11">MMULT($B$19:$F$23,K12:$K$16)</f>
        <v>54026.343919504012</v>
      </c>
      <c r="S7" s="23">
        <f>SUM(R7:R11)</f>
        <v>269372.04893485503</v>
      </c>
      <c r="T7" s="148">
        <v>70</v>
      </c>
      <c r="U7" s="232">
        <f t="array" ref="U7:U11">MMULT(B19:F23,K19:K23)</f>
        <v>14173.231889939538</v>
      </c>
      <c r="V7" s="23">
        <f>SUM(U7:U11)</f>
        <v>62947.093223521908</v>
      </c>
      <c r="X7" s="143">
        <v>68403.51020177381</v>
      </c>
      <c r="Y7" s="143">
        <v>79216.275236846166</v>
      </c>
      <c r="Z7">
        <f>(X7-Y7)^2</f>
        <v>116915887.70368329</v>
      </c>
    </row>
    <row r="8" spans="1:26" x14ac:dyDescent="0.3">
      <c r="A8" s="24" t="s">
        <v>32</v>
      </c>
      <c r="B8" s="25">
        <v>0.25950000000000001</v>
      </c>
      <c r="C8" s="26">
        <v>-7.8E-2</v>
      </c>
      <c r="D8" s="26">
        <v>1.2999999999999999E-2</v>
      </c>
      <c r="E8" s="26">
        <v>0.01</v>
      </c>
      <c r="F8" s="27">
        <v>-4.4999999999999997E-3</v>
      </c>
      <c r="H8" s="9" t="s">
        <v>5</v>
      </c>
      <c r="I8" s="162">
        <v>181122.53592614277</v>
      </c>
      <c r="J8" s="160">
        <v>171997.36119711981</v>
      </c>
      <c r="K8" s="223">
        <f t="shared" si="0"/>
        <v>353119.89712326258</v>
      </c>
      <c r="N8" s="28">
        <v>1</v>
      </c>
      <c r="O8" s="230">
        <v>77446.377696932934</v>
      </c>
      <c r="P8" s="23"/>
      <c r="Q8" s="28">
        <v>36</v>
      </c>
      <c r="R8" s="230">
        <v>54019.74633162711</v>
      </c>
      <c r="S8" s="23"/>
      <c r="T8" s="28">
        <v>71</v>
      </c>
      <c r="U8" s="230">
        <v>13371.89821892384</v>
      </c>
      <c r="V8" s="23"/>
      <c r="X8" s="143">
        <v>68185.738054321293</v>
      </c>
      <c r="Y8" s="143">
        <v>77446.377696932934</v>
      </c>
      <c r="Z8">
        <f t="shared" ref="Z8:Z71" si="1">(X8-Y8)^2</f>
        <v>85759446.590310261</v>
      </c>
    </row>
    <row r="9" spans="1:26" x14ac:dyDescent="0.3">
      <c r="A9" s="24" t="s">
        <v>33</v>
      </c>
      <c r="B9" s="25">
        <v>0.19239999999999999</v>
      </c>
      <c r="C9" s="26">
        <v>6.4000000000000003E-3</v>
      </c>
      <c r="D9" s="26">
        <v>1.84E-2</v>
      </c>
      <c r="E9" s="26">
        <v>-2.5600000000000001E-2</v>
      </c>
      <c r="F9" s="27">
        <v>8.3999999999999995E-3</v>
      </c>
      <c r="H9" s="9" t="s">
        <v>6</v>
      </c>
      <c r="I9" s="162">
        <v>177307.5017278025</v>
      </c>
      <c r="J9" s="160">
        <v>169948.73406793241</v>
      </c>
      <c r="K9" s="223">
        <f t="shared" si="0"/>
        <v>347256.23579573492</v>
      </c>
      <c r="N9" s="28">
        <v>2</v>
      </c>
      <c r="O9" s="230">
        <v>75801.406180483449</v>
      </c>
      <c r="P9" s="23"/>
      <c r="Q9" s="22">
        <v>37</v>
      </c>
      <c r="R9" s="230">
        <v>53960.387020449532</v>
      </c>
      <c r="S9" s="23"/>
      <c r="T9" s="28">
        <v>72</v>
      </c>
      <c r="U9" s="230">
        <v>12584.837729964043</v>
      </c>
      <c r="V9" s="23"/>
      <c r="X9" s="143">
        <v>68248.481450011197</v>
      </c>
      <c r="Y9" s="143">
        <v>75801.406180483449</v>
      </c>
      <c r="Z9">
        <f t="shared" si="1"/>
        <v>57046671.98417934</v>
      </c>
    </row>
    <row r="10" spans="1:26" x14ac:dyDescent="0.3">
      <c r="A10" s="24" t="s">
        <v>34</v>
      </c>
      <c r="B10" s="25">
        <v>0.13289999999999999</v>
      </c>
      <c r="C10" s="26">
        <v>8.4400000000000003E-2</v>
      </c>
      <c r="D10" s="26">
        <v>5.4000000000000003E-3</v>
      </c>
      <c r="E10" s="26">
        <v>-3.56E-2</v>
      </c>
      <c r="F10" s="27">
        <v>1.29E-2</v>
      </c>
      <c r="H10" s="9" t="s">
        <v>7</v>
      </c>
      <c r="I10" s="162">
        <v>168567.0616269935</v>
      </c>
      <c r="J10" s="160">
        <v>165701.7219742031</v>
      </c>
      <c r="K10" s="223">
        <f t="shared" si="0"/>
        <v>334268.7836011966</v>
      </c>
      <c r="N10" s="28">
        <v>3</v>
      </c>
      <c r="O10" s="230">
        <v>74307.628483550521</v>
      </c>
      <c r="P10" s="23"/>
      <c r="Q10" s="28">
        <v>38</v>
      </c>
      <c r="R10" s="230">
        <v>53808.053330200542</v>
      </c>
      <c r="S10" s="23"/>
      <c r="T10" s="28">
        <v>73</v>
      </c>
      <c r="U10" s="230">
        <v>11798.666915427106</v>
      </c>
      <c r="V10" s="23"/>
      <c r="X10" s="143">
        <v>68248.649491703691</v>
      </c>
      <c r="Y10" s="143">
        <v>74307.628483550521</v>
      </c>
      <c r="Z10">
        <f t="shared" si="1"/>
        <v>36711226.423641235</v>
      </c>
    </row>
    <row r="11" spans="1:26" x14ac:dyDescent="0.3">
      <c r="A11" s="24" t="s">
        <v>35</v>
      </c>
      <c r="B11" s="29">
        <v>8.1900000000000001E-2</v>
      </c>
      <c r="C11" s="30">
        <v>0.15079999999999999</v>
      </c>
      <c r="D11" s="30">
        <v>-1.5800000000000002E-2</v>
      </c>
      <c r="E11" s="30">
        <v>-2.8400000000000002E-2</v>
      </c>
      <c r="F11" s="31">
        <v>1.15E-2</v>
      </c>
      <c r="H11" s="9" t="s">
        <v>8</v>
      </c>
      <c r="I11" s="162">
        <v>155502.66865950701</v>
      </c>
      <c r="J11" s="160">
        <v>159116.8266314076</v>
      </c>
      <c r="K11" s="223">
        <f t="shared" si="0"/>
        <v>314619.49529091461</v>
      </c>
      <c r="N11" s="28">
        <v>4</v>
      </c>
      <c r="O11" s="230">
        <v>72991.312402186915</v>
      </c>
      <c r="P11" s="23"/>
      <c r="Q11" s="22">
        <v>39</v>
      </c>
      <c r="R11" s="230">
        <v>53557.518333073836</v>
      </c>
      <c r="S11" s="23"/>
      <c r="T11" s="28">
        <v>74</v>
      </c>
      <c r="U11" s="230">
        <v>11018.458469267382</v>
      </c>
      <c r="V11" s="23"/>
      <c r="X11" s="143">
        <v>67186.7652396911</v>
      </c>
      <c r="Y11" s="143">
        <v>72991.312402186915</v>
      </c>
      <c r="Z11">
        <f t="shared" si="1"/>
        <v>33692767.761638224</v>
      </c>
    </row>
    <row r="12" spans="1:26" x14ac:dyDescent="0.3">
      <c r="A12" s="24"/>
      <c r="B12" s="198" t="s">
        <v>36</v>
      </c>
      <c r="C12" s="198"/>
      <c r="D12" s="198"/>
      <c r="E12" s="198"/>
      <c r="F12" s="198"/>
      <c r="H12" s="9" t="s">
        <v>9</v>
      </c>
      <c r="I12" s="162">
        <v>139274.8984355228</v>
      </c>
      <c r="J12" s="160">
        <v>146019.98976789092</v>
      </c>
      <c r="K12" s="223">
        <f t="shared" si="0"/>
        <v>285294.88820341369</v>
      </c>
      <c r="N12" s="28">
        <v>5</v>
      </c>
      <c r="O12" s="229">
        <f t="array" ref="O12:O16">MMULT($B$13:$F$17,K7:K11)</f>
        <v>71881.562251162133</v>
      </c>
      <c r="P12" s="23">
        <f>SUM(O12:O16)</f>
        <v>353119.89712326258</v>
      </c>
      <c r="Q12" s="28">
        <v>40</v>
      </c>
      <c r="R12" s="229">
        <f t="array" ref="R12:R16">MMULT($B$19:$F$23,$K$13:$K$17)</f>
        <v>53255.980717944323</v>
      </c>
      <c r="S12" s="23">
        <f>SUM(R12:R16)</f>
        <v>260698.94334883132</v>
      </c>
      <c r="T12" s="28">
        <v>75</v>
      </c>
      <c r="U12" s="230">
        <f t="array" ref="U12:U16">MMULT(B19:F23,K20:K24)</f>
        <v>10266.734428942826</v>
      </c>
      <c r="V12" s="23">
        <f>SUM(U12:U16)</f>
        <v>44202.095845377575</v>
      </c>
      <c r="X12" s="143">
        <v>68848.160789219808</v>
      </c>
      <c r="Y12" s="143">
        <v>71881.562251162133</v>
      </c>
      <c r="Z12">
        <f t="shared" si="1"/>
        <v>9201524.4293138348</v>
      </c>
    </row>
    <row r="13" spans="1:26" x14ac:dyDescent="0.3">
      <c r="A13" s="24" t="s">
        <v>37</v>
      </c>
      <c r="B13" s="33">
        <v>4.0399999999999998E-2</v>
      </c>
      <c r="C13" s="34">
        <v>0.2</v>
      </c>
      <c r="D13" s="34">
        <v>-3.44E-2</v>
      </c>
      <c r="E13" s="34">
        <v>-1.2800000000000001E-2</v>
      </c>
      <c r="F13" s="35">
        <v>6.7999999999999996E-3</v>
      </c>
      <c r="H13" s="9" t="s">
        <v>10</v>
      </c>
      <c r="I13" s="162">
        <v>131175.15081091871</v>
      </c>
      <c r="J13" s="160">
        <v>140496.06552070621</v>
      </c>
      <c r="K13" s="223">
        <f t="shared" si="0"/>
        <v>271671.21633162489</v>
      </c>
      <c r="N13" s="28">
        <v>6</v>
      </c>
      <c r="O13" s="230">
        <v>71004.64582652894</v>
      </c>
      <c r="P13" s="23"/>
      <c r="Q13" s="22">
        <v>41</v>
      </c>
      <c r="R13" s="230">
        <v>52877.652053522099</v>
      </c>
      <c r="S13" s="23"/>
      <c r="T13" s="28">
        <v>76</v>
      </c>
      <c r="U13" s="230">
        <v>9545.6593599332518</v>
      </c>
      <c r="V13" s="23"/>
      <c r="X13" s="143">
        <v>71124.909842663008</v>
      </c>
      <c r="Y13" s="143">
        <v>71004.64582652894</v>
      </c>
      <c r="Z13">
        <f t="shared" si="1"/>
        <v>14463.433576695317</v>
      </c>
    </row>
    <row r="14" spans="1:26" x14ac:dyDescent="0.3">
      <c r="A14" s="24" t="s">
        <v>38</v>
      </c>
      <c r="B14" s="37">
        <v>9.2999999999999992E-3</v>
      </c>
      <c r="C14" s="38">
        <v>0.2268</v>
      </c>
      <c r="D14" s="38">
        <v>-4.02E-2</v>
      </c>
      <c r="E14" s="38">
        <v>2.8E-3</v>
      </c>
      <c r="F14" s="39">
        <v>1.2999999999999999E-3</v>
      </c>
      <c r="H14" s="9" t="s">
        <v>11</v>
      </c>
      <c r="I14" s="162">
        <v>129698.77172659361</v>
      </c>
      <c r="J14" s="160">
        <v>139673.27720826142</v>
      </c>
      <c r="K14" s="223">
        <f t="shared" si="0"/>
        <v>269372.04893485503</v>
      </c>
      <c r="N14" s="28">
        <v>7</v>
      </c>
      <c r="O14" s="230">
        <v>70378.321368189878</v>
      </c>
      <c r="P14" s="23"/>
      <c r="Q14" s="28">
        <v>42</v>
      </c>
      <c r="R14" s="230">
        <v>52332.010460710306</v>
      </c>
      <c r="S14" s="23"/>
      <c r="T14" s="28">
        <v>77</v>
      </c>
      <c r="U14" s="230">
        <v>8833.8337080592009</v>
      </c>
      <c r="V14" s="23"/>
      <c r="X14" s="143">
        <v>70926.185288114706</v>
      </c>
      <c r="Y14" s="143">
        <v>70378.321368189878</v>
      </c>
      <c r="Z14">
        <f t="shared" si="1"/>
        <v>300154.8747553986</v>
      </c>
    </row>
    <row r="15" spans="1:26" ht="14.4" customHeight="1" x14ac:dyDescent="0.3">
      <c r="A15" s="24" t="s">
        <v>39</v>
      </c>
      <c r="B15" s="37">
        <v>-1.0800000000000001E-2</v>
      </c>
      <c r="C15" s="38">
        <v>0.22720000000000001</v>
      </c>
      <c r="D15" s="38">
        <v>-2.4799999999999999E-2</v>
      </c>
      <c r="E15" s="38">
        <v>1.12E-2</v>
      </c>
      <c r="F15" s="39">
        <v>-2.8E-3</v>
      </c>
      <c r="H15" s="9" t="s">
        <v>12</v>
      </c>
      <c r="I15" s="162">
        <v>125660.1735106441</v>
      </c>
      <c r="J15" s="160">
        <v>135038.7698381872</v>
      </c>
      <c r="K15" s="223">
        <f t="shared" si="0"/>
        <v>260698.94334883132</v>
      </c>
      <c r="N15" s="28">
        <v>8</v>
      </c>
      <c r="O15" s="230">
        <v>70006.164522463689</v>
      </c>
      <c r="P15" s="23"/>
      <c r="Q15" s="22">
        <v>43</v>
      </c>
      <c r="R15" s="230">
        <v>51583.02309518266</v>
      </c>
      <c r="S15" s="23"/>
      <c r="T15" s="28">
        <v>78</v>
      </c>
      <c r="U15" s="230">
        <v>8126.5056007245448</v>
      </c>
      <c r="V15" s="138"/>
      <c r="W15" s="138"/>
      <c r="X15" s="149">
        <v>71192.091027535207</v>
      </c>
      <c r="Y15" s="149">
        <v>70006.164522463689</v>
      </c>
      <c r="Z15">
        <f t="shared" si="1"/>
        <v>1406421.6754311463</v>
      </c>
    </row>
    <row r="16" spans="1:26" x14ac:dyDescent="0.3">
      <c r="A16" s="24" t="s">
        <v>40</v>
      </c>
      <c r="B16" s="37">
        <v>-1.9800000000000002E-2</v>
      </c>
      <c r="C16" s="38">
        <v>0.19919999999999999</v>
      </c>
      <c r="D16" s="38">
        <v>1.72E-2</v>
      </c>
      <c r="E16" s="38">
        <v>7.1999999999999998E-3</v>
      </c>
      <c r="F16" s="39">
        <v>-3.8E-3</v>
      </c>
      <c r="H16" s="9" t="s">
        <v>13</v>
      </c>
      <c r="I16" s="162">
        <v>113608.69635259471</v>
      </c>
      <c r="J16" s="160">
        <v>121341.90614958591</v>
      </c>
      <c r="K16" s="223">
        <f t="shared" si="0"/>
        <v>234950.60250218061</v>
      </c>
      <c r="N16" s="28">
        <v>9</v>
      </c>
      <c r="O16" s="230">
        <v>69849.203154917937</v>
      </c>
      <c r="P16" s="23"/>
      <c r="Q16" s="28">
        <v>44</v>
      </c>
      <c r="R16" s="230">
        <v>50650.277021471928</v>
      </c>
      <c r="S16" s="23"/>
      <c r="T16" s="28">
        <v>79</v>
      </c>
      <c r="U16" s="230">
        <v>7429.3627477177524</v>
      </c>
      <c r="V16" s="138"/>
      <c r="W16" s="138"/>
      <c r="X16" s="149">
        <v>71028.550175729906</v>
      </c>
      <c r="Y16" s="149">
        <v>69849.203154917937</v>
      </c>
      <c r="Z16">
        <f t="shared" si="1"/>
        <v>1390859.3954980664</v>
      </c>
    </row>
    <row r="17" spans="1:26" x14ac:dyDescent="0.3">
      <c r="A17" s="24" t="s">
        <v>41</v>
      </c>
      <c r="B17" s="40">
        <v>-1.9099999999999999E-2</v>
      </c>
      <c r="C17" s="41">
        <v>0.14680000000000001</v>
      </c>
      <c r="D17" s="41">
        <v>8.2199999999999995E-2</v>
      </c>
      <c r="E17" s="41">
        <v>-8.3999999999999995E-3</v>
      </c>
      <c r="F17" s="42">
        <v>-1.5E-3</v>
      </c>
      <c r="H17" s="9" t="s">
        <v>14</v>
      </c>
      <c r="I17" s="162">
        <v>92904.620099017295</v>
      </c>
      <c r="J17" s="160">
        <v>99645.090996316896</v>
      </c>
      <c r="K17" s="223">
        <f t="shared" si="0"/>
        <v>192549.71109533421</v>
      </c>
      <c r="N17" s="28">
        <v>10</v>
      </c>
      <c r="O17" s="229">
        <f t="array" ref="O17:O21">MMULT($B$19:$F$23,$K$7:$K$11)</f>
        <v>69823.080831652172</v>
      </c>
      <c r="P17" s="23">
        <f>SUM(O17:O21)</f>
        <v>347256.23579573492</v>
      </c>
      <c r="Q17" s="22">
        <v>45</v>
      </c>
      <c r="R17" s="229">
        <f t="array" ref="R17:R21">MMULT($B$19:$F$23,$K$14:$K$18)</f>
        <v>49634.440479410019</v>
      </c>
      <c r="S17" s="23">
        <f>SUM(R17:R21)</f>
        <v>234950.60250218061</v>
      </c>
      <c r="T17" s="28">
        <v>80</v>
      </c>
      <c r="U17" s="230">
        <f t="array" ref="U17:U21">MMULT(B19:F23,K21:K25)</f>
        <v>6754.1989129524436</v>
      </c>
      <c r="V17" s="23">
        <f>SUM(U17:U21)</f>
        <v>27585.228892346877</v>
      </c>
      <c r="W17" s="138"/>
      <c r="X17" s="149">
        <v>70509.017983255399</v>
      </c>
      <c r="Y17" s="149">
        <v>69823.080831652172</v>
      </c>
      <c r="Z17">
        <f t="shared" si="1"/>
        <v>470509.77594954718</v>
      </c>
    </row>
    <row r="18" spans="1:26" x14ac:dyDescent="0.3">
      <c r="A18" s="24"/>
      <c r="B18" s="198" t="s">
        <v>42</v>
      </c>
      <c r="C18" s="198"/>
      <c r="D18" s="198"/>
      <c r="E18" s="198"/>
      <c r="F18" s="198"/>
      <c r="H18" s="9" t="s">
        <v>15</v>
      </c>
      <c r="I18" s="162">
        <v>72031.794815745496</v>
      </c>
      <c r="J18" s="160">
        <v>78733.245542376899</v>
      </c>
      <c r="K18" s="223">
        <f t="shared" si="0"/>
        <v>150765.04035812238</v>
      </c>
      <c r="N18" s="28">
        <v>11</v>
      </c>
      <c r="O18" s="230">
        <v>69803.729856731501</v>
      </c>
      <c r="P18" s="23"/>
      <c r="Q18" s="28">
        <v>46</v>
      </c>
      <c r="R18" s="230">
        <v>48524.173344526695</v>
      </c>
      <c r="S18" s="23"/>
      <c r="T18" s="28">
        <v>81</v>
      </c>
      <c r="U18" s="230">
        <v>6107.9844117197345</v>
      </c>
      <c r="V18" s="138"/>
      <c r="W18" s="138"/>
      <c r="X18" s="149">
        <v>69989.56496160329</v>
      </c>
      <c r="Y18" s="149">
        <v>69803.729856731501</v>
      </c>
      <c r="Z18">
        <f t="shared" si="1"/>
        <v>34534.686202708683</v>
      </c>
    </row>
    <row r="19" spans="1:26" x14ac:dyDescent="0.3">
      <c r="A19" s="24" t="s">
        <v>43</v>
      </c>
      <c r="B19" s="33">
        <v>-1.17E-2</v>
      </c>
      <c r="C19" s="34">
        <v>8.0399999999999999E-2</v>
      </c>
      <c r="D19" s="34">
        <v>0.157</v>
      </c>
      <c r="E19" s="34">
        <v>-2.8400000000000002E-2</v>
      </c>
      <c r="F19" s="35">
        <v>2.7000000000000001E-3</v>
      </c>
      <c r="H19" s="9" t="s">
        <v>16</v>
      </c>
      <c r="I19" s="162">
        <v>53707.839911892763</v>
      </c>
      <c r="J19" s="160">
        <v>59810.916124149197</v>
      </c>
      <c r="K19" s="223">
        <f t="shared" si="0"/>
        <v>113518.75603604196</v>
      </c>
      <c r="N19" s="28">
        <v>12</v>
      </c>
      <c r="O19" s="230">
        <v>69650.063421920495</v>
      </c>
      <c r="P19" s="23"/>
      <c r="Q19" s="22">
        <v>47</v>
      </c>
      <c r="R19" s="230">
        <v>47207.571337564688</v>
      </c>
      <c r="S19" s="23"/>
      <c r="T19" s="28">
        <v>82</v>
      </c>
      <c r="U19" s="230">
        <v>5488.264145437367</v>
      </c>
      <c r="X19" s="143">
        <v>69474.987345984206</v>
      </c>
      <c r="Y19" s="143">
        <v>69650.063421920495</v>
      </c>
      <c r="Z19">
        <f t="shared" si="1"/>
        <v>30651.632365249327</v>
      </c>
    </row>
    <row r="20" spans="1:26" x14ac:dyDescent="0.3">
      <c r="A20" s="24" t="s">
        <v>44</v>
      </c>
      <c r="B20" s="37">
        <v>-2E-3</v>
      </c>
      <c r="C20" s="38">
        <v>1.6E-2</v>
      </c>
      <c r="D20" s="38">
        <v>0.22</v>
      </c>
      <c r="E20" s="38">
        <v>-0.04</v>
      </c>
      <c r="F20" s="39">
        <v>6.0000000000000001E-3</v>
      </c>
      <c r="H20" s="9" t="s">
        <v>17</v>
      </c>
      <c r="I20" s="162">
        <v>39690.280191404396</v>
      </c>
      <c r="J20" s="160">
        <v>44881.449951228402</v>
      </c>
      <c r="K20" s="223">
        <f t="shared" si="0"/>
        <v>84571.73014263279</v>
      </c>
      <c r="N20" s="28">
        <v>13</v>
      </c>
      <c r="O20" s="230">
        <v>69269.215537168493</v>
      </c>
      <c r="P20" s="23"/>
      <c r="Q20" s="28">
        <v>48</v>
      </c>
      <c r="R20" s="230">
        <v>45656.672406944715</v>
      </c>
      <c r="S20" s="23"/>
      <c r="T20" s="28">
        <v>83</v>
      </c>
      <c r="U20" s="230">
        <v>4897.5385783355214</v>
      </c>
      <c r="X20" s="143">
        <v>68905.3678522314</v>
      </c>
      <c r="Y20" s="143">
        <v>69269.215537168493</v>
      </c>
      <c r="Z20">
        <f t="shared" si="1"/>
        <v>132385.13783408189</v>
      </c>
    </row>
    <row r="21" spans="1:26" x14ac:dyDescent="0.3">
      <c r="A21" s="24" t="s">
        <v>45</v>
      </c>
      <c r="B21" s="37">
        <v>5.0000000000000001E-3</v>
      </c>
      <c r="C21" s="38">
        <v>-2.8000000000000001E-2</v>
      </c>
      <c r="D21" s="38">
        <v>0.246</v>
      </c>
      <c r="E21" s="38">
        <v>-2.8000000000000001E-2</v>
      </c>
      <c r="F21" s="39">
        <v>5.0000000000000001E-3</v>
      </c>
      <c r="H21" s="9" t="s">
        <v>18</v>
      </c>
      <c r="I21" s="162">
        <v>29387.641458923128</v>
      </c>
      <c r="J21" s="160">
        <v>33559.45176459878</v>
      </c>
      <c r="K21" s="223">
        <f t="shared" si="0"/>
        <v>62947.093223521908</v>
      </c>
      <c r="N21" s="28">
        <v>14</v>
      </c>
      <c r="O21" s="230">
        <v>68710.146148262225</v>
      </c>
      <c r="P21" s="23"/>
      <c r="Q21" s="22">
        <v>49</v>
      </c>
      <c r="R21" s="230">
        <v>43927.744933734488</v>
      </c>
      <c r="S21" s="23"/>
      <c r="T21" s="28">
        <v>84</v>
      </c>
      <c r="U21" s="230">
        <v>4337.2428439018076</v>
      </c>
      <c r="V21" s="54"/>
      <c r="W21" s="54"/>
      <c r="X21" s="150">
        <v>68377.297652660607</v>
      </c>
      <c r="Y21" s="150">
        <v>68710.146148262225</v>
      </c>
      <c r="Z21">
        <f t="shared" si="1"/>
        <v>110788.12102426044</v>
      </c>
    </row>
    <row r="22" spans="1:26" x14ac:dyDescent="0.3">
      <c r="A22" s="24" t="s">
        <v>46</v>
      </c>
      <c r="B22" s="37">
        <v>6.0000000000000001E-3</v>
      </c>
      <c r="C22" s="38">
        <v>-0.04</v>
      </c>
      <c r="D22" s="38">
        <v>0.22</v>
      </c>
      <c r="E22" s="38">
        <v>1.6E-2</v>
      </c>
      <c r="F22" s="39">
        <v>-2E-3</v>
      </c>
      <c r="H22" s="9" t="s">
        <v>86</v>
      </c>
      <c r="I22" s="162">
        <v>20571.56704506775</v>
      </c>
      <c r="J22" s="160">
        <v>23630.528800309825</v>
      </c>
      <c r="K22" s="223">
        <f t="shared" si="0"/>
        <v>44202.095845377575</v>
      </c>
      <c r="N22" s="28">
        <v>15</v>
      </c>
      <c r="O22" s="229">
        <f t="array" ref="O22:O26">MMULT($B$19:$F$23,$K$8:$K$12)</f>
        <v>68103.200118910027</v>
      </c>
      <c r="P22" s="23">
        <f>SUM(O22:O26)</f>
        <v>334268.78360119666</v>
      </c>
      <c r="Q22" s="28">
        <v>50</v>
      </c>
      <c r="R22" s="229">
        <f t="array" ref="R22:R26">MMULT($B$19:$F$23,$K$15:$K$19)</f>
        <v>42094.928941088103</v>
      </c>
      <c r="S22" s="23">
        <f>SUM(R22:R26)</f>
        <v>192549.71109533421</v>
      </c>
      <c r="T22" s="28">
        <v>85</v>
      </c>
      <c r="U22" s="230">
        <f t="array" ref="U22:U26">MMULT(B19:F23,K22:K26)</f>
        <v>3804.7418049690823</v>
      </c>
      <c r="V22" s="23">
        <f>SUM(U22:U26)</f>
        <v>14432.899725495936</v>
      </c>
      <c r="W22" s="55"/>
      <c r="X22" s="151">
        <v>67916.584620764886</v>
      </c>
      <c r="Y22" s="151">
        <v>68103.200118910027</v>
      </c>
      <c r="Z22">
        <f t="shared" si="1"/>
        <v>34825.344147958756</v>
      </c>
    </row>
    <row r="23" spans="1:26" x14ac:dyDescent="0.3">
      <c r="A23" s="24" t="s">
        <v>47</v>
      </c>
      <c r="B23" s="40">
        <v>2.7000000000000001E-3</v>
      </c>
      <c r="C23" s="41">
        <v>-2.8400000000000002E-2</v>
      </c>
      <c r="D23" s="41">
        <v>0.157</v>
      </c>
      <c r="E23" s="41">
        <v>8.0399999999999999E-2</v>
      </c>
      <c r="F23" s="42">
        <v>-1.17E-2</v>
      </c>
      <c r="H23" s="9" t="s">
        <v>88</v>
      </c>
      <c r="I23" s="224">
        <v>12618.816683058842</v>
      </c>
      <c r="J23" s="225">
        <v>14966.412209288032</v>
      </c>
      <c r="K23" s="223">
        <f t="shared" si="0"/>
        <v>27585.228892346873</v>
      </c>
      <c r="N23" s="28">
        <v>16</v>
      </c>
      <c r="O23" s="230">
        <v>67515.981888332375</v>
      </c>
      <c r="P23" s="23"/>
      <c r="Q23" s="22">
        <v>51</v>
      </c>
      <c r="R23" s="230">
        <v>40249.259116202113</v>
      </c>
      <c r="S23" s="23"/>
      <c r="T23" s="28">
        <v>86</v>
      </c>
      <c r="U23" s="230">
        <v>3304.0208366607244</v>
      </c>
      <c r="V23" s="139"/>
      <c r="W23" s="56"/>
      <c r="X23" s="150">
        <v>67408.796301142895</v>
      </c>
      <c r="Y23" s="150">
        <v>67515.981888332375</v>
      </c>
      <c r="Z23">
        <f t="shared" si="1"/>
        <v>11488.750101153712</v>
      </c>
    </row>
    <row r="24" spans="1:26" x14ac:dyDescent="0.3">
      <c r="A24" s="24"/>
      <c r="B24" s="198" t="s">
        <v>48</v>
      </c>
      <c r="C24" s="198"/>
      <c r="D24" s="198"/>
      <c r="E24" s="198"/>
      <c r="F24" s="198"/>
      <c r="H24" s="9" t="s">
        <v>89</v>
      </c>
      <c r="I24" s="224">
        <v>6340.7571197572979</v>
      </c>
      <c r="J24" s="225">
        <v>8092.1426057386398</v>
      </c>
      <c r="K24" s="223">
        <f t="shared" si="0"/>
        <v>14432.899725495938</v>
      </c>
      <c r="N24" s="28">
        <v>17</v>
      </c>
      <c r="O24" s="230">
        <v>66889.674222101559</v>
      </c>
      <c r="P24" s="23"/>
      <c r="Q24" s="28">
        <v>52</v>
      </c>
      <c r="R24" s="230">
        <v>38438.279426288093</v>
      </c>
      <c r="S24" s="23"/>
      <c r="T24" s="28">
        <v>87</v>
      </c>
      <c r="U24" s="230">
        <v>2843.6019890732055</v>
      </c>
      <c r="V24" s="54"/>
      <c r="W24" s="56"/>
      <c r="X24" s="150">
        <v>66867.189804455295</v>
      </c>
      <c r="Y24" s="150">
        <v>66889.674222101559</v>
      </c>
      <c r="Z24">
        <f t="shared" si="1"/>
        <v>505.54903689166275</v>
      </c>
    </row>
    <row r="25" spans="1:26" x14ac:dyDescent="0.3">
      <c r="A25" s="24" t="s">
        <v>49</v>
      </c>
      <c r="B25" s="33">
        <v>-1.5E-3</v>
      </c>
      <c r="C25" s="34">
        <v>-8.3999999999999995E-3</v>
      </c>
      <c r="D25" s="34">
        <v>8.2199999999999995E-2</v>
      </c>
      <c r="E25" s="34">
        <v>0.14680000000000001</v>
      </c>
      <c r="F25" s="35">
        <v>-1.9099999999999999E-2</v>
      </c>
      <c r="H25" s="9" t="s">
        <v>115</v>
      </c>
      <c r="I25" s="224">
        <v>2442.2260886888812</v>
      </c>
      <c r="J25" s="225">
        <v>3426.2234686881311</v>
      </c>
      <c r="K25" s="223">
        <f t="shared" si="0"/>
        <v>5868.4495573770128</v>
      </c>
      <c r="N25" s="28">
        <v>18</v>
      </c>
      <c r="O25" s="230">
        <v>66230.924491421247</v>
      </c>
      <c r="P25" s="23"/>
      <c r="Q25" s="22">
        <v>53</v>
      </c>
      <c r="R25" s="230">
        <v>36712.309134637166</v>
      </c>
      <c r="S25" s="23"/>
      <c r="T25" s="28">
        <v>88</v>
      </c>
      <c r="U25" s="230">
        <v>2427.4160823188945</v>
      </c>
      <c r="V25" s="54"/>
      <c r="W25" s="56"/>
      <c r="X25" s="150">
        <v>66380.035475533397</v>
      </c>
      <c r="Y25" s="150">
        <v>66230.924491421247</v>
      </c>
      <c r="Z25">
        <f t="shared" si="1"/>
        <v>22234.085582894033</v>
      </c>
    </row>
    <row r="26" spans="1:26" x14ac:dyDescent="0.3">
      <c r="A26" s="24" t="s">
        <v>50</v>
      </c>
      <c r="B26" s="37">
        <v>-3.8E-3</v>
      </c>
      <c r="C26" s="38">
        <v>7.1999999999999998E-3</v>
      </c>
      <c r="D26" s="38">
        <v>1.72E-2</v>
      </c>
      <c r="E26" s="38">
        <v>0.19919999999999999</v>
      </c>
      <c r="F26" s="39">
        <v>-1.9800000000000002E-2</v>
      </c>
      <c r="H26" s="9" t="s">
        <v>116</v>
      </c>
      <c r="I26" s="224">
        <v>695.17299404937944</v>
      </c>
      <c r="J26" s="225">
        <v>1065.0617992678958</v>
      </c>
      <c r="K26" s="223">
        <f t="shared" si="0"/>
        <v>1760.2347933172753</v>
      </c>
      <c r="N26" s="28">
        <v>19</v>
      </c>
      <c r="O26" s="230">
        <v>65529.002880431406</v>
      </c>
      <c r="P26" s="23"/>
      <c r="Q26" s="28">
        <v>54</v>
      </c>
      <c r="R26" s="230">
        <v>35054.934477118732</v>
      </c>
      <c r="S26" s="23"/>
      <c r="T26" s="28">
        <v>89</v>
      </c>
      <c r="U26" s="230">
        <v>2053.1190124740301</v>
      </c>
      <c r="V26" s="54"/>
      <c r="W26" s="54"/>
      <c r="X26" s="150">
        <v>65696.177399300097</v>
      </c>
      <c r="Y26" s="150">
        <v>65529.002880431406</v>
      </c>
      <c r="Z26">
        <f t="shared" si="1"/>
        <v>27947.319758978301</v>
      </c>
    </row>
    <row r="27" spans="1:26" ht="15" thickBot="1" x14ac:dyDescent="0.35">
      <c r="A27" s="24" t="s">
        <v>51</v>
      </c>
      <c r="B27" s="37">
        <v>-2.8E-3</v>
      </c>
      <c r="C27" s="38">
        <v>1.12E-2</v>
      </c>
      <c r="D27" s="38">
        <v>-2.4799999999999999E-2</v>
      </c>
      <c r="E27" s="38">
        <v>0.22720000000000001</v>
      </c>
      <c r="F27" s="39">
        <v>-1.0800000000000001E-2</v>
      </c>
      <c r="H27" s="43" t="s">
        <v>126</v>
      </c>
      <c r="I27" s="226">
        <v>149.90892075636538</v>
      </c>
      <c r="J27" s="227">
        <v>252.63335452839846</v>
      </c>
      <c r="K27" s="228">
        <f t="shared" si="0"/>
        <v>402.54227528476383</v>
      </c>
      <c r="N27" s="28">
        <v>20</v>
      </c>
      <c r="O27" s="229">
        <f t="array" ref="O27:O31">MMULT($B$19:$F$23,$K$9:$K$13)</f>
        <v>64838.710462518131</v>
      </c>
      <c r="P27" s="23">
        <f>SUM(O27:O31)</f>
        <v>314619.49529091461</v>
      </c>
      <c r="Q27" s="22">
        <v>55</v>
      </c>
      <c r="R27" s="229">
        <f t="array" ref="R27:R31">MMULT($B$19:$F$23,$K$16:$K$20)</f>
        <v>33406.597058976084</v>
      </c>
      <c r="S27" s="23">
        <f>SUM(R27:R31)</f>
        <v>150765.04035812238</v>
      </c>
      <c r="T27" s="28">
        <v>90</v>
      </c>
      <c r="U27" s="230">
        <f t="array" ref="U27:U31">MMULT(B25:F29,K22:K26)</f>
        <v>1716.2332014425715</v>
      </c>
      <c r="V27" s="23">
        <f>SUM(U27:U31)</f>
        <v>5868.4495573770128</v>
      </c>
      <c r="W27" s="54"/>
      <c r="X27" s="150">
        <v>65006.712680717697</v>
      </c>
      <c r="Y27" s="150">
        <v>64838.710462518131</v>
      </c>
      <c r="Z27">
        <f t="shared" si="1"/>
        <v>28224.745319974725</v>
      </c>
    </row>
    <row r="28" spans="1:26" x14ac:dyDescent="0.3">
      <c r="A28" s="24" t="s">
        <v>52</v>
      </c>
      <c r="B28" s="37">
        <v>1.2999999999999999E-3</v>
      </c>
      <c r="C28" s="38">
        <v>2.8E-3</v>
      </c>
      <c r="D28" s="38">
        <v>-4.02E-2</v>
      </c>
      <c r="E28" s="38">
        <v>0.2268</v>
      </c>
      <c r="F28" s="39">
        <v>9.2999999999999992E-3</v>
      </c>
      <c r="N28" s="28">
        <v>21</v>
      </c>
      <c r="O28" s="230">
        <v>64088.308799882085</v>
      </c>
      <c r="P28" s="23"/>
      <c r="Q28" s="28">
        <v>56</v>
      </c>
      <c r="R28" s="230">
        <v>31745.883190722034</v>
      </c>
      <c r="S28" s="23"/>
      <c r="T28" s="28">
        <v>91</v>
      </c>
      <c r="U28" s="230">
        <v>1413.0340620128115</v>
      </c>
      <c r="V28" s="54"/>
      <c r="W28" s="54"/>
      <c r="X28" s="150">
        <v>64195.354945074796</v>
      </c>
      <c r="Y28" s="150">
        <v>64088.308799882085</v>
      </c>
      <c r="Z28">
        <f t="shared" si="1"/>
        <v>11458.877200619021</v>
      </c>
    </row>
    <row r="29" spans="1:26" ht="15" thickBot="1" x14ac:dyDescent="0.35">
      <c r="A29" s="24" t="s">
        <v>53</v>
      </c>
      <c r="B29" s="40">
        <v>6.7999999999999996E-3</v>
      </c>
      <c r="C29" s="41">
        <v>-1.2800000000000001E-2</v>
      </c>
      <c r="D29" s="41">
        <v>-3.44E-2</v>
      </c>
      <c r="E29" s="41">
        <v>0.2</v>
      </c>
      <c r="F29" s="42">
        <v>4.0399999999999998E-2</v>
      </c>
      <c r="N29" s="28">
        <v>22</v>
      </c>
      <c r="O29" s="230">
        <v>63143.250291672703</v>
      </c>
      <c r="P29" s="23"/>
      <c r="Q29" s="22">
        <v>57</v>
      </c>
      <c r="R29" s="230">
        <v>30115.894511643637</v>
      </c>
      <c r="S29" s="23"/>
      <c r="T29" s="28">
        <v>92</v>
      </c>
      <c r="U29" s="230">
        <v>1141.5539857031595</v>
      </c>
      <c r="X29" s="143">
        <v>62881.387557161404</v>
      </c>
      <c r="Y29" s="143">
        <v>63143.250291672703</v>
      </c>
      <c r="Z29">
        <f t="shared" si="1"/>
        <v>68572.091725734645</v>
      </c>
    </row>
    <row r="30" spans="1:26" ht="16.2" thickBot="1" x14ac:dyDescent="0.35">
      <c r="A30" s="24"/>
      <c r="B30" s="198" t="s">
        <v>54</v>
      </c>
      <c r="C30" s="198"/>
      <c r="D30" s="198"/>
      <c r="E30" s="198"/>
      <c r="F30" s="198"/>
      <c r="J30" s="158" t="s">
        <v>125</v>
      </c>
      <c r="K30" s="189">
        <f>AVERAGE(Z7:Z107)</f>
        <v>3406570.3903142991</v>
      </c>
      <c r="N30" s="28">
        <v>23</v>
      </c>
      <c r="O30" s="230">
        <v>61950.450813319127</v>
      </c>
      <c r="P30" s="23"/>
      <c r="Q30" s="28">
        <v>58</v>
      </c>
      <c r="R30" s="230">
        <v>28523.180686278047</v>
      </c>
      <c r="S30" s="23"/>
      <c r="T30" s="28">
        <v>93</v>
      </c>
      <c r="U30" s="230">
        <v>901.83333972358264</v>
      </c>
      <c r="X30" s="143">
        <v>61731.7230981748</v>
      </c>
      <c r="Y30" s="143">
        <v>61950.450813319127</v>
      </c>
      <c r="Z30">
        <f t="shared" si="1"/>
        <v>47841.813372257762</v>
      </c>
    </row>
    <row r="31" spans="1:26" x14ac:dyDescent="0.3">
      <c r="A31" s="24" t="s">
        <v>55</v>
      </c>
      <c r="B31" s="33">
        <v>1.15E-2</v>
      </c>
      <c r="C31" s="34">
        <v>-2.8400000000000002E-2</v>
      </c>
      <c r="D31" s="34">
        <v>-1.5800000000000002E-2</v>
      </c>
      <c r="E31" s="34">
        <v>0.15079999999999999</v>
      </c>
      <c r="F31" s="35">
        <v>8.1900000000000001E-2</v>
      </c>
      <c r="N31" s="28">
        <v>24</v>
      </c>
      <c r="O31" s="230">
        <v>60598.774923522542</v>
      </c>
      <c r="P31" s="23"/>
      <c r="Q31" s="22">
        <v>59</v>
      </c>
      <c r="R31" s="230">
        <v>26973.484910502582</v>
      </c>
      <c r="S31" s="23"/>
      <c r="T31" s="28">
        <v>94</v>
      </c>
      <c r="U31" s="233">
        <v>695.79496849488771</v>
      </c>
      <c r="X31" s="143">
        <v>60804.317009785897</v>
      </c>
      <c r="Y31" s="143">
        <v>60598.774923522542</v>
      </c>
      <c r="Z31">
        <f t="shared" si="1"/>
        <v>42247.549225492294</v>
      </c>
    </row>
    <row r="32" spans="1:26" x14ac:dyDescent="0.3">
      <c r="A32" s="24" t="s">
        <v>56</v>
      </c>
      <c r="B32" s="37">
        <v>1.29E-2</v>
      </c>
      <c r="C32" s="38">
        <v>-3.56E-2</v>
      </c>
      <c r="D32" s="38">
        <v>5.4000000000000003E-3</v>
      </c>
      <c r="E32" s="38">
        <v>8.4400000000000003E-2</v>
      </c>
      <c r="F32" s="39">
        <v>0.13289999999999999</v>
      </c>
      <c r="J32" s="197" t="s">
        <v>129</v>
      </c>
      <c r="K32" s="197"/>
      <c r="N32" s="28">
        <v>25</v>
      </c>
      <c r="O32" s="229">
        <f t="array" ref="O32:O36">MMULT($B$19:$F$23,$K$10:$K$14)</f>
        <v>59187.602089497443</v>
      </c>
      <c r="P32" s="23">
        <f>SUM(O32:O36)</f>
        <v>285294.88820341369</v>
      </c>
      <c r="Q32" s="28">
        <v>60</v>
      </c>
      <c r="R32" s="229">
        <f t="array" ref="R32:R36">MMULT($B$19:$F$23,$K$17:$K$21)</f>
        <v>25459.242338288954</v>
      </c>
      <c r="S32" s="23">
        <f>SUM(R32:R36)</f>
        <v>113518.75603604196</v>
      </c>
      <c r="T32" s="28">
        <v>95</v>
      </c>
      <c r="U32" s="233">
        <f t="array" ref="U32:U36">MMULT(B31:F35,K22:K26)</f>
        <v>525.98920884149345</v>
      </c>
      <c r="V32" s="23">
        <f>SUM(U32:U36)</f>
        <v>1760.2347933172755</v>
      </c>
      <c r="X32" s="143">
        <v>59585.727481823997</v>
      </c>
      <c r="Y32" s="143">
        <v>59187.602089497443</v>
      </c>
      <c r="Z32">
        <f t="shared" si="1"/>
        <v>158503.82801517253</v>
      </c>
    </row>
    <row r="33" spans="1:26" x14ac:dyDescent="0.3">
      <c r="A33" s="24" t="s">
        <v>57</v>
      </c>
      <c r="B33" s="37">
        <v>8.3999999999999995E-3</v>
      </c>
      <c r="C33" s="38">
        <v>-2.5600000000000001E-2</v>
      </c>
      <c r="D33" s="38">
        <v>1.84E-2</v>
      </c>
      <c r="E33" s="38">
        <v>6.4000000000000003E-3</v>
      </c>
      <c r="F33" s="39">
        <v>0.19239999999999999</v>
      </c>
      <c r="J33" s="197"/>
      <c r="K33" s="197"/>
      <c r="N33" s="28">
        <v>26</v>
      </c>
      <c r="O33" s="230">
        <v>57879.633402547384</v>
      </c>
      <c r="P33" s="23"/>
      <c r="Q33" s="22">
        <v>61</v>
      </c>
      <c r="R33" s="230">
        <v>23996.08090510434</v>
      </c>
      <c r="S33" s="23"/>
      <c r="T33" s="28">
        <v>96</v>
      </c>
      <c r="U33" s="233">
        <v>395.34289302998593</v>
      </c>
      <c r="X33" s="143">
        <v>57939.175501565405</v>
      </c>
      <c r="Y33" s="143">
        <v>57879.633402547384</v>
      </c>
      <c r="Z33">
        <f t="shared" si="1"/>
        <v>3545.2615554718127</v>
      </c>
    </row>
    <row r="34" spans="1:26" ht="15" thickBot="1" x14ac:dyDescent="0.35">
      <c r="A34" s="24" t="s">
        <v>58</v>
      </c>
      <c r="B34" s="37">
        <v>-4.4999999999999997E-3</v>
      </c>
      <c r="C34" s="38">
        <v>0.01</v>
      </c>
      <c r="D34" s="38">
        <v>1.2999999999999999E-2</v>
      </c>
      <c r="E34" s="38">
        <v>-7.8E-2</v>
      </c>
      <c r="F34" s="39">
        <v>0.25950000000000001</v>
      </c>
      <c r="N34" s="28">
        <v>27</v>
      </c>
      <c r="O34" s="230">
        <v>56784.606735288922</v>
      </c>
      <c r="P34" s="23"/>
      <c r="Q34" s="28">
        <v>62</v>
      </c>
      <c r="R34" s="230">
        <v>22613.668432439456</v>
      </c>
      <c r="S34" s="23"/>
      <c r="T34" s="28">
        <v>97</v>
      </c>
      <c r="U34" s="233">
        <v>306.90835180767351</v>
      </c>
      <c r="X34" s="143">
        <v>56597.646701481004</v>
      </c>
      <c r="Y34" s="143">
        <v>56784.606735288922</v>
      </c>
      <c r="Z34">
        <f t="shared" si="1"/>
        <v>34954.054241457874</v>
      </c>
    </row>
    <row r="35" spans="1:26" ht="15" thickBot="1" x14ac:dyDescent="0.35">
      <c r="A35" s="44" t="s">
        <v>59</v>
      </c>
      <c r="B35" s="40">
        <v>-2.8299999999999999E-2</v>
      </c>
      <c r="C35" s="41">
        <v>7.9600000000000004E-2</v>
      </c>
      <c r="D35" s="41">
        <v>-2.1000000000000001E-2</v>
      </c>
      <c r="E35" s="41">
        <v>-0.1636</v>
      </c>
      <c r="F35" s="42">
        <v>0.33329999999999999</v>
      </c>
      <c r="K35" s="221">
        <f>SQRT(K30)</f>
        <v>1845.6896787689689</v>
      </c>
      <c r="N35" s="28">
        <v>28</v>
      </c>
      <c r="O35" s="230">
        <v>55993.703658157901</v>
      </c>
      <c r="P35" s="23"/>
      <c r="Q35" s="22">
        <v>63</v>
      </c>
      <c r="R35" s="230">
        <v>21326.076476011425</v>
      </c>
      <c r="S35" s="23"/>
      <c r="T35" s="28">
        <v>98</v>
      </c>
      <c r="U35" s="233">
        <v>263.61241744114278</v>
      </c>
      <c r="X35" s="143">
        <v>55911.488295330404</v>
      </c>
      <c r="Y35" s="143">
        <v>55993.703658157901</v>
      </c>
      <c r="Z35">
        <f t="shared" si="1"/>
        <v>6759.3658848570249</v>
      </c>
    </row>
    <row r="36" spans="1:26" ht="14.4" customHeight="1" x14ac:dyDescent="0.3">
      <c r="A36" s="199" t="s">
        <v>60</v>
      </c>
      <c r="B36" s="199"/>
      <c r="C36" s="199"/>
      <c r="D36" s="199"/>
      <c r="E36" s="199"/>
      <c r="F36" s="199"/>
      <c r="N36" s="28">
        <v>29</v>
      </c>
      <c r="O36" s="230">
        <v>55449.342317922041</v>
      </c>
      <c r="P36" s="23"/>
      <c r="Q36" s="28">
        <v>64</v>
      </c>
      <c r="R36" s="230">
        <v>20123.687884197785</v>
      </c>
      <c r="S36" s="23"/>
      <c r="T36" s="28">
        <v>99</v>
      </c>
      <c r="U36" s="233">
        <v>268.38192219697987</v>
      </c>
      <c r="X36" s="143">
        <v>55260.850223212903</v>
      </c>
      <c r="Y36" s="143">
        <v>55449.342317922041</v>
      </c>
      <c r="Z36">
        <f t="shared" si="1"/>
        <v>35529.269767838552</v>
      </c>
    </row>
    <row r="37" spans="1:26" ht="15" thickBot="1" x14ac:dyDescent="0.35">
      <c r="A37" s="199"/>
      <c r="B37" s="199"/>
      <c r="C37" s="199"/>
      <c r="D37" s="199"/>
      <c r="E37" s="199"/>
      <c r="F37" s="199"/>
      <c r="N37" s="28">
        <v>30</v>
      </c>
      <c r="O37" s="229">
        <f t="array" ref="O37:O41">MMULT($B$19:$F$23,$K$11:$K$15)</f>
        <v>54962.762838007831</v>
      </c>
      <c r="P37" s="23">
        <f>SUM(O37:O41)</f>
        <v>271671.21633162489</v>
      </c>
      <c r="Q37" s="22">
        <v>65</v>
      </c>
      <c r="R37" s="229">
        <f t="array" ref="R37:R41">MMULT($B$19:$F$23,$K$18:$K$22)</f>
        <v>18972.366856735585</v>
      </c>
      <c r="S37" s="23">
        <f>SUM(R37:R41)</f>
        <v>84571.730142632776</v>
      </c>
      <c r="T37" s="32" t="s">
        <v>127</v>
      </c>
      <c r="U37" s="234">
        <v>403</v>
      </c>
      <c r="X37" s="143">
        <v>54758.407800483896</v>
      </c>
      <c r="Y37" s="143">
        <v>54962.762838007831</v>
      </c>
      <c r="Z37">
        <f t="shared" si="1"/>
        <v>41760.981361409133</v>
      </c>
    </row>
    <row r="38" spans="1:26" x14ac:dyDescent="0.3">
      <c r="A38" s="199"/>
      <c r="B38" s="199"/>
      <c r="C38" s="199"/>
      <c r="D38" s="199"/>
      <c r="E38" s="199"/>
      <c r="F38" s="199"/>
      <c r="N38" s="28">
        <v>31</v>
      </c>
      <c r="O38" s="230">
        <v>54492.458516329054</v>
      </c>
      <c r="Q38" s="28">
        <v>66</v>
      </c>
      <c r="R38" s="230">
        <v>17867.879493371031</v>
      </c>
      <c r="T38" s="152"/>
      <c r="X38" s="143">
        <v>54470.423663083602</v>
      </c>
      <c r="Y38" s="143">
        <v>54492.458516329054</v>
      </c>
      <c r="Z38">
        <f t="shared" si="1"/>
        <v>485.53475754859829</v>
      </c>
    </row>
    <row r="39" spans="1:26" x14ac:dyDescent="0.3">
      <c r="A39" s="199"/>
      <c r="B39" s="199"/>
      <c r="C39" s="199"/>
      <c r="D39" s="199"/>
      <c r="E39" s="199"/>
      <c r="F39" s="199"/>
      <c r="N39" s="28">
        <v>32</v>
      </c>
      <c r="O39" s="230">
        <v>54177.037170906922</v>
      </c>
      <c r="Q39" s="22">
        <v>67</v>
      </c>
      <c r="R39" s="230">
        <v>16838.437516837377</v>
      </c>
      <c r="X39" s="143">
        <v>54228.878470968601</v>
      </c>
      <c r="Y39" s="143">
        <v>54177.037170906922</v>
      </c>
      <c r="Z39">
        <f t="shared" si="1"/>
        <v>2687.5203920849708</v>
      </c>
    </row>
    <row r="40" spans="1:26" x14ac:dyDescent="0.3">
      <c r="N40" s="28">
        <v>33</v>
      </c>
      <c r="O40" s="230">
        <v>54032.143932826439</v>
      </c>
      <c r="Q40" s="28">
        <v>68</v>
      </c>
      <c r="R40" s="230">
        <v>15888.369931971865</v>
      </c>
      <c r="X40" s="143">
        <v>54115.653820202402</v>
      </c>
      <c r="Y40" s="143">
        <v>54032.143932826439</v>
      </c>
      <c r="Z40">
        <f t="shared" si="1"/>
        <v>6973.9012895460983</v>
      </c>
    </row>
    <row r="41" spans="1:26" ht="15" thickBot="1" x14ac:dyDescent="0.35">
      <c r="N41" s="32">
        <v>34</v>
      </c>
      <c r="O41" s="230">
        <v>54006.813873554653</v>
      </c>
      <c r="Q41" s="45">
        <v>69</v>
      </c>
      <c r="R41" s="231">
        <v>15004.676343716932</v>
      </c>
      <c r="X41" s="143">
        <v>54097.852576886398</v>
      </c>
      <c r="Y41" s="143">
        <v>54006.813873554653</v>
      </c>
      <c r="Z41">
        <f t="shared" si="1"/>
        <v>8288.0455043255934</v>
      </c>
    </row>
    <row r="42" spans="1:26" x14ac:dyDescent="0.3">
      <c r="X42" s="143">
        <v>54112.213915642104</v>
      </c>
      <c r="Y42" s="143">
        <v>54026.343919504012</v>
      </c>
      <c r="Z42">
        <f t="shared" si="1"/>
        <v>7373.6562367558772</v>
      </c>
    </row>
    <row r="43" spans="1:26" x14ac:dyDescent="0.3">
      <c r="X43" s="143">
        <v>54099.478932199403</v>
      </c>
      <c r="Y43" s="143">
        <v>54019.74633162711</v>
      </c>
      <c r="Z43">
        <f t="shared" si="1"/>
        <v>6357.2875940208896</v>
      </c>
    </row>
    <row r="44" spans="1:26" x14ac:dyDescent="0.3">
      <c r="X44" s="143">
        <v>53982.243046951597</v>
      </c>
      <c r="Y44" s="143">
        <v>53960.387020449532</v>
      </c>
      <c r="Z44">
        <f t="shared" si="1"/>
        <v>477.68589445893252</v>
      </c>
    </row>
    <row r="45" spans="1:26" x14ac:dyDescent="0.3">
      <c r="X45" s="143">
        <v>53741.865456965694</v>
      </c>
      <c r="Y45" s="143">
        <v>53808.053330200542</v>
      </c>
      <c r="Z45">
        <f t="shared" si="1"/>
        <v>4380.8345633523968</v>
      </c>
    </row>
    <row r="46" spans="1:26" x14ac:dyDescent="0.3">
      <c r="X46" s="143">
        <v>53436.247583096207</v>
      </c>
      <c r="Y46" s="143">
        <v>53557.518333073836</v>
      </c>
      <c r="Z46">
        <f t="shared" si="1"/>
        <v>14706.594800136785</v>
      </c>
    </row>
    <row r="47" spans="1:26" x14ac:dyDescent="0.3">
      <c r="X47" s="143">
        <v>53101.8661622293</v>
      </c>
      <c r="Y47" s="143">
        <v>53255.980717944323</v>
      </c>
      <c r="Z47">
        <f t="shared" si="1"/>
        <v>23751.296283238935</v>
      </c>
    </row>
    <row r="48" spans="1:26" x14ac:dyDescent="0.3">
      <c r="X48" s="143">
        <v>52730.099300122194</v>
      </c>
      <c r="Y48" s="143">
        <v>52877.652053522099</v>
      </c>
      <c r="Z48">
        <f t="shared" si="1"/>
        <v>21771.815035893105</v>
      </c>
    </row>
    <row r="49" spans="24:26" x14ac:dyDescent="0.3">
      <c r="X49" s="143">
        <v>52290.699178016301</v>
      </c>
      <c r="Y49" s="143">
        <v>52332.010460710306</v>
      </c>
      <c r="Z49">
        <f t="shared" si="1"/>
        <v>1706.6220778240017</v>
      </c>
    </row>
    <row r="50" spans="24:26" x14ac:dyDescent="0.3">
      <c r="X50" s="143">
        <v>51696.596195635895</v>
      </c>
      <c r="Y50" s="143">
        <v>51583.02309518266</v>
      </c>
      <c r="Z50">
        <f t="shared" si="1"/>
        <v>12898.849146560695</v>
      </c>
    </row>
    <row r="51" spans="24:26" x14ac:dyDescent="0.3">
      <c r="X51" s="143">
        <v>50879.682512827596</v>
      </c>
      <c r="Y51" s="143">
        <v>50650.277021471928</v>
      </c>
      <c r="Z51">
        <f t="shared" si="1"/>
        <v>52626.879464135622</v>
      </c>
    </row>
    <row r="52" spans="24:26" x14ac:dyDescent="0.3">
      <c r="X52" s="143">
        <v>49840.935615743205</v>
      </c>
      <c r="Y52" s="143">
        <v>49634.440479410019</v>
      </c>
      <c r="Z52">
        <f t="shared" si="1"/>
        <v>42640.241329260927</v>
      </c>
    </row>
    <row r="53" spans="24:26" x14ac:dyDescent="0.3">
      <c r="X53" s="143">
        <v>48586.236909933607</v>
      </c>
      <c r="Y53" s="143">
        <v>48524.173344526695</v>
      </c>
      <c r="Z53">
        <f t="shared" si="1"/>
        <v>3851.8861510180373</v>
      </c>
    </row>
    <row r="54" spans="24:26" x14ac:dyDescent="0.3">
      <c r="X54" s="143">
        <v>47137.290765733094</v>
      </c>
      <c r="Y54" s="143">
        <v>47207.571337564688</v>
      </c>
      <c r="Z54">
        <f t="shared" si="1"/>
        <v>4939.3587769758424</v>
      </c>
    </row>
    <row r="55" spans="24:26" x14ac:dyDescent="0.3">
      <c r="X55" s="143">
        <v>45542.650220311101</v>
      </c>
      <c r="Y55" s="143">
        <v>45656.672406944715</v>
      </c>
      <c r="Z55">
        <f t="shared" si="1"/>
        <v>13001.059044710744</v>
      </c>
    </row>
    <row r="56" spans="24:26" x14ac:dyDescent="0.3">
      <c r="X56" s="143">
        <v>43843.488990459598</v>
      </c>
      <c r="Y56" s="143">
        <v>43927.744933734488</v>
      </c>
      <c r="Z56">
        <f t="shared" si="1"/>
        <v>7099.0639771413862</v>
      </c>
    </row>
    <row r="57" spans="24:26" x14ac:dyDescent="0.3">
      <c r="X57" s="143">
        <v>42072.883595022504</v>
      </c>
      <c r="Y57" s="143">
        <v>42094.928941088103</v>
      </c>
      <c r="Z57">
        <f t="shared" si="1"/>
        <v>485.99728315202157</v>
      </c>
    </row>
    <row r="58" spans="24:26" x14ac:dyDescent="0.3">
      <c r="X58" s="143">
        <v>40268.2180458148</v>
      </c>
      <c r="Y58" s="143">
        <v>40249.259116202113</v>
      </c>
      <c r="Z58">
        <f t="shared" si="1"/>
        <v>359.44101205881685</v>
      </c>
    </row>
    <row r="59" spans="24:26" x14ac:dyDescent="0.3">
      <c r="X59" s="143">
        <v>38472.384923773294</v>
      </c>
      <c r="Y59" s="143">
        <v>38438.279426288093</v>
      </c>
      <c r="Z59">
        <f t="shared" si="1"/>
        <v>1163.184958713075</v>
      </c>
    </row>
    <row r="60" spans="24:26" x14ac:dyDescent="0.3">
      <c r="X60" s="143">
        <v>36718.591954948497</v>
      </c>
      <c r="Y60" s="143">
        <v>36712.309134637166</v>
      </c>
      <c r="Z60">
        <f t="shared" si="1"/>
        <v>39.473831064477217</v>
      </c>
    </row>
    <row r="61" spans="24:26" x14ac:dyDescent="0.3">
      <c r="X61" s="143">
        <v>35017.632575775104</v>
      </c>
      <c r="Y61" s="143">
        <v>35054.934477118732</v>
      </c>
      <c r="Z61">
        <f t="shared" si="1"/>
        <v>1391.4318438497439</v>
      </c>
    </row>
    <row r="62" spans="24:26" x14ac:dyDescent="0.3">
      <c r="X62" s="143">
        <v>33361.051436207097</v>
      </c>
      <c r="Y62" s="143">
        <v>33406.597058976084</v>
      </c>
      <c r="Z62">
        <f t="shared" si="1"/>
        <v>2074.4037534148219</v>
      </c>
    </row>
    <row r="63" spans="24:26" x14ac:dyDescent="0.3">
      <c r="X63" s="143">
        <v>31735.325947385201</v>
      </c>
      <c r="Y63" s="143">
        <v>31745.883190722034</v>
      </c>
      <c r="Z63">
        <f t="shared" si="1"/>
        <v>111.4553868730936</v>
      </c>
    </row>
    <row r="64" spans="24:26" x14ac:dyDescent="0.3">
      <c r="X64" s="143">
        <v>30132.2421018938</v>
      </c>
      <c r="Y64" s="143">
        <v>30115.894511643637</v>
      </c>
      <c r="Z64">
        <f t="shared" si="1"/>
        <v>267.24370698723072</v>
      </c>
    </row>
    <row r="65" spans="24:26" x14ac:dyDescent="0.3">
      <c r="X65" s="143">
        <v>28547.8060319299</v>
      </c>
      <c r="Y65" s="143">
        <v>28523.180686278047</v>
      </c>
      <c r="Z65">
        <f t="shared" si="1"/>
        <v>606.40764847325624</v>
      </c>
    </row>
    <row r="66" spans="24:26" x14ac:dyDescent="0.3">
      <c r="X66" s="143">
        <v>26988.614840706399</v>
      </c>
      <c r="Y66" s="143">
        <v>26973.484910502582</v>
      </c>
      <c r="Z66">
        <f t="shared" si="1"/>
        <v>228.91478797237124</v>
      </c>
    </row>
    <row r="67" spans="24:26" x14ac:dyDescent="0.3">
      <c r="X67" s="143">
        <v>25474.730376794199</v>
      </c>
      <c r="Y67" s="143">
        <v>25459.242338288954</v>
      </c>
      <c r="Z67">
        <f t="shared" si="1"/>
        <v>239.87933673997162</v>
      </c>
    </row>
    <row r="68" spans="24:26" x14ac:dyDescent="0.3">
      <c r="X68" s="143">
        <v>24021.863593537098</v>
      </c>
      <c r="Y68" s="143">
        <v>23996.08090510434</v>
      </c>
      <c r="Z68">
        <f t="shared" si="1"/>
        <v>664.74702282071098</v>
      </c>
    </row>
    <row r="69" spans="24:26" x14ac:dyDescent="0.3">
      <c r="X69" s="143">
        <v>22633.318555455699</v>
      </c>
      <c r="Y69" s="143">
        <v>22613.668432439456</v>
      </c>
      <c r="Z69">
        <f t="shared" si="1"/>
        <v>386.12733455348348</v>
      </c>
    </row>
    <row r="70" spans="24:26" x14ac:dyDescent="0.3">
      <c r="X70" s="143">
        <v>21314.194854663401</v>
      </c>
      <c r="Y70" s="143">
        <v>21326.076476011425</v>
      </c>
      <c r="Z70">
        <f t="shared" si="1"/>
        <v>141.17292585782096</v>
      </c>
    </row>
    <row r="71" spans="24:26" x14ac:dyDescent="0.3">
      <c r="X71" s="143">
        <v>20074.648655591562</v>
      </c>
      <c r="Y71" s="143">
        <v>20123.687884197785</v>
      </c>
      <c r="Z71">
        <f t="shared" si="1"/>
        <v>2404.8459422934329</v>
      </c>
    </row>
    <row r="72" spans="24:26" x14ac:dyDescent="0.3">
      <c r="X72" s="143">
        <v>18917.749423411908</v>
      </c>
      <c r="Y72" s="143">
        <v>18972.366856735585</v>
      </c>
      <c r="Z72">
        <f t="shared" ref="Z72:Z107" si="2">(X72-Y72)^2</f>
        <v>2983.0640228663779</v>
      </c>
    </row>
    <row r="73" spans="24:26" x14ac:dyDescent="0.3">
      <c r="X73" s="143">
        <v>17841.18306297862</v>
      </c>
      <c r="Y73" s="143">
        <v>17867.879493371031</v>
      </c>
      <c r="Z73">
        <f t="shared" si="2"/>
        <v>712.69939569682163</v>
      </c>
    </row>
    <row r="74" spans="24:26" x14ac:dyDescent="0.3">
      <c r="X74" s="143">
        <v>16843.665838999979</v>
      </c>
      <c r="Y74" s="143">
        <v>16838.437516837377</v>
      </c>
      <c r="Z74">
        <f t="shared" si="2"/>
        <v>27.335352635956571</v>
      </c>
    </row>
    <row r="75" spans="24:26" x14ac:dyDescent="0.3">
      <c r="X75" s="143">
        <v>15923.10667599404</v>
      </c>
      <c r="Y75" s="143">
        <v>15888.369931971865</v>
      </c>
      <c r="Z75">
        <f t="shared" si="2"/>
        <v>1206.6413852621188</v>
      </c>
    </row>
    <row r="76" spans="24:26" x14ac:dyDescent="0.3">
      <c r="X76" s="143">
        <v>15046.02514124825</v>
      </c>
      <c r="Y76" s="143">
        <v>15004.676343716932</v>
      </c>
      <c r="Z76">
        <f t="shared" si="2"/>
        <v>1709.7230572859517</v>
      </c>
    </row>
    <row r="77" spans="24:26" x14ac:dyDescent="0.3">
      <c r="X77" s="143">
        <v>14188.01333045719</v>
      </c>
      <c r="Y77" s="143">
        <v>14173.231889939538</v>
      </c>
      <c r="Z77">
        <f t="shared" si="2"/>
        <v>218.49098377689307</v>
      </c>
    </row>
    <row r="78" spans="24:26" x14ac:dyDescent="0.3">
      <c r="X78" s="143">
        <v>13366.32577400055</v>
      </c>
      <c r="Y78" s="143">
        <v>13371.89821892384</v>
      </c>
      <c r="Z78">
        <f t="shared" si="2"/>
        <v>31.052142423093446</v>
      </c>
    </row>
    <row r="79" spans="24:26" x14ac:dyDescent="0.3">
      <c r="X79" s="143">
        <v>12572.33267935603</v>
      </c>
      <c r="Y79" s="143">
        <v>12584.837729964043</v>
      </c>
      <c r="Z79">
        <f t="shared" si="2"/>
        <v>156.37629070897466</v>
      </c>
    </row>
    <row r="80" spans="24:26" x14ac:dyDescent="0.3">
      <c r="X80" s="143">
        <v>11791.45793979679</v>
      </c>
      <c r="Y80" s="143">
        <v>11798.666915427106</v>
      </c>
      <c r="Z80">
        <f t="shared" si="2"/>
        <v>51.969329638486549</v>
      </c>
    </row>
    <row r="81" spans="24:26" x14ac:dyDescent="0.3">
      <c r="X81" s="143">
        <v>11028.96349991135</v>
      </c>
      <c r="Y81" s="143">
        <v>11018.458469267382</v>
      </c>
      <c r="Z81">
        <f t="shared" si="2"/>
        <v>110.35566883070641</v>
      </c>
    </row>
    <row r="82" spans="24:26" x14ac:dyDescent="0.3">
      <c r="X82" s="143">
        <v>10283.818115153001</v>
      </c>
      <c r="Y82" s="143">
        <v>10266.734428942826</v>
      </c>
      <c r="Z82">
        <f t="shared" si="2"/>
        <v>291.85233452772599</v>
      </c>
    </row>
    <row r="83" spans="24:26" x14ac:dyDescent="0.3">
      <c r="X83" s="143">
        <v>9550.993970449661</v>
      </c>
      <c r="Y83" s="143">
        <v>9545.6593599332518</v>
      </c>
      <c r="Z83">
        <f t="shared" si="2"/>
        <v>28.458069361783171</v>
      </c>
    </row>
    <row r="84" spans="24:26" x14ac:dyDescent="0.3">
      <c r="X84" s="143">
        <v>8828.2792665515699</v>
      </c>
      <c r="Y84" s="143">
        <v>8833.8337080592009</v>
      </c>
      <c r="Z84">
        <f t="shared" si="2"/>
        <v>30.851820461694739</v>
      </c>
    </row>
    <row r="85" spans="24:26" x14ac:dyDescent="0.3">
      <c r="X85" s="143">
        <v>8116.9941278937704</v>
      </c>
      <c r="Y85" s="143">
        <v>8126.5056007245448</v>
      </c>
      <c r="Z85">
        <f t="shared" si="2"/>
        <v>90.468115410560287</v>
      </c>
    </row>
    <row r="86" spans="24:26" x14ac:dyDescent="0.3">
      <c r="X86" s="143">
        <v>7422.01036532957</v>
      </c>
      <c r="Y86" s="143">
        <v>7429.3627477177524</v>
      </c>
      <c r="Z86">
        <f t="shared" si="2"/>
        <v>54.057526782054396</v>
      </c>
    </row>
    <row r="87" spans="24:26" x14ac:dyDescent="0.3">
      <c r="X87" s="143">
        <v>6749.3941054363695</v>
      </c>
      <c r="Y87" s="143">
        <v>6754.1989129524436</v>
      </c>
      <c r="Z87">
        <f t="shared" si="2"/>
        <v>23.086175266522226</v>
      </c>
    </row>
    <row r="88" spans="24:26" x14ac:dyDescent="0.3">
      <c r="X88" s="143">
        <v>6103.5171008329298</v>
      </c>
      <c r="Y88" s="143">
        <v>6107.9844117197345</v>
      </c>
      <c r="Z88">
        <f t="shared" si="2"/>
        <v>19.956866559363132</v>
      </c>
    </row>
    <row r="89" spans="24:26" x14ac:dyDescent="0.3">
      <c r="X89" s="143">
        <v>5488.1392319513106</v>
      </c>
      <c r="Y89" s="143">
        <v>5488.264145437367</v>
      </c>
      <c r="Z89">
        <f t="shared" si="2"/>
        <v>1.5603378998751749E-2</v>
      </c>
    </row>
    <row r="90" spans="24:26" x14ac:dyDescent="0.3">
      <c r="X90" s="143">
        <v>4900.8475530578198</v>
      </c>
      <c r="Y90" s="143">
        <v>4897.5385783355214</v>
      </c>
      <c r="Z90">
        <f t="shared" si="2"/>
        <v>10.949313712810067</v>
      </c>
    </row>
    <row r="91" spans="24:26" x14ac:dyDescent="0.3">
      <c r="X91" s="143">
        <v>4343.3309010684407</v>
      </c>
      <c r="Y91" s="143">
        <v>4337.2428439018076</v>
      </c>
      <c r="Z91">
        <f t="shared" si="2"/>
        <v>37.064440064191515</v>
      </c>
    </row>
    <row r="92" spans="24:26" x14ac:dyDescent="0.3">
      <c r="X92" s="143">
        <v>3812.0781500302</v>
      </c>
      <c r="Y92" s="143">
        <v>3804.7418049690823</v>
      </c>
      <c r="Z92">
        <f t="shared" si="2"/>
        <v>53.82195885578686</v>
      </c>
    </row>
    <row r="93" spans="24:26" x14ac:dyDescent="0.3">
      <c r="X93" s="143">
        <v>3312.3572792714699</v>
      </c>
      <c r="Y93" s="143">
        <v>3304.0208366607244</v>
      </c>
      <c r="Z93">
        <f t="shared" si="2"/>
        <v>69.496275402253374</v>
      </c>
    </row>
    <row r="94" spans="24:26" x14ac:dyDescent="0.3">
      <c r="X94" s="143">
        <v>2848.4873419292999</v>
      </c>
      <c r="Y94" s="143">
        <v>2843.6019890732055</v>
      </c>
      <c r="Z94">
        <f t="shared" si="2"/>
        <v>23.866672528549849</v>
      </c>
    </row>
    <row r="95" spans="24:26" x14ac:dyDescent="0.3">
      <c r="X95" s="143">
        <v>2423.5545685870102</v>
      </c>
      <c r="Y95" s="143">
        <v>2427.4160823188945</v>
      </c>
      <c r="Z95">
        <f t="shared" si="2"/>
        <v>14.911288301531131</v>
      </c>
    </row>
    <row r="96" spans="24:26" x14ac:dyDescent="0.3">
      <c r="X96" s="143">
        <v>2036.4223856779581</v>
      </c>
      <c r="Y96" s="143">
        <v>2053.1190124740301</v>
      </c>
      <c r="Z96">
        <f t="shared" si="2"/>
        <v>278.77734636730941</v>
      </c>
    </row>
    <row r="97" spans="23:26" x14ac:dyDescent="0.3">
      <c r="X97" s="143">
        <v>1695.7013811850579</v>
      </c>
      <c r="Y97" s="143">
        <v>1716.2332014425715</v>
      </c>
      <c r="Z97">
        <f t="shared" si="2"/>
        <v>421.55564308684473</v>
      </c>
    </row>
    <row r="98" spans="23:26" x14ac:dyDescent="0.3">
      <c r="X98" s="143">
        <v>1396.287998482564</v>
      </c>
      <c r="Y98" s="143">
        <v>1413.0340620128115</v>
      </c>
      <c r="Z98">
        <f t="shared" si="2"/>
        <v>280.43064375908574</v>
      </c>
    </row>
    <row r="99" spans="23:26" x14ac:dyDescent="0.3">
      <c r="X99" s="143">
        <v>1136.6248217265679</v>
      </c>
      <c r="Y99" s="143">
        <v>1141.5539857031595</v>
      </c>
      <c r="Z99">
        <f t="shared" si="2"/>
        <v>24.296657508127854</v>
      </c>
    </row>
    <row r="100" spans="23:26" x14ac:dyDescent="0.3">
      <c r="X100" s="143">
        <v>914.15982343697101</v>
      </c>
      <c r="Y100" s="143">
        <v>901.83333972358264</v>
      </c>
      <c r="Z100">
        <f t="shared" si="2"/>
        <v>151.94220073642873</v>
      </c>
    </row>
    <row r="101" spans="23:26" x14ac:dyDescent="0.3">
      <c r="X101" s="143">
        <v>725.67553254585096</v>
      </c>
      <c r="Y101" s="143">
        <v>695.79496849488771</v>
      </c>
      <c r="Z101">
        <f t="shared" si="2"/>
        <v>892.8481080037169</v>
      </c>
    </row>
    <row r="102" spans="23:26" x14ac:dyDescent="0.3">
      <c r="X102" s="143">
        <v>567.67557887889302</v>
      </c>
      <c r="Y102" s="143">
        <v>525.98920884149345</v>
      </c>
      <c r="Z102">
        <f t="shared" si="2"/>
        <v>1737.7534468950046</v>
      </c>
    </row>
    <row r="103" spans="23:26" x14ac:dyDescent="0.3">
      <c r="X103" s="143">
        <v>437.01747039661996</v>
      </c>
      <c r="Y103" s="143">
        <v>395.34289302998593</v>
      </c>
      <c r="Z103">
        <f t="shared" si="2"/>
        <v>1736.7703986875649</v>
      </c>
    </row>
    <row r="104" spans="23:26" x14ac:dyDescent="0.3">
      <c r="X104" s="143">
        <v>330.724835397775</v>
      </c>
      <c r="Y104" s="143">
        <v>306.90835180767351</v>
      </c>
      <c r="Z104">
        <f t="shared" si="2"/>
        <v>567.22489059757322</v>
      </c>
    </row>
    <row r="105" spans="23:26" x14ac:dyDescent="0.3">
      <c r="X105" s="143">
        <v>245.67750024531</v>
      </c>
      <c r="Y105" s="143">
        <v>263.61241744114278</v>
      </c>
      <c r="Z105">
        <f t="shared" si="2"/>
        <v>321.66125482137841</v>
      </c>
    </row>
    <row r="106" spans="23:26" x14ac:dyDescent="0.3">
      <c r="X106" s="143">
        <v>179.1394083986774</v>
      </c>
      <c r="Y106" s="143">
        <v>268.38192219697987</v>
      </c>
      <c r="Z106">
        <f t="shared" si="2"/>
        <v>7964.2262690402067</v>
      </c>
    </row>
    <row r="107" spans="23:26" x14ac:dyDescent="0.3">
      <c r="W107" s="153"/>
      <c r="X107" s="143">
        <v>403</v>
      </c>
      <c r="Y107" s="143">
        <v>403</v>
      </c>
      <c r="Z107">
        <f t="shared" si="2"/>
        <v>0</v>
      </c>
    </row>
    <row r="108" spans="23:26" ht="15.6" x14ac:dyDescent="0.3">
      <c r="Y108" s="154"/>
      <c r="Z108" s="155"/>
    </row>
  </sheetData>
  <mergeCells count="9">
    <mergeCell ref="J32:K33"/>
    <mergeCell ref="B30:F30"/>
    <mergeCell ref="A36:F39"/>
    <mergeCell ref="A4:A6"/>
    <mergeCell ref="B4:F4"/>
    <mergeCell ref="B6:F6"/>
    <mergeCell ref="B12:F12"/>
    <mergeCell ref="B18:F18"/>
    <mergeCell ref="B24:F24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64EEEE"/>
  </sheetPr>
  <dimension ref="A2:P110"/>
  <sheetViews>
    <sheetView zoomScale="75" zoomScaleNormal="75" workbookViewId="0">
      <selection activeCell="AE92" sqref="AE92"/>
    </sheetView>
  </sheetViews>
  <sheetFormatPr baseColWidth="10" defaultColWidth="8.88671875" defaultRowHeight="14.4" x14ac:dyDescent="0.3"/>
  <cols>
    <col min="13" max="13" width="9.88671875" bestFit="1" customWidth="1"/>
  </cols>
  <sheetData>
    <row r="2" spans="1:16" ht="14.4" customHeight="1" x14ac:dyDescent="0.3">
      <c r="B2" s="201" t="s">
        <v>61</v>
      </c>
      <c r="C2" s="201"/>
      <c r="D2" s="201"/>
      <c r="F2" s="201" t="s">
        <v>62</v>
      </c>
      <c r="G2" s="201"/>
      <c r="H2" s="201"/>
    </row>
    <row r="3" spans="1:16" x14ac:dyDescent="0.3">
      <c r="A3" s="218"/>
      <c r="B3" s="201"/>
      <c r="C3" s="201"/>
      <c r="D3" s="201"/>
      <c r="F3" s="201"/>
      <c r="G3" s="201"/>
      <c r="H3" s="201"/>
    </row>
    <row r="4" spans="1:16" ht="15" thickBot="1" x14ac:dyDescent="0.35"/>
    <row r="5" spans="1:16" ht="15" thickBot="1" x14ac:dyDescent="0.35">
      <c r="B5" s="145" t="s">
        <v>3</v>
      </c>
      <c r="C5" s="146" t="s">
        <v>30</v>
      </c>
      <c r="F5" s="145" t="s">
        <v>3</v>
      </c>
      <c r="G5" s="146" t="s">
        <v>30</v>
      </c>
    </row>
    <row r="6" spans="1:16" ht="15" thickBot="1" x14ac:dyDescent="0.35">
      <c r="B6" s="148">
        <v>0</v>
      </c>
      <c r="C6" s="156">
        <v>68403.51020177381</v>
      </c>
      <c r="F6" s="148">
        <v>0</v>
      </c>
      <c r="G6" s="156">
        <f>C6</f>
        <v>68403.51020177381</v>
      </c>
    </row>
    <row r="7" spans="1:16" x14ac:dyDescent="0.3">
      <c r="B7" s="28">
        <v>1</v>
      </c>
      <c r="C7" s="46">
        <v>68185.738054321293</v>
      </c>
      <c r="F7" s="28">
        <v>1</v>
      </c>
      <c r="G7" s="46">
        <f>C7</f>
        <v>68185.738054321293</v>
      </c>
      <c r="J7" s="36"/>
      <c r="K7" s="202" t="s">
        <v>121</v>
      </c>
      <c r="L7" s="203"/>
      <c r="M7" s="203"/>
      <c r="N7" s="203"/>
      <c r="O7" s="203"/>
      <c r="P7" s="204"/>
    </row>
    <row r="8" spans="1:16" x14ac:dyDescent="0.3">
      <c r="B8" s="28">
        <v>2</v>
      </c>
      <c r="C8" s="46">
        <v>68248.481450011197</v>
      </c>
      <c r="F8" s="28">
        <v>2</v>
      </c>
      <c r="G8" s="46">
        <f>(-C6+4*C7+10*C8+4*C9-C10)/16</f>
        <v>68289.505577671676</v>
      </c>
      <c r="J8" s="36"/>
      <c r="K8" s="205"/>
      <c r="L8" s="206"/>
      <c r="M8" s="206"/>
      <c r="N8" s="206"/>
      <c r="O8" s="206"/>
      <c r="P8" s="207"/>
    </row>
    <row r="9" spans="1:16" x14ac:dyDescent="0.3">
      <c r="B9" s="28">
        <v>3</v>
      </c>
      <c r="C9" s="46">
        <v>68248.649491703691</v>
      </c>
      <c r="F9" s="28">
        <v>3</v>
      </c>
      <c r="G9" s="46">
        <f>(-C7+4*C8+10*C9+4*C10-C11)/16</f>
        <v>67949.598927019062</v>
      </c>
      <c r="K9" s="205"/>
      <c r="L9" s="206"/>
      <c r="M9" s="206"/>
      <c r="N9" s="206"/>
      <c r="O9" s="206"/>
      <c r="P9" s="207"/>
    </row>
    <row r="10" spans="1:16" ht="15" thickBot="1" x14ac:dyDescent="0.35">
      <c r="B10" s="28">
        <v>4</v>
      </c>
      <c r="C10" s="46">
        <v>67186.7652396911</v>
      </c>
      <c r="F10" s="28">
        <v>4</v>
      </c>
      <c r="G10" s="46">
        <f t="shared" ref="G10:G71" si="0">(-C8+4*C9+10*C10+4*C11-C12)/16</f>
        <v>67555.093889245676</v>
      </c>
      <c r="K10" s="208"/>
      <c r="L10" s="209"/>
      <c r="M10" s="209"/>
      <c r="N10" s="209"/>
      <c r="O10" s="209"/>
      <c r="P10" s="210"/>
    </row>
    <row r="11" spans="1:16" x14ac:dyDescent="0.3">
      <c r="B11" s="28">
        <v>5</v>
      </c>
      <c r="C11" s="46">
        <v>68848.160789219808</v>
      </c>
      <c r="F11" s="28">
        <v>5</v>
      </c>
      <c r="G11" s="46">
        <f t="shared" si="0"/>
        <v>68909.592090112259</v>
      </c>
    </row>
    <row r="12" spans="1:16" x14ac:dyDescent="0.3">
      <c r="B12" s="28">
        <v>6</v>
      </c>
      <c r="C12" s="46">
        <v>71124.909842663008</v>
      </c>
      <c r="F12" s="28">
        <v>6</v>
      </c>
      <c r="G12" s="46">
        <f t="shared" si="0"/>
        <v>70747.976654296348</v>
      </c>
    </row>
    <row r="13" spans="1:16" x14ac:dyDescent="0.3">
      <c r="B13" s="28">
        <v>7</v>
      </c>
      <c r="C13" s="46">
        <v>70926.185288114706</v>
      </c>
      <c r="F13" s="28">
        <v>7</v>
      </c>
      <c r="G13" s="46">
        <f t="shared" si="0"/>
        <v>71165.82158731189</v>
      </c>
      <c r="N13" s="54"/>
      <c r="O13" s="54"/>
    </row>
    <row r="14" spans="1:16" ht="15" thickBot="1" x14ac:dyDescent="0.35">
      <c r="B14" s="28">
        <v>8</v>
      </c>
      <c r="C14" s="46">
        <v>71192.091027535207</v>
      </c>
      <c r="F14" s="28">
        <v>8</v>
      </c>
      <c r="G14" s="46">
        <f t="shared" si="0"/>
        <v>71131.620269050763</v>
      </c>
      <c r="M14" s="55"/>
      <c r="N14" s="55"/>
      <c r="O14" s="55"/>
    </row>
    <row r="15" spans="1:16" x14ac:dyDescent="0.3">
      <c r="B15" s="28">
        <v>9</v>
      </c>
      <c r="C15" s="46">
        <v>71028.550175729906</v>
      </c>
      <c r="F15" s="28">
        <v>9</v>
      </c>
      <c r="G15" s="46">
        <f t="shared" si="0"/>
        <v>71010.886721921459</v>
      </c>
      <c r="L15" s="51"/>
      <c r="M15" s="59">
        <f>+(SUM(C36,C46,C56,C66)*10)/SUM($C$29:$C$68)*100</f>
        <v>94.306918124588336</v>
      </c>
      <c r="N15" s="56"/>
      <c r="O15" s="56"/>
    </row>
    <row r="16" spans="1:16" x14ac:dyDescent="0.3">
      <c r="B16" s="28">
        <v>10</v>
      </c>
      <c r="C16" s="46">
        <v>70509.017983255399</v>
      </c>
      <c r="F16" s="28">
        <v>10</v>
      </c>
      <c r="G16" s="46">
        <f t="shared" si="0"/>
        <v>70530.972625522962</v>
      </c>
      <c r="L16" s="52"/>
      <c r="M16" s="57">
        <f>+(SUM(C31,C41,C51,C61)*10)/SUM($C$29:$C$68)*100</f>
        <v>105.86197490700766</v>
      </c>
      <c r="N16" s="56"/>
      <c r="O16" s="56"/>
    </row>
    <row r="17" spans="2:15" ht="15" thickBot="1" x14ac:dyDescent="0.35">
      <c r="B17" s="28">
        <v>11</v>
      </c>
      <c r="C17" s="46">
        <v>69989.56496160329</v>
      </c>
      <c r="F17" s="28">
        <v>11</v>
      </c>
      <c r="G17" s="46">
        <f t="shared" si="0"/>
        <v>69993.609556564363</v>
      </c>
      <c r="L17" s="53"/>
      <c r="M17" s="58">
        <f>+(SUM(C31,C36,C41,C46,C51,C56,C61,C66)*5)/SUM($C$29:$C$68)*100</f>
        <v>100.08444651579798</v>
      </c>
      <c r="N17" s="56"/>
      <c r="O17" s="56"/>
    </row>
    <row r="18" spans="2:15" x14ac:dyDescent="0.3">
      <c r="B18" s="28">
        <v>12</v>
      </c>
      <c r="C18" s="46">
        <v>69474.987345984206</v>
      </c>
      <c r="F18" s="28">
        <v>12</v>
      </c>
      <c r="G18" s="46">
        <f t="shared" si="0"/>
        <v>69465.205567454061</v>
      </c>
    </row>
    <row r="19" spans="2:15" x14ac:dyDescent="0.3">
      <c r="B19" s="28">
        <v>13</v>
      </c>
      <c r="C19" s="46">
        <v>68905.3678522314</v>
      </c>
      <c r="F19" s="28">
        <v>13</v>
      </c>
      <c r="G19" s="46">
        <f t="shared" si="0"/>
        <v>68909.791808407812</v>
      </c>
    </row>
    <row r="20" spans="2:15" x14ac:dyDescent="0.3">
      <c r="B20" s="28">
        <v>14</v>
      </c>
      <c r="C20" s="46">
        <v>68377.297652660607</v>
      </c>
      <c r="F20" s="28">
        <v>14</v>
      </c>
      <c r="G20" s="46">
        <f t="shared" si="0"/>
        <v>68386.062673216511</v>
      </c>
    </row>
    <row r="21" spans="2:15" x14ac:dyDescent="0.3">
      <c r="B21" s="28">
        <v>15</v>
      </c>
      <c r="C21" s="46">
        <v>67916.584620764886</v>
      </c>
      <c r="F21" s="28">
        <v>15</v>
      </c>
      <c r="G21" s="46">
        <f t="shared" si="0"/>
        <v>67908.604022886022</v>
      </c>
    </row>
    <row r="22" spans="2:15" x14ac:dyDescent="0.3">
      <c r="B22" s="28">
        <v>16</v>
      </c>
      <c r="C22" s="46">
        <v>67408.796301142895</v>
      </c>
      <c r="F22" s="28">
        <v>16</v>
      </c>
      <c r="G22" s="46">
        <f t="shared" si="0"/>
        <v>67404.107974007231</v>
      </c>
    </row>
    <row r="23" spans="2:15" x14ac:dyDescent="0.3">
      <c r="B23" s="28">
        <v>17</v>
      </c>
      <c r="C23" s="46">
        <v>66867.189804455295</v>
      </c>
      <c r="F23" s="28">
        <v>17</v>
      </c>
      <c r="G23" s="46">
        <f t="shared" si="0"/>
        <v>66888.403945699567</v>
      </c>
    </row>
    <row r="24" spans="2:15" x14ac:dyDescent="0.3">
      <c r="B24" s="28">
        <v>18</v>
      </c>
      <c r="C24" s="46">
        <v>66380.035475533397</v>
      </c>
      <c r="F24" s="28">
        <v>18</v>
      </c>
      <c r="G24" s="46">
        <f t="shared" si="0"/>
        <v>66352.394661780927</v>
      </c>
    </row>
    <row r="25" spans="2:15" x14ac:dyDescent="0.3">
      <c r="B25" s="28">
        <v>19</v>
      </c>
      <c r="C25" s="46">
        <v>65696.177399300097</v>
      </c>
      <c r="F25" s="28">
        <v>19</v>
      </c>
      <c r="G25" s="46">
        <f t="shared" si="0"/>
        <v>65715.388866779715</v>
      </c>
    </row>
    <row r="26" spans="2:15" x14ac:dyDescent="0.3">
      <c r="B26" s="28">
        <v>20</v>
      </c>
      <c r="C26" s="46">
        <v>65006.712680717697</v>
      </c>
      <c r="F26" s="28">
        <v>20</v>
      </c>
      <c r="G26" s="46">
        <f t="shared" si="0"/>
        <v>65023.239571998864</v>
      </c>
    </row>
    <row r="27" spans="2:15" x14ac:dyDescent="0.3">
      <c r="B27" s="28">
        <v>21</v>
      </c>
      <c r="C27" s="46">
        <v>64195.354945074796</v>
      </c>
      <c r="F27" s="28">
        <v>21</v>
      </c>
      <c r="G27" s="46">
        <f t="shared" si="0"/>
        <v>64129.878119049339</v>
      </c>
    </row>
    <row r="28" spans="2:15" x14ac:dyDescent="0.3">
      <c r="B28" s="28">
        <v>22</v>
      </c>
      <c r="C28" s="46">
        <v>62881.387557161404</v>
      </c>
      <c r="F28" s="28">
        <v>22</v>
      </c>
      <c r="G28" s="46">
        <f t="shared" si="0"/>
        <v>62919.447378381796</v>
      </c>
    </row>
    <row r="29" spans="2:15" x14ac:dyDescent="0.3">
      <c r="B29" s="28">
        <v>23</v>
      </c>
      <c r="C29" s="46">
        <v>61731.7230981748</v>
      </c>
      <c r="F29" s="28">
        <v>23</v>
      </c>
      <c r="G29" s="46">
        <f t="shared" si="0"/>
        <v>61767.435426414893</v>
      </c>
    </row>
    <row r="30" spans="2:15" x14ac:dyDescent="0.3">
      <c r="B30" s="28">
        <v>24</v>
      </c>
      <c r="C30" s="46">
        <v>60804.317009785897</v>
      </c>
      <c r="F30" s="28">
        <v>24</v>
      </c>
      <c r="G30" s="46">
        <f t="shared" si="0"/>
        <v>60780.775584945455</v>
      </c>
    </row>
    <row r="31" spans="2:15" x14ac:dyDescent="0.3">
      <c r="B31" s="28">
        <v>25</v>
      </c>
      <c r="C31" s="46">
        <v>59585.727481823997</v>
      </c>
      <c r="F31" s="28">
        <v>25</v>
      </c>
      <c r="G31" s="46">
        <f t="shared" si="0"/>
        <v>59531.367191499332</v>
      </c>
    </row>
    <row r="32" spans="2:15" x14ac:dyDescent="0.3">
      <c r="B32" s="28">
        <v>26</v>
      </c>
      <c r="C32" s="46">
        <v>57939.175501565405</v>
      </c>
      <c r="F32" s="28">
        <v>26</v>
      </c>
      <c r="G32" s="46">
        <f t="shared" si="0"/>
        <v>57963.090402734859</v>
      </c>
    </row>
    <row r="33" spans="2:7" x14ac:dyDescent="0.3">
      <c r="B33" s="28">
        <v>27</v>
      </c>
      <c r="C33" s="46">
        <v>56597.646701481004</v>
      </c>
      <c r="F33" s="28">
        <v>27</v>
      </c>
      <c r="G33" s="46">
        <f t="shared" si="0"/>
        <v>56658.284031084782</v>
      </c>
    </row>
    <row r="34" spans="2:7" x14ac:dyDescent="0.3">
      <c r="B34" s="28">
        <v>28</v>
      </c>
      <c r="C34" s="46">
        <v>55911.488295330404</v>
      </c>
      <c r="F34" s="28">
        <v>28</v>
      </c>
      <c r="G34" s="46">
        <f t="shared" si="0"/>
        <v>55865.705459376906</v>
      </c>
    </row>
    <row r="35" spans="2:7" x14ac:dyDescent="0.3">
      <c r="B35" s="28">
        <v>29</v>
      </c>
      <c r="C35" s="46">
        <v>55260.850223212903</v>
      </c>
      <c r="F35" s="28">
        <v>29</v>
      </c>
      <c r="G35" s="46">
        <f t="shared" si="0"/>
        <v>55263.751015676346</v>
      </c>
    </row>
    <row r="36" spans="2:7" x14ac:dyDescent="0.3">
      <c r="B36" s="28">
        <v>30</v>
      </c>
      <c r="C36" s="46">
        <v>54758.407800483896</v>
      </c>
      <c r="F36" s="28">
        <v>30</v>
      </c>
      <c r="G36" s="46">
        <f t="shared" si="0"/>
        <v>54773.050423982873</v>
      </c>
    </row>
    <row r="37" spans="2:7" x14ac:dyDescent="0.3">
      <c r="B37" s="28">
        <v>31</v>
      </c>
      <c r="C37" s="46">
        <v>54470.423663083602</v>
      </c>
      <c r="F37" s="28">
        <v>31</v>
      </c>
      <c r="G37" s="46">
        <f t="shared" si="0"/>
        <v>54454.80485457692</v>
      </c>
    </row>
    <row r="38" spans="2:7" x14ac:dyDescent="0.3">
      <c r="B38" s="28">
        <v>32</v>
      </c>
      <c r="C38" s="46">
        <v>54228.878470968601</v>
      </c>
      <c r="F38" s="28">
        <v>32</v>
      </c>
      <c r="G38" s="46">
        <f t="shared" si="0"/>
        <v>54236.05214159123</v>
      </c>
    </row>
    <row r="39" spans="2:7" x14ac:dyDescent="0.3">
      <c r="B39" s="28">
        <v>33</v>
      </c>
      <c r="C39" s="46">
        <v>54115.653820202402</v>
      </c>
      <c r="F39" s="28">
        <v>33</v>
      </c>
      <c r="G39" s="46">
        <f t="shared" si="0"/>
        <v>54117.551550919896</v>
      </c>
    </row>
    <row r="40" spans="2:7" x14ac:dyDescent="0.3">
      <c r="B40" s="28">
        <v>34</v>
      </c>
      <c r="C40" s="46">
        <v>54097.852576886398</v>
      </c>
      <c r="F40" s="28">
        <v>34</v>
      </c>
      <c r="G40" s="46">
        <f t="shared" si="0"/>
        <v>54097.60245681712</v>
      </c>
    </row>
    <row r="41" spans="2:7" x14ac:dyDescent="0.3">
      <c r="B41" s="28">
        <v>35</v>
      </c>
      <c r="C41" s="47">
        <v>54112.213915642104</v>
      </c>
      <c r="F41" s="28">
        <v>35</v>
      </c>
      <c r="G41" s="46">
        <f t="shared" si="0"/>
        <v>54113.348020350641</v>
      </c>
    </row>
    <row r="42" spans="2:7" x14ac:dyDescent="0.3">
      <c r="B42" s="28">
        <v>36</v>
      </c>
      <c r="C42" s="47">
        <v>54099.478932199403</v>
      </c>
      <c r="F42" s="28">
        <v>36</v>
      </c>
      <c r="G42" s="46">
        <f t="shared" si="0"/>
        <v>54095.806196157297</v>
      </c>
    </row>
    <row r="43" spans="2:7" x14ac:dyDescent="0.3">
      <c r="B43" s="28">
        <v>37</v>
      </c>
      <c r="C43" s="47">
        <v>53982.243046951597</v>
      </c>
      <c r="F43" s="28">
        <v>37</v>
      </c>
      <c r="G43" s="46">
        <f t="shared" si="0"/>
        <v>53977.459157964884</v>
      </c>
    </row>
    <row r="44" spans="2:7" x14ac:dyDescent="0.3">
      <c r="B44" s="28">
        <v>38</v>
      </c>
      <c r="C44" s="47">
        <v>53741.865456965694</v>
      </c>
      <c r="F44" s="28">
        <v>38</v>
      </c>
      <c r="G44" s="46">
        <f t="shared" si="0"/>
        <v>53743.204499713713</v>
      </c>
    </row>
    <row r="45" spans="2:7" x14ac:dyDescent="0.3">
      <c r="B45" s="28">
        <v>39</v>
      </c>
      <c r="C45" s="47">
        <v>53436.247583096207</v>
      </c>
      <c r="F45" s="28">
        <v>39</v>
      </c>
      <c r="G45" s="46">
        <f t="shared" si="0"/>
        <v>53439.066247541763</v>
      </c>
    </row>
    <row r="46" spans="2:7" x14ac:dyDescent="0.3">
      <c r="B46" s="28">
        <v>40</v>
      </c>
      <c r="C46" s="47">
        <v>53101.8661622293</v>
      </c>
      <c r="F46" s="28">
        <v>40</v>
      </c>
      <c r="G46" s="46">
        <f t="shared" si="0"/>
        <v>53103.217782511536</v>
      </c>
    </row>
    <row r="47" spans="2:7" x14ac:dyDescent="0.3">
      <c r="B47" s="28">
        <v>41</v>
      </c>
      <c r="C47" s="47">
        <v>52730.099300122194</v>
      </c>
      <c r="F47" s="28">
        <v>41</v>
      </c>
      <c r="G47" s="46">
        <f t="shared" si="0"/>
        <v>52733.650661467014</v>
      </c>
    </row>
    <row r="48" spans="2:7" x14ac:dyDescent="0.3">
      <c r="B48" s="28">
        <v>42</v>
      </c>
      <c r="C48" s="47">
        <v>52290.699178016301</v>
      </c>
      <c r="F48" s="28">
        <v>42</v>
      </c>
      <c r="G48" s="46">
        <f t="shared" si="0"/>
        <v>52289.514068008655</v>
      </c>
    </row>
    <row r="49" spans="2:7" x14ac:dyDescent="0.3">
      <c r="B49" s="28">
        <v>43</v>
      </c>
      <c r="C49" s="47">
        <v>51696.596195635895</v>
      </c>
      <c r="F49" s="28">
        <v>43</v>
      </c>
      <c r="G49" s="46">
        <f t="shared" si="0"/>
        <v>51692.278362741825</v>
      </c>
    </row>
    <row r="50" spans="2:7" x14ac:dyDescent="0.3">
      <c r="B50" s="28">
        <v>44</v>
      </c>
      <c r="C50" s="47">
        <v>50879.682512827596</v>
      </c>
      <c r="F50" s="28">
        <v>44</v>
      </c>
      <c r="G50" s="46">
        <f t="shared" si="0"/>
        <v>50879.376017865157</v>
      </c>
    </row>
    <row r="51" spans="2:7" x14ac:dyDescent="0.3">
      <c r="B51" s="28">
        <v>45</v>
      </c>
      <c r="C51" s="47">
        <v>49840.935615743205</v>
      </c>
      <c r="F51" s="28">
        <v>45</v>
      </c>
      <c r="G51" s="46">
        <f t="shared" si="0"/>
        <v>49839.946680444242</v>
      </c>
    </row>
    <row r="52" spans="2:7" x14ac:dyDescent="0.3">
      <c r="B52" s="28">
        <v>46</v>
      </c>
      <c r="C52" s="47">
        <v>48586.236909933607</v>
      </c>
      <c r="F52" s="28">
        <v>46</v>
      </c>
      <c r="G52" s="46">
        <f t="shared" si="0"/>
        <v>48584.558868256405</v>
      </c>
    </row>
    <row r="53" spans="2:7" x14ac:dyDescent="0.3">
      <c r="B53" s="28">
        <v>47</v>
      </c>
      <c r="C53" s="47">
        <v>47137.290765733094</v>
      </c>
      <c r="F53" s="28">
        <v>47</v>
      </c>
      <c r="G53" s="46">
        <f t="shared" si="0"/>
        <v>47137.751973256687</v>
      </c>
    </row>
    <row r="54" spans="2:7" x14ac:dyDescent="0.3">
      <c r="B54" s="28">
        <v>48</v>
      </c>
      <c r="C54" s="47">
        <v>45542.650220311101</v>
      </c>
      <c r="F54" s="28">
        <v>48</v>
      </c>
      <c r="G54" s="46">
        <f t="shared" si="0"/>
        <v>45543.156295182853</v>
      </c>
    </row>
    <row r="55" spans="2:7" x14ac:dyDescent="0.3">
      <c r="B55" s="28">
        <v>49</v>
      </c>
      <c r="C55" s="47">
        <v>43843.488990459598</v>
      </c>
      <c r="F55" s="28">
        <v>49</v>
      </c>
      <c r="G55" s="46">
        <f t="shared" si="0"/>
        <v>43843.219772148899</v>
      </c>
    </row>
    <row r="56" spans="2:7" x14ac:dyDescent="0.3">
      <c r="B56" s="28">
        <v>50</v>
      </c>
      <c r="C56" s="47">
        <v>42072.883595022504</v>
      </c>
      <c r="F56" s="28">
        <v>50</v>
      </c>
      <c r="G56" s="46">
        <f t="shared" si="0"/>
        <v>42072.53930945239</v>
      </c>
    </row>
    <row r="57" spans="2:7" x14ac:dyDescent="0.3">
      <c r="B57" s="28">
        <v>51</v>
      </c>
      <c r="C57" s="47">
        <v>40268.2180458148</v>
      </c>
      <c r="F57" s="28">
        <v>51</v>
      </c>
      <c r="G57" s="46">
        <f t="shared" si="0"/>
        <v>40268.823349245191</v>
      </c>
    </row>
    <row r="58" spans="2:7" x14ac:dyDescent="0.3">
      <c r="B58" s="28">
        <v>52</v>
      </c>
      <c r="C58" s="47">
        <v>38472.384923773294</v>
      </c>
      <c r="F58" s="28">
        <v>52</v>
      </c>
      <c r="G58" s="46">
        <f t="shared" si="0"/>
        <v>38473.785816874275</v>
      </c>
    </row>
    <row r="59" spans="2:7" x14ac:dyDescent="0.3">
      <c r="B59" s="28">
        <v>53</v>
      </c>
      <c r="C59" s="47">
        <v>36718.591954948497</v>
      </c>
      <c r="F59" s="28">
        <v>53</v>
      </c>
      <c r="G59" s="46">
        <f t="shared" si="0"/>
        <v>36719.795004103544</v>
      </c>
    </row>
    <row r="60" spans="2:7" x14ac:dyDescent="0.3">
      <c r="B60" s="28">
        <v>54</v>
      </c>
      <c r="C60" s="47">
        <v>35017.632575775104</v>
      </c>
      <c r="F60" s="28">
        <v>54</v>
      </c>
      <c r="G60" s="46">
        <f t="shared" si="0"/>
        <v>35017.949278200933</v>
      </c>
    </row>
    <row r="61" spans="2:7" x14ac:dyDescent="0.3">
      <c r="B61" s="28">
        <v>55</v>
      </c>
      <c r="C61" s="47">
        <v>33361.051436207097</v>
      </c>
      <c r="F61" s="28">
        <v>55</v>
      </c>
      <c r="G61" s="46">
        <f t="shared" si="0"/>
        <v>33360.719649866871</v>
      </c>
    </row>
    <row r="62" spans="2:7" x14ac:dyDescent="0.3">
      <c r="B62" s="28">
        <v>56</v>
      </c>
      <c r="C62" s="47">
        <v>31735.325947385201</v>
      </c>
      <c r="F62" s="28">
        <v>56</v>
      </c>
      <c r="G62" s="46">
        <f t="shared" si="0"/>
        <v>31735.062188659409</v>
      </c>
    </row>
    <row r="63" spans="2:7" x14ac:dyDescent="0.3">
      <c r="B63" s="28">
        <v>57</v>
      </c>
      <c r="C63" s="47">
        <v>30132.2421018938</v>
      </c>
      <c r="F63" s="28">
        <v>57</v>
      </c>
      <c r="G63" s="46">
        <f t="shared" si="0"/>
        <v>30131.580166205305</v>
      </c>
    </row>
    <row r="64" spans="2:7" x14ac:dyDescent="0.3">
      <c r="B64" s="28">
        <v>58</v>
      </c>
      <c r="C64" s="47">
        <v>28547.8060319299</v>
      </c>
      <c r="F64" s="28">
        <v>58</v>
      </c>
      <c r="G64" s="46">
        <f t="shared" si="0"/>
        <v>28546.964485345026</v>
      </c>
    </row>
    <row r="65" spans="2:7" x14ac:dyDescent="0.3">
      <c r="B65" s="28">
        <v>59</v>
      </c>
      <c r="C65" s="47">
        <v>26988.614840706399</v>
      </c>
      <c r="F65" s="28">
        <v>59</v>
      </c>
      <c r="G65" s="46">
        <f t="shared" si="0"/>
        <v>26988.886771658093</v>
      </c>
    </row>
    <row r="66" spans="2:7" x14ac:dyDescent="0.3">
      <c r="B66" s="28">
        <v>60</v>
      </c>
      <c r="C66" s="47">
        <v>25474.730376794199</v>
      </c>
      <c r="F66" s="28">
        <v>60</v>
      </c>
      <c r="G66" s="46">
        <f t="shared" si="0"/>
        <v>25475.505807345649</v>
      </c>
    </row>
    <row r="67" spans="2:7" x14ac:dyDescent="0.3">
      <c r="B67" s="28">
        <v>61</v>
      </c>
      <c r="C67" s="47">
        <v>24021.863593537098</v>
      </c>
      <c r="F67" s="28">
        <v>61</v>
      </c>
      <c r="G67" s="46">
        <f t="shared" si="0"/>
        <v>24021.751373062551</v>
      </c>
    </row>
    <row r="68" spans="2:7" x14ac:dyDescent="0.3">
      <c r="B68" s="28">
        <v>62</v>
      </c>
      <c r="C68" s="47">
        <v>22633.318555455699</v>
      </c>
      <c r="F68" s="28">
        <v>62</v>
      </c>
      <c r="G68" s="46">
        <f t="shared" si="0"/>
        <v>22633.002519685826</v>
      </c>
    </row>
    <row r="69" spans="2:7" x14ac:dyDescent="0.3">
      <c r="B69" s="28">
        <v>63</v>
      </c>
      <c r="C69" s="47">
        <v>21314.194854663401</v>
      </c>
      <c r="F69" s="28">
        <v>63</v>
      </c>
      <c r="G69" s="46">
        <f t="shared" si="0"/>
        <v>21314.637773367125</v>
      </c>
    </row>
    <row r="70" spans="2:7" x14ac:dyDescent="0.3">
      <c r="B70" s="28">
        <v>64</v>
      </c>
      <c r="C70" s="47">
        <v>20074.648655591562</v>
      </c>
      <c r="F70" s="28">
        <v>64</v>
      </c>
      <c r="G70" s="46">
        <f t="shared" si="0"/>
        <v>20074.98512811141</v>
      </c>
    </row>
    <row r="71" spans="2:7" x14ac:dyDescent="0.3">
      <c r="B71" s="28">
        <v>65</v>
      </c>
      <c r="C71" s="47">
        <v>18917.749423411908</v>
      </c>
      <c r="F71" s="28">
        <v>65</v>
      </c>
      <c r="G71" s="46">
        <f t="shared" si="0"/>
        <v>18917.68502592103</v>
      </c>
    </row>
    <row r="72" spans="2:7" x14ac:dyDescent="0.3">
      <c r="B72" s="28">
        <v>66</v>
      </c>
      <c r="C72" s="47">
        <v>17841.18306297862</v>
      </c>
      <c r="F72" s="28">
        <v>66</v>
      </c>
      <c r="G72" s="46">
        <f t="shared" ref="G72:G77" si="1">(-C70+4*C71+10*C72+4*C73-C74)/16</f>
        <v>17841.233521740509</v>
      </c>
    </row>
    <row r="73" spans="2:7" x14ac:dyDescent="0.3">
      <c r="B73" s="28">
        <v>67</v>
      </c>
      <c r="C73" s="47">
        <v>16843.665838999979</v>
      </c>
      <c r="F73" s="28">
        <v>67</v>
      </c>
      <c r="G73" s="46">
        <f t="shared" si="1"/>
        <v>16845.627673826893</v>
      </c>
    </row>
    <row r="74" spans="2:7" x14ac:dyDescent="0.3">
      <c r="B74" s="28">
        <v>68</v>
      </c>
      <c r="C74" s="47">
        <v>15923.10667599404</v>
      </c>
      <c r="F74" s="28">
        <v>68</v>
      </c>
      <c r="G74" s="46">
        <f t="shared" si="1"/>
        <v>15922.539642968595</v>
      </c>
    </row>
    <row r="75" spans="2:7" x14ac:dyDescent="0.3">
      <c r="B75" s="28">
        <v>69</v>
      </c>
      <c r="C75" s="47">
        <v>15046.02514124825</v>
      </c>
      <c r="F75" s="28">
        <v>69</v>
      </c>
      <c r="G75" s="46">
        <f t="shared" si="1"/>
        <v>15043.421239080431</v>
      </c>
    </row>
    <row r="76" spans="2:7" x14ac:dyDescent="0.3">
      <c r="B76" s="28">
        <v>70</v>
      </c>
      <c r="C76" s="47">
        <v>14188.01333045719</v>
      </c>
      <c r="F76" s="28">
        <v>70</v>
      </c>
      <c r="G76" s="46">
        <f t="shared" si="1"/>
        <v>14189.631100638564</v>
      </c>
    </row>
    <row r="77" spans="2:7" x14ac:dyDescent="0.3">
      <c r="B77" s="28">
        <v>71</v>
      </c>
      <c r="C77" s="47">
        <v>13366.32577400055</v>
      </c>
      <c r="F77" s="28">
        <v>71</v>
      </c>
      <c r="G77" s="46">
        <f t="shared" si="1"/>
        <v>13366.697418638334</v>
      </c>
    </row>
    <row r="78" spans="2:7" x14ac:dyDescent="0.3">
      <c r="B78" s="28">
        <v>72</v>
      </c>
      <c r="C78" s="47">
        <v>12572.33267935603</v>
      </c>
      <c r="F78" s="28">
        <v>72</v>
      </c>
      <c r="G78" s="46">
        <f>(-C76+4*C77+10*C78+4*C79-C80)/16</f>
        <v>12571.092801148818</v>
      </c>
    </row>
    <row r="79" spans="2:7" x14ac:dyDescent="0.3">
      <c r="B79" s="28">
        <v>73</v>
      </c>
      <c r="C79" s="47">
        <v>11791.45793979679</v>
      </c>
      <c r="F79" s="28">
        <v>73</v>
      </c>
      <c r="G79" s="46">
        <f t="shared" ref="G79:G101" si="2">(-C77+4*C78+10*C79+4*C80-C81)/16</f>
        <v>11791.85126411774</v>
      </c>
    </row>
    <row r="80" spans="2:7" x14ac:dyDescent="0.3">
      <c r="B80" s="28">
        <v>74</v>
      </c>
      <c r="C80" s="47">
        <v>11028.96349991135</v>
      </c>
      <c r="F80" s="28">
        <v>74</v>
      </c>
      <c r="G80" s="46">
        <f t="shared" si="2"/>
        <v>11029.213285569185</v>
      </c>
    </row>
    <row r="81" spans="2:7" x14ac:dyDescent="0.3">
      <c r="B81" s="28">
        <v>75</v>
      </c>
      <c r="C81" s="47">
        <v>10283.818115153001</v>
      </c>
      <c r="F81" s="28">
        <v>75</v>
      </c>
      <c r="G81" s="46">
        <f t="shared" si="2"/>
        <v>10283.642114164106</v>
      </c>
    </row>
    <row r="82" spans="2:7" x14ac:dyDescent="0.3">
      <c r="B82" s="28">
        <v>76</v>
      </c>
      <c r="C82" s="219">
        <v>9550.993970449661</v>
      </c>
      <c r="F82" s="28">
        <v>76</v>
      </c>
      <c r="G82" s="46">
        <f t="shared" si="2"/>
        <v>9550.7732252193618</v>
      </c>
    </row>
    <row r="83" spans="2:7" x14ac:dyDescent="0.3">
      <c r="B83" s="28">
        <v>77</v>
      </c>
      <c r="C83" s="219">
        <v>8828.2792665515699</v>
      </c>
      <c r="F83" s="28">
        <v>77</v>
      </c>
      <c r="G83" s="46">
        <f t="shared" si="2"/>
        <v>8828.0572861504297</v>
      </c>
    </row>
    <row r="84" spans="2:7" x14ac:dyDescent="0.3">
      <c r="B84" s="28">
        <v>78</v>
      </c>
      <c r="C84" s="219">
        <v>8116.9941278937704</v>
      </c>
      <c r="F84" s="28">
        <v>78</v>
      </c>
      <c r="G84" s="46">
        <f t="shared" si="2"/>
        <v>8116.9194831610148</v>
      </c>
    </row>
    <row r="85" spans="2:7" x14ac:dyDescent="0.3">
      <c r="B85" s="28">
        <v>79</v>
      </c>
      <c r="C85" s="219">
        <v>7422.01036532957</v>
      </c>
      <c r="F85" s="28">
        <v>79</v>
      </c>
      <c r="G85" s="46">
        <f t="shared" si="2"/>
        <v>7422.1162637019834</v>
      </c>
    </row>
    <row r="86" spans="2:7" x14ac:dyDescent="0.3">
      <c r="B86" s="28">
        <v>80</v>
      </c>
      <c r="C86" s="219">
        <v>6749.3941054363695</v>
      </c>
      <c r="F86" s="28">
        <v>80</v>
      </c>
      <c r="G86" s="46">
        <f t="shared" si="2"/>
        <v>6749.4323474480389</v>
      </c>
    </row>
    <row r="87" spans="2:7" x14ac:dyDescent="0.3">
      <c r="B87" s="28">
        <v>81</v>
      </c>
      <c r="C87" s="219">
        <v>6103.5171008329298</v>
      </c>
      <c r="F87" s="28">
        <v>81</v>
      </c>
      <c r="G87" s="46">
        <f t="shared" si="2"/>
        <v>6103.9029024682895</v>
      </c>
    </row>
    <row r="88" spans="2:7" x14ac:dyDescent="0.3">
      <c r="B88" s="28">
        <v>82</v>
      </c>
      <c r="C88" s="219">
        <v>5488.1392319513106</v>
      </c>
      <c r="F88" s="28">
        <v>82</v>
      </c>
      <c r="G88" s="46">
        <f t="shared" si="2"/>
        <v>5487.8828705357055</v>
      </c>
    </row>
    <row r="89" spans="2:7" x14ac:dyDescent="0.3">
      <c r="B89" s="28">
        <v>83</v>
      </c>
      <c r="C89" s="219">
        <v>4900.8475530578198</v>
      </c>
      <c r="F89" s="28">
        <v>83</v>
      </c>
      <c r="G89" s="46">
        <f t="shared" si="2"/>
        <v>4901.1725507371302</v>
      </c>
    </row>
    <row r="90" spans="2:7" x14ac:dyDescent="0.3">
      <c r="B90" s="28">
        <v>84</v>
      </c>
      <c r="C90" s="219">
        <v>4343.3309010684407</v>
      </c>
      <c r="F90" s="28">
        <v>84</v>
      </c>
      <c r="G90" s="46">
        <f>(-C88+4*C89+10*C90+4*C91-C92)/16</f>
        <v>4342.7822069883568</v>
      </c>
    </row>
    <row r="91" spans="2:7" x14ac:dyDescent="0.3">
      <c r="B91" s="28">
        <v>85</v>
      </c>
      <c r="C91" s="219">
        <v>3812.0781500302</v>
      </c>
      <c r="F91" s="28">
        <v>85</v>
      </c>
      <c r="G91" s="46">
        <f t="shared" si="2"/>
        <v>3812.1374579171575</v>
      </c>
    </row>
    <row r="92" spans="2:7" x14ac:dyDescent="0.3">
      <c r="B92" s="28">
        <v>86</v>
      </c>
      <c r="C92" s="219">
        <v>3312.3572792714699</v>
      </c>
      <c r="F92" s="28">
        <v>86</v>
      </c>
      <c r="G92" s="46">
        <f t="shared" si="2"/>
        <v>3312.4343306810783</v>
      </c>
    </row>
    <row r="93" spans="2:7" x14ac:dyDescent="0.3">
      <c r="B93" s="28">
        <v>87</v>
      </c>
      <c r="C93" s="219">
        <v>2848.4873419292999</v>
      </c>
      <c r="F93" s="28">
        <v>87</v>
      </c>
      <c r="G93" s="46">
        <f t="shared" si="2"/>
        <v>2848.7512671886725</v>
      </c>
    </row>
    <row r="94" spans="2:7" x14ac:dyDescent="0.3">
      <c r="B94" s="28">
        <v>88</v>
      </c>
      <c r="C94" s="219">
        <v>2423.5545685870102</v>
      </c>
      <c r="F94" s="28">
        <v>88</v>
      </c>
      <c r="G94" s="46">
        <f t="shared" si="2"/>
        <v>2422.9453709901632</v>
      </c>
    </row>
    <row r="95" spans="2:7" x14ac:dyDescent="0.3">
      <c r="B95" s="28">
        <v>89</v>
      </c>
      <c r="C95" s="219">
        <v>2036.4223856779581</v>
      </c>
      <c r="F95" s="28">
        <v>89</v>
      </c>
      <c r="G95" s="46">
        <f t="shared" si="2"/>
        <v>2037.2795197159994</v>
      </c>
    </row>
    <row r="96" spans="2:7" x14ac:dyDescent="0.3">
      <c r="B96" s="28">
        <v>90</v>
      </c>
      <c r="C96" s="219">
        <v>1695.7013811850579</v>
      </c>
      <c r="F96" s="28">
        <v>90</v>
      </c>
      <c r="G96" s="46">
        <f t="shared" si="2"/>
        <v>1695.4797473861931</v>
      </c>
    </row>
    <row r="97" spans="2:7" x14ac:dyDescent="0.3">
      <c r="B97" s="28">
        <v>91</v>
      </c>
      <c r="C97" s="219">
        <v>1396.287998482564</v>
      </c>
      <c r="F97" s="28">
        <v>91</v>
      </c>
      <c r="G97" s="46">
        <f t="shared" si="2"/>
        <v>1396.3501617098261</v>
      </c>
    </row>
    <row r="98" spans="2:7" x14ac:dyDescent="0.3">
      <c r="B98" s="28">
        <v>92</v>
      </c>
      <c r="C98" s="219">
        <v>1136.6248217265679</v>
      </c>
      <c r="F98" s="28">
        <v>92</v>
      </c>
      <c r="G98" s="46">
        <f t="shared" si="2"/>
        <v>1136.6664119508068</v>
      </c>
    </row>
    <row r="99" spans="2:7" x14ac:dyDescent="0.3">
      <c r="B99" s="28">
        <v>93</v>
      </c>
      <c r="C99" s="219">
        <v>914.15982343697101</v>
      </c>
      <c r="F99" s="28">
        <v>93</v>
      </c>
      <c r="G99" s="46">
        <f t="shared" si="2"/>
        <v>914.17725463112049</v>
      </c>
    </row>
    <row r="100" spans="2:7" x14ac:dyDescent="0.3">
      <c r="B100" s="28">
        <v>94</v>
      </c>
      <c r="C100" s="219">
        <v>725.67553254585096</v>
      </c>
      <c r="F100" s="28">
        <v>94</v>
      </c>
      <c r="G100" s="46">
        <f t="shared" si="2"/>
        <v>725.65341516242358</v>
      </c>
    </row>
    <row r="101" spans="2:7" x14ac:dyDescent="0.3">
      <c r="B101" s="28">
        <v>95</v>
      </c>
      <c r="C101" s="219">
        <v>567.67557887889302</v>
      </c>
      <c r="F101" s="28">
        <v>95</v>
      </c>
      <c r="G101" s="46">
        <f t="shared" si="2"/>
        <v>567.66519635775421</v>
      </c>
    </row>
    <row r="102" spans="2:7" x14ac:dyDescent="0.3">
      <c r="B102" s="28">
        <v>96</v>
      </c>
      <c r="C102" s="219">
        <v>437.01747039661996</v>
      </c>
      <c r="F102" s="28">
        <v>96</v>
      </c>
      <c r="G102" s="46">
        <f>(-C100+4*C101+10*C102+4*C103-C104)/16</f>
        <v>437.02645801760696</v>
      </c>
    </row>
    <row r="103" spans="2:7" x14ac:dyDescent="0.3">
      <c r="B103" s="28">
        <v>97</v>
      </c>
      <c r="C103" s="219">
        <v>330.724835397775</v>
      </c>
      <c r="F103" s="28">
        <v>97</v>
      </c>
      <c r="G103" s="46">
        <f>(-C101+4*C102+10*C103+4*C104-C105)/16</f>
        <v>330.70082807924376</v>
      </c>
    </row>
    <row r="104" spans="2:7" x14ac:dyDescent="0.3">
      <c r="B104" s="28">
        <v>98</v>
      </c>
      <c r="C104" s="219">
        <v>245.67750024531</v>
      </c>
      <c r="F104" s="28">
        <v>98</v>
      </c>
      <c r="G104" s="46">
        <f>C104</f>
        <v>245.67750024531</v>
      </c>
    </row>
    <row r="105" spans="2:7" x14ac:dyDescent="0.3">
      <c r="B105" s="28">
        <v>99</v>
      </c>
      <c r="C105" s="219">
        <v>179.1394083986774</v>
      </c>
      <c r="F105" s="28">
        <v>99</v>
      </c>
      <c r="G105" s="46">
        <f>C105</f>
        <v>179.1394083986774</v>
      </c>
    </row>
    <row r="106" spans="2:7" ht="15" thickBot="1" x14ac:dyDescent="0.35">
      <c r="B106" s="32" t="s">
        <v>114</v>
      </c>
      <c r="C106" s="220">
        <v>403</v>
      </c>
      <c r="F106" s="32" t="s">
        <v>114</v>
      </c>
      <c r="G106" s="157">
        <f>C106</f>
        <v>403</v>
      </c>
    </row>
    <row r="107" spans="2:7" x14ac:dyDescent="0.3">
      <c r="B107" s="152"/>
      <c r="C107" s="54"/>
      <c r="D107" s="54"/>
    </row>
    <row r="108" spans="2:7" x14ac:dyDescent="0.3">
      <c r="B108" s="152"/>
      <c r="C108" s="54"/>
      <c r="D108" s="54"/>
    </row>
    <row r="109" spans="2:7" x14ac:dyDescent="0.3">
      <c r="B109" s="152"/>
      <c r="C109" s="54"/>
      <c r="D109" s="54"/>
    </row>
    <row r="110" spans="2:7" x14ac:dyDescent="0.3">
      <c r="B110" s="54"/>
      <c r="C110" s="54"/>
      <c r="D110" s="54"/>
    </row>
  </sheetData>
  <mergeCells count="3">
    <mergeCell ref="K7:P10"/>
    <mergeCell ref="B2:D3"/>
    <mergeCell ref="F2:H3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FF00"/>
  </sheetPr>
  <dimension ref="A3:AG113"/>
  <sheetViews>
    <sheetView topLeftCell="J1" zoomScale="70" zoomScaleNormal="70" workbookViewId="0">
      <selection activeCell="O10" sqref="O10"/>
    </sheetView>
  </sheetViews>
  <sheetFormatPr baseColWidth="10" defaultColWidth="8.88671875" defaultRowHeight="14.4" x14ac:dyDescent="0.3"/>
  <cols>
    <col min="1" max="5" width="11.33203125"/>
    <col min="6" max="6" width="15.6640625"/>
    <col min="7" max="20" width="11.33203125"/>
    <col min="21" max="24" width="11.44140625" bestFit="1" customWidth="1"/>
    <col min="25" max="25" width="15.33203125" bestFit="1" customWidth="1"/>
    <col min="26" max="26" width="14.33203125" bestFit="1" customWidth="1"/>
    <col min="27" max="27" width="15.33203125" bestFit="1" customWidth="1"/>
    <col min="28" max="28" width="16.88671875" bestFit="1" customWidth="1"/>
    <col min="29" max="29" width="10.44140625" bestFit="1" customWidth="1"/>
    <col min="30" max="31" width="11.5546875" bestFit="1" customWidth="1"/>
    <col min="32" max="32" width="18.44140625" bestFit="1" customWidth="1"/>
    <col min="33" max="33" width="11.44140625" bestFit="1" customWidth="1"/>
    <col min="34" max="1025" width="11.33203125"/>
  </cols>
  <sheetData>
    <row r="3" spans="1:33" ht="15" thickBot="1" x14ac:dyDescent="0.35">
      <c r="A3" t="s">
        <v>3</v>
      </c>
      <c r="B3" t="s">
        <v>0</v>
      </c>
      <c r="C3" t="s">
        <v>1</v>
      </c>
      <c r="E3" t="s">
        <v>63</v>
      </c>
      <c r="F3" t="s">
        <v>64</v>
      </c>
      <c r="G3" t="s">
        <v>65</v>
      </c>
      <c r="H3" t="s">
        <v>63</v>
      </c>
      <c r="I3" t="s">
        <v>64</v>
      </c>
      <c r="J3" t="s">
        <v>65</v>
      </c>
    </row>
    <row r="4" spans="1:33" ht="24" customHeight="1" thickBot="1" x14ac:dyDescent="0.35">
      <c r="A4" s="48">
        <v>0</v>
      </c>
      <c r="B4" s="49">
        <v>34996.566694600202</v>
      </c>
      <c r="C4" s="49">
        <v>33406.943507173601</v>
      </c>
      <c r="E4" t="s">
        <v>66</v>
      </c>
      <c r="F4">
        <v>1</v>
      </c>
      <c r="G4" s="50">
        <f t="shared" ref="G4:G22" si="0">(F4/SUM($F$4:$F$22))*$F$23+F4</f>
        <v>1.1007751937984496</v>
      </c>
      <c r="H4" t="s">
        <v>66</v>
      </c>
      <c r="I4">
        <v>2</v>
      </c>
      <c r="J4" s="50">
        <f t="shared" ref="J4:J23" si="1">(I4/SUM($I$4:$I$23))*$I$24+I4</f>
        <v>2.4031007751937983</v>
      </c>
      <c r="U4" s="211" t="s">
        <v>67</v>
      </c>
      <c r="V4" s="212"/>
      <c r="W4" s="212"/>
      <c r="X4" s="212"/>
      <c r="Y4" s="212"/>
      <c r="Z4" s="212"/>
      <c r="AA4" s="212"/>
      <c r="AB4" s="212"/>
      <c r="AC4" s="212"/>
      <c r="AD4" s="212"/>
      <c r="AE4" s="212"/>
      <c r="AF4" s="212"/>
      <c r="AG4" s="213"/>
    </row>
    <row r="5" spans="1:33" ht="21.6" thickBot="1" x14ac:dyDescent="0.45">
      <c r="A5" s="48">
        <v>1</v>
      </c>
      <c r="B5" s="49">
        <v>34897.119236130602</v>
      </c>
      <c r="C5" s="49">
        <v>33288.618818190698</v>
      </c>
      <c r="E5" t="s">
        <v>68</v>
      </c>
      <c r="F5">
        <v>1</v>
      </c>
      <c r="G5" s="50">
        <f t="shared" si="0"/>
        <v>1.1007751937984496</v>
      </c>
      <c r="H5" t="s">
        <v>68</v>
      </c>
      <c r="I5">
        <v>5</v>
      </c>
      <c r="J5" s="50">
        <f t="shared" si="1"/>
        <v>6.0077519379844961</v>
      </c>
      <c r="U5" s="78" t="s">
        <v>69</v>
      </c>
      <c r="V5" s="79" t="s">
        <v>70</v>
      </c>
      <c r="W5" s="79" t="s">
        <v>71</v>
      </c>
      <c r="X5" s="79" t="s">
        <v>72</v>
      </c>
      <c r="Y5" s="80" t="s">
        <v>73</v>
      </c>
      <c r="Z5" s="79" t="s">
        <v>74</v>
      </c>
      <c r="AA5" s="79" t="s">
        <v>75</v>
      </c>
      <c r="AB5" s="79" t="s">
        <v>76</v>
      </c>
      <c r="AC5" s="80" t="s">
        <v>77</v>
      </c>
      <c r="AD5" s="79" t="s">
        <v>78</v>
      </c>
      <c r="AE5" s="79" t="s">
        <v>79</v>
      </c>
      <c r="AF5" s="79" t="s">
        <v>80</v>
      </c>
      <c r="AG5" s="81" t="s">
        <v>81</v>
      </c>
    </row>
    <row r="6" spans="1:33" x14ac:dyDescent="0.3">
      <c r="A6" s="48">
        <v>2</v>
      </c>
      <c r="B6" s="49">
        <v>34959.9965681256</v>
      </c>
      <c r="C6" s="49">
        <v>33288.484881885597</v>
      </c>
      <c r="E6" t="s">
        <v>82</v>
      </c>
      <c r="F6">
        <v>1</v>
      </c>
      <c r="G6" s="50">
        <f t="shared" si="0"/>
        <v>1.1007751937984496</v>
      </c>
      <c r="H6" t="s">
        <v>83</v>
      </c>
      <c r="I6">
        <v>1</v>
      </c>
      <c r="J6" s="50">
        <f t="shared" si="1"/>
        <v>1.2015503875968991</v>
      </c>
      <c r="U6" s="82">
        <v>1</v>
      </c>
      <c r="V6" s="63">
        <f t="shared" ref="V6:V27" si="2">O21/M21</f>
        <v>1.5372936571032574E-2</v>
      </c>
      <c r="W6" s="64">
        <f t="shared" ref="W6:W26" si="3">(V6*U6)/(1+(U6-S21)*V6)</f>
        <v>1.5160799884192489E-2</v>
      </c>
      <c r="X6" s="64">
        <f t="shared" ref="X6:X27" si="4">1-W6</f>
        <v>0.9848392001158075</v>
      </c>
      <c r="Y6" s="65">
        <v>100000</v>
      </c>
      <c r="Z6" s="65">
        <f t="shared" ref="Z6:Z27" si="5">Y6*W6</f>
        <v>1516.0799884192488</v>
      </c>
      <c r="AA6" s="66">
        <f t="shared" ref="AA6:AA26" si="6">Y7*U6+Z6*S21</f>
        <v>98620.063994540789</v>
      </c>
      <c r="AB6" s="64">
        <f t="shared" ref="AB6:AB26" si="7">AB7+AA6</f>
        <v>7038132.5805958472</v>
      </c>
      <c r="AC6" s="64">
        <f t="shared" ref="AC6:AC27" si="8">AB6/Y6</f>
        <v>70.381325805958468</v>
      </c>
      <c r="AD6" s="65">
        <f t="shared" ref="AD6:AD27" si="9">Z6*(Q21/O21)</f>
        <v>6.7719200658477723</v>
      </c>
      <c r="AE6" s="65">
        <v>0</v>
      </c>
      <c r="AF6" s="64">
        <f t="shared" ref="AF6:AF20" si="10">AD6*($AC$6-AE6-S21)</f>
        <v>476.00859406442669</v>
      </c>
      <c r="AG6" s="67">
        <f t="shared" ref="AG6:AG20" si="11">AF6/Y6</f>
        <v>4.7600859406442672E-3</v>
      </c>
    </row>
    <row r="7" spans="1:33" x14ac:dyDescent="0.3">
      <c r="A7" s="48">
        <v>3</v>
      </c>
      <c r="B7" s="49">
        <v>34992.3900719581</v>
      </c>
      <c r="C7" s="49">
        <v>33256.259419745598</v>
      </c>
      <c r="E7" t="s">
        <v>5</v>
      </c>
      <c r="F7">
        <v>2</v>
      </c>
      <c r="G7" s="50">
        <f t="shared" si="0"/>
        <v>2.2015503875968991</v>
      </c>
      <c r="H7" t="s">
        <v>82</v>
      </c>
      <c r="I7">
        <v>1</v>
      </c>
      <c r="J7" s="50">
        <f t="shared" si="1"/>
        <v>1.2015503875968991</v>
      </c>
      <c r="U7" s="83">
        <v>4</v>
      </c>
      <c r="V7" s="68">
        <f t="shared" si="2"/>
        <v>6.642631230868749E-4</v>
      </c>
      <c r="W7" s="69">
        <f t="shared" si="3"/>
        <v>2.652651046997519E-3</v>
      </c>
      <c r="X7" s="69">
        <f t="shared" si="4"/>
        <v>0.99734734895300248</v>
      </c>
      <c r="Y7" s="70">
        <f t="shared" ref="Y7:Y27" si="12">Y6-Z6</f>
        <v>98483.920011580747</v>
      </c>
      <c r="Z7" s="70">
        <f t="shared" si="5"/>
        <v>261.24347353113956</v>
      </c>
      <c r="AA7" s="71">
        <f t="shared" si="6"/>
        <v>393283.11997378955</v>
      </c>
      <c r="AB7" s="69">
        <f t="shared" si="7"/>
        <v>6939512.5166013064</v>
      </c>
      <c r="AC7" s="69">
        <f t="shared" si="8"/>
        <v>70.463406775291716</v>
      </c>
      <c r="AD7" s="70">
        <f t="shared" si="9"/>
        <v>23.735688998513297</v>
      </c>
      <c r="AE7" s="70">
        <v>1</v>
      </c>
      <c r="AF7" s="69">
        <f t="shared" si="10"/>
        <v>1611.1601931900884</v>
      </c>
      <c r="AG7" s="72">
        <f t="shared" si="11"/>
        <v>1.6359626962458761E-2</v>
      </c>
    </row>
    <row r="8" spans="1:33" x14ac:dyDescent="0.3">
      <c r="A8" s="48">
        <v>4</v>
      </c>
      <c r="B8" s="49">
        <v>34512.212120931799</v>
      </c>
      <c r="C8" s="49">
        <v>32674.553118759301</v>
      </c>
      <c r="E8" t="s">
        <v>6</v>
      </c>
      <c r="F8">
        <v>5</v>
      </c>
      <c r="G8" s="50">
        <f t="shared" si="0"/>
        <v>5.5038759689922481</v>
      </c>
      <c r="H8" t="s">
        <v>5</v>
      </c>
      <c r="I8">
        <v>3</v>
      </c>
      <c r="J8" s="50">
        <f t="shared" si="1"/>
        <v>3.6046511627906979</v>
      </c>
      <c r="U8" s="83">
        <v>5</v>
      </c>
      <c r="V8" s="68">
        <f t="shared" si="2"/>
        <v>2.6691101256839575E-4</v>
      </c>
      <c r="W8" s="69">
        <f t="shared" si="3"/>
        <v>1.3336651380609114E-3</v>
      </c>
      <c r="X8" s="69">
        <f t="shared" si="4"/>
        <v>0.99866633486193912</v>
      </c>
      <c r="Y8" s="70">
        <f t="shared" si="12"/>
        <v>98222.676538049607</v>
      </c>
      <c r="Z8" s="70">
        <f t="shared" si="5"/>
        <v>130.99615946583017</v>
      </c>
      <c r="AA8" s="71">
        <f t="shared" si="6"/>
        <v>490785.89229158347</v>
      </c>
      <c r="AB8" s="69">
        <f t="shared" si="7"/>
        <v>6546229.3966275165</v>
      </c>
      <c r="AC8" s="69">
        <f t="shared" si="8"/>
        <v>66.646823598740269</v>
      </c>
      <c r="AD8" s="70">
        <f t="shared" si="9"/>
        <v>9.7674865708126326</v>
      </c>
      <c r="AE8" s="70">
        <v>5</v>
      </c>
      <c r="AF8" s="69">
        <f t="shared" si="10"/>
        <v>614.19250536459322</v>
      </c>
      <c r="AG8" s="72">
        <f t="shared" si="11"/>
        <v>6.253062195130334E-3</v>
      </c>
    </row>
    <row r="9" spans="1:33" x14ac:dyDescent="0.3">
      <c r="A9" s="48">
        <v>5</v>
      </c>
      <c r="B9" s="49">
        <v>35385.257038694603</v>
      </c>
      <c r="C9" s="49">
        <v>33462.903750525198</v>
      </c>
      <c r="E9" t="s">
        <v>7</v>
      </c>
      <c r="F9">
        <v>8</v>
      </c>
      <c r="G9" s="50">
        <f t="shared" si="0"/>
        <v>8.8062015503875966</v>
      </c>
      <c r="H9" t="s">
        <v>6</v>
      </c>
      <c r="I9">
        <v>9</v>
      </c>
      <c r="J9" s="50">
        <f t="shared" si="1"/>
        <v>10.813953488372093</v>
      </c>
      <c r="U9" s="83">
        <v>5</v>
      </c>
      <c r="V9" s="68">
        <f t="shared" si="2"/>
        <v>3.4806893535597777E-4</v>
      </c>
      <c r="W9" s="69">
        <f t="shared" si="3"/>
        <v>1.738831593625997E-3</v>
      </c>
      <c r="X9" s="69">
        <f t="shared" si="4"/>
        <v>0.99826116840637402</v>
      </c>
      <c r="Y9" s="70">
        <f t="shared" si="12"/>
        <v>98091.680378583784</v>
      </c>
      <c r="Z9" s="70">
        <f t="shared" si="5"/>
        <v>170.56491291414477</v>
      </c>
      <c r="AA9" s="71">
        <f t="shared" si="6"/>
        <v>490031.98961063358</v>
      </c>
      <c r="AB9" s="69">
        <f t="shared" si="7"/>
        <v>6055443.5043359334</v>
      </c>
      <c r="AC9" s="69">
        <f t="shared" si="8"/>
        <v>61.732488229022223</v>
      </c>
      <c r="AD9" s="70">
        <f t="shared" si="9"/>
        <v>29.886965254290189</v>
      </c>
      <c r="AE9" s="70">
        <f t="shared" ref="AE9:AE27" si="13">+AE8+5</f>
        <v>10</v>
      </c>
      <c r="AF9" s="69">
        <f t="shared" si="10"/>
        <v>1729.8971732349307</v>
      </c>
      <c r="AG9" s="72">
        <f t="shared" si="11"/>
        <v>1.7635513700636089E-2</v>
      </c>
    </row>
    <row r="10" spans="1:33" x14ac:dyDescent="0.3">
      <c r="A10" s="48">
        <v>6</v>
      </c>
      <c r="B10" s="49">
        <v>36514.234840835597</v>
      </c>
      <c r="C10" s="49">
        <v>34610.675001827403</v>
      </c>
      <c r="E10" t="s">
        <v>8</v>
      </c>
      <c r="F10">
        <v>18</v>
      </c>
      <c r="G10" s="50">
        <f t="shared" si="0"/>
        <v>19.813953488372093</v>
      </c>
      <c r="H10" t="s">
        <v>7</v>
      </c>
      <c r="I10">
        <v>113</v>
      </c>
      <c r="J10" s="50">
        <f t="shared" si="1"/>
        <v>135.77519379844961</v>
      </c>
      <c r="U10" s="83">
        <v>5</v>
      </c>
      <c r="V10" s="68">
        <f t="shared" si="2"/>
        <v>1.8061762182719273E-3</v>
      </c>
      <c r="W10" s="69">
        <f t="shared" si="3"/>
        <v>8.990285989485456E-3</v>
      </c>
      <c r="X10" s="69">
        <f t="shared" si="4"/>
        <v>0.99100971401051452</v>
      </c>
      <c r="Y10" s="70">
        <f t="shared" si="12"/>
        <v>97921.115465669645</v>
      </c>
      <c r="Z10" s="70">
        <f t="shared" si="5"/>
        <v>880.33883244579738</v>
      </c>
      <c r="AA10" s="71">
        <f t="shared" si="6"/>
        <v>487404.73024723376</v>
      </c>
      <c r="AB10" s="69">
        <f t="shared" si="7"/>
        <v>5565411.5147252996</v>
      </c>
      <c r="AC10" s="69">
        <f t="shared" si="8"/>
        <v>56.835662954396064</v>
      </c>
      <c r="AD10" s="70">
        <f t="shared" si="9"/>
        <v>392.58839223310082</v>
      </c>
      <c r="AE10" s="70">
        <f t="shared" si="13"/>
        <v>15</v>
      </c>
      <c r="AF10" s="69">
        <f t="shared" si="10"/>
        <v>20760.594677316021</v>
      </c>
      <c r="AG10" s="72">
        <f t="shared" si="11"/>
        <v>0.21201346184209388</v>
      </c>
    </row>
    <row r="11" spans="1:33" x14ac:dyDescent="0.3">
      <c r="A11" s="48">
        <v>7</v>
      </c>
      <c r="B11" s="49">
        <v>36376.923679845298</v>
      </c>
      <c r="C11" s="49">
        <v>34549.2616082694</v>
      </c>
      <c r="E11" t="s">
        <v>9</v>
      </c>
      <c r="F11">
        <v>24</v>
      </c>
      <c r="G11" s="50">
        <f t="shared" si="0"/>
        <v>26.418604651162791</v>
      </c>
      <c r="H11" t="s">
        <v>8</v>
      </c>
      <c r="I11">
        <v>177</v>
      </c>
      <c r="J11" s="50">
        <f t="shared" si="1"/>
        <v>212.67441860465118</v>
      </c>
      <c r="U11" s="83">
        <v>5</v>
      </c>
      <c r="V11" s="68">
        <f t="shared" si="2"/>
        <v>2.8641197686993126E-3</v>
      </c>
      <c r="W11" s="69">
        <f t="shared" si="3"/>
        <v>1.4218788063547184E-2</v>
      </c>
      <c r="X11" s="69">
        <f t="shared" si="4"/>
        <v>0.98578121193645285</v>
      </c>
      <c r="Y11" s="70">
        <f t="shared" si="12"/>
        <v>97040.776633223853</v>
      </c>
      <c r="Z11" s="70">
        <f t="shared" si="5"/>
        <v>1379.8022364698318</v>
      </c>
      <c r="AA11" s="71">
        <f t="shared" si="6"/>
        <v>481754.37757494475</v>
      </c>
      <c r="AB11" s="69">
        <f t="shared" si="7"/>
        <v>5078006.7844780656</v>
      </c>
      <c r="AC11" s="69">
        <f t="shared" si="8"/>
        <v>52.328587637658167</v>
      </c>
      <c r="AD11" s="70">
        <f t="shared" si="9"/>
        <v>658.87507297600939</v>
      </c>
      <c r="AE11" s="70">
        <f t="shared" si="13"/>
        <v>20</v>
      </c>
      <c r="AF11" s="69">
        <f t="shared" si="10"/>
        <v>31547.812034588969</v>
      </c>
      <c r="AG11" s="72">
        <f t="shared" si="11"/>
        <v>0.3250985114621181</v>
      </c>
    </row>
    <row r="12" spans="1:33" x14ac:dyDescent="0.3">
      <c r="A12" s="48">
        <v>8</v>
      </c>
      <c r="B12" s="49">
        <v>36477.305860602602</v>
      </c>
      <c r="C12" s="49">
        <v>34714.785166932597</v>
      </c>
      <c r="E12" t="s">
        <v>10</v>
      </c>
      <c r="F12">
        <v>17</v>
      </c>
      <c r="G12" s="50">
        <f t="shared" si="0"/>
        <v>18.713178294573645</v>
      </c>
      <c r="H12" t="s">
        <v>9</v>
      </c>
      <c r="I12">
        <v>189</v>
      </c>
      <c r="J12" s="50">
        <f t="shared" si="1"/>
        <v>227.09302325581396</v>
      </c>
      <c r="U12" s="83">
        <v>5</v>
      </c>
      <c r="V12" s="68">
        <f t="shared" si="2"/>
        <v>3.2126064844740622E-3</v>
      </c>
      <c r="W12" s="69">
        <f t="shared" si="3"/>
        <v>1.5935049811483339E-2</v>
      </c>
      <c r="X12" s="69">
        <f t="shared" si="4"/>
        <v>0.9840649501885167</v>
      </c>
      <c r="Y12" s="70">
        <f t="shared" si="12"/>
        <v>95660.974396754027</v>
      </c>
      <c r="Z12" s="70">
        <f t="shared" si="5"/>
        <v>1524.3623920273078</v>
      </c>
      <c r="AA12" s="71">
        <f t="shared" si="6"/>
        <v>474493.96600370185</v>
      </c>
      <c r="AB12" s="69">
        <f t="shared" si="7"/>
        <v>4596252.4069031207</v>
      </c>
      <c r="AC12" s="69">
        <f t="shared" si="8"/>
        <v>48.047309113120228</v>
      </c>
      <c r="AD12" s="70">
        <f t="shared" si="9"/>
        <v>773.68047269700094</v>
      </c>
      <c r="AE12" s="70">
        <f t="shared" si="13"/>
        <v>25</v>
      </c>
      <c r="AF12" s="69">
        <f t="shared" si="10"/>
        <v>33176.444419428051</v>
      </c>
      <c r="AG12" s="72">
        <f t="shared" si="11"/>
        <v>0.34681273767742216</v>
      </c>
    </row>
    <row r="13" spans="1:33" x14ac:dyDescent="0.3">
      <c r="A13" s="48">
        <v>9</v>
      </c>
      <c r="B13" s="49">
        <v>36368.814506164701</v>
      </c>
      <c r="C13" s="49">
        <v>34659.735669565198</v>
      </c>
      <c r="E13" t="s">
        <v>11</v>
      </c>
      <c r="F13">
        <v>13</v>
      </c>
      <c r="G13" s="50">
        <f t="shared" si="0"/>
        <v>14.310077519379846</v>
      </c>
      <c r="H13" t="s">
        <v>10</v>
      </c>
      <c r="I13">
        <v>144</v>
      </c>
      <c r="J13" s="50">
        <f t="shared" si="1"/>
        <v>173.02325581395348</v>
      </c>
      <c r="U13" s="83">
        <v>5</v>
      </c>
      <c r="V13" s="68">
        <f t="shared" si="2"/>
        <v>3.4580251089474778E-3</v>
      </c>
      <c r="W13" s="69">
        <f t="shared" si="3"/>
        <v>1.7141932462558865E-2</v>
      </c>
      <c r="X13" s="69">
        <f t="shared" si="4"/>
        <v>0.98285806753744109</v>
      </c>
      <c r="Y13" s="70">
        <f t="shared" si="12"/>
        <v>94136.612004726718</v>
      </c>
      <c r="Z13" s="70">
        <f t="shared" si="5"/>
        <v>1613.6834452391336</v>
      </c>
      <c r="AA13" s="71">
        <f t="shared" si="6"/>
        <v>466648.85141053575</v>
      </c>
      <c r="AB13" s="69">
        <f t="shared" si="7"/>
        <v>4121758.4408994191</v>
      </c>
      <c r="AC13" s="69">
        <f t="shared" si="8"/>
        <v>43.784860673469538</v>
      </c>
      <c r="AD13" s="70">
        <f t="shared" si="9"/>
        <v>615.52133230840377</v>
      </c>
      <c r="AE13" s="70">
        <f t="shared" si="13"/>
        <v>30</v>
      </c>
      <c r="AF13" s="69">
        <f t="shared" si="10"/>
        <v>23316.764129692274</v>
      </c>
      <c r="AG13" s="72">
        <f t="shared" si="11"/>
        <v>0.2476907085685377</v>
      </c>
    </row>
    <row r="14" spans="1:33" x14ac:dyDescent="0.3">
      <c r="A14" s="48">
        <v>10</v>
      </c>
      <c r="B14" s="49">
        <v>36076.661916432</v>
      </c>
      <c r="C14" s="49">
        <v>34432.356066823399</v>
      </c>
      <c r="E14" t="s">
        <v>12</v>
      </c>
      <c r="F14">
        <v>17</v>
      </c>
      <c r="G14" s="50">
        <f t="shared" si="0"/>
        <v>18.713178294573645</v>
      </c>
      <c r="H14" t="s">
        <v>11</v>
      </c>
      <c r="I14">
        <v>154</v>
      </c>
      <c r="J14" s="50">
        <f t="shared" si="1"/>
        <v>185.03875968992247</v>
      </c>
      <c r="U14" s="83">
        <v>5</v>
      </c>
      <c r="V14" s="68">
        <f t="shared" si="2"/>
        <v>3.9811540146443636E-3</v>
      </c>
      <c r="W14" s="69">
        <f t="shared" si="3"/>
        <v>1.970960266379182E-2</v>
      </c>
      <c r="X14" s="69">
        <f t="shared" si="4"/>
        <v>0.98029039733620815</v>
      </c>
      <c r="Y14" s="70">
        <f t="shared" si="12"/>
        <v>92522.928559487584</v>
      </c>
      <c r="Z14" s="70">
        <f t="shared" si="5"/>
        <v>1823.5901591978968</v>
      </c>
      <c r="AA14" s="71">
        <f t="shared" si="6"/>
        <v>458055.66739944322</v>
      </c>
      <c r="AB14" s="69">
        <f t="shared" si="7"/>
        <v>3655109.5894888835</v>
      </c>
      <c r="AC14" s="69">
        <f t="shared" si="8"/>
        <v>39.504905934087809</v>
      </c>
      <c r="AD14" s="70">
        <f t="shared" si="9"/>
        <v>653.49926939326224</v>
      </c>
      <c r="AE14" s="70">
        <f t="shared" si="13"/>
        <v>35</v>
      </c>
      <c r="AF14" s="69">
        <f t="shared" si="10"/>
        <v>21487.922390875679</v>
      </c>
      <c r="AG14" s="72">
        <f t="shared" si="11"/>
        <v>0.23224429582403489</v>
      </c>
    </row>
    <row r="15" spans="1:33" x14ac:dyDescent="0.3">
      <c r="A15" s="48">
        <v>11</v>
      </c>
      <c r="B15" s="49">
        <v>35777.959133430697</v>
      </c>
      <c r="C15" s="49">
        <v>34211.6058281726</v>
      </c>
      <c r="E15" t="s">
        <v>13</v>
      </c>
      <c r="F15">
        <v>5</v>
      </c>
      <c r="G15" s="50">
        <f t="shared" si="0"/>
        <v>5.5038759689922481</v>
      </c>
      <c r="H15" t="s">
        <v>12</v>
      </c>
      <c r="I15">
        <v>135</v>
      </c>
      <c r="J15" s="50">
        <f t="shared" si="1"/>
        <v>162.2093023255814</v>
      </c>
      <c r="U15" s="83">
        <v>5</v>
      </c>
      <c r="V15" s="68">
        <f t="shared" si="2"/>
        <v>5.0504332329365806E-3</v>
      </c>
      <c r="W15" s="69">
        <f t="shared" si="3"/>
        <v>2.4937305671425734E-2</v>
      </c>
      <c r="X15" s="69">
        <f t="shared" si="4"/>
        <v>0.97506269432857429</v>
      </c>
      <c r="Y15" s="70">
        <f t="shared" si="12"/>
        <v>90699.338400289693</v>
      </c>
      <c r="Z15" s="70">
        <f t="shared" si="5"/>
        <v>2261.7971258841062</v>
      </c>
      <c r="AA15" s="71">
        <f t="shared" si="6"/>
        <v>447842.19918673811</v>
      </c>
      <c r="AB15" s="69">
        <f t="shared" si="7"/>
        <v>3197053.9220894403</v>
      </c>
      <c r="AC15" s="69">
        <f t="shared" si="8"/>
        <v>35.248922191468033</v>
      </c>
      <c r="AD15" s="70">
        <f t="shared" si="9"/>
        <v>578.10019397976805</v>
      </c>
      <c r="AE15" s="70">
        <f t="shared" si="13"/>
        <v>40</v>
      </c>
      <c r="AF15" s="69">
        <f t="shared" si="10"/>
        <v>16118.199856837704</v>
      </c>
      <c r="AG15" s="72">
        <f t="shared" si="11"/>
        <v>0.177710225246651</v>
      </c>
    </row>
    <row r="16" spans="1:33" x14ac:dyDescent="0.3">
      <c r="A16" s="48">
        <v>12</v>
      </c>
      <c r="B16" s="49">
        <v>35474.960817214996</v>
      </c>
      <c r="C16" s="49">
        <v>34000.026528769202</v>
      </c>
      <c r="E16" t="s">
        <v>14</v>
      </c>
      <c r="F16">
        <v>3</v>
      </c>
      <c r="G16" s="50">
        <f t="shared" si="0"/>
        <v>3.3023255813953489</v>
      </c>
      <c r="H16" t="s">
        <v>13</v>
      </c>
      <c r="I16">
        <v>85</v>
      </c>
      <c r="J16" s="50">
        <f t="shared" si="1"/>
        <v>102.13178294573643</v>
      </c>
      <c r="U16" s="83">
        <v>5</v>
      </c>
      <c r="V16" s="68">
        <f t="shared" si="2"/>
        <v>6.3557478737031091E-3</v>
      </c>
      <c r="W16" s="69">
        <f t="shared" si="3"/>
        <v>3.1281692984337951E-2</v>
      </c>
      <c r="X16" s="69">
        <f t="shared" si="4"/>
        <v>0.96871830701566208</v>
      </c>
      <c r="Y16" s="70">
        <f t="shared" si="12"/>
        <v>88437.541274405579</v>
      </c>
      <c r="Z16" s="70">
        <f t="shared" si="5"/>
        <v>2766.476014435671</v>
      </c>
      <c r="AA16" s="71">
        <f t="shared" si="6"/>
        <v>435271.51633593871</v>
      </c>
      <c r="AB16" s="69">
        <f t="shared" si="7"/>
        <v>2749211.7229027022</v>
      </c>
      <c r="AC16" s="69">
        <f t="shared" si="8"/>
        <v>31.086478471539582</v>
      </c>
      <c r="AD16" s="70">
        <f t="shared" si="9"/>
        <v>391.29976362824601</v>
      </c>
      <c r="AE16" s="70">
        <f t="shared" si="13"/>
        <v>45</v>
      </c>
      <c r="AF16" s="69">
        <f t="shared" si="10"/>
        <v>8953.4573793724339</v>
      </c>
      <c r="AG16" s="72">
        <f t="shared" si="11"/>
        <v>0.10124046022029815</v>
      </c>
    </row>
    <row r="17" spans="1:33" x14ac:dyDescent="0.3">
      <c r="A17" s="48">
        <v>13</v>
      </c>
      <c r="B17" s="49">
        <v>35147.569311445499</v>
      </c>
      <c r="C17" s="49">
        <v>33757.798540785901</v>
      </c>
      <c r="E17" t="s">
        <v>15</v>
      </c>
      <c r="F17">
        <v>6</v>
      </c>
      <c r="G17" s="50">
        <f t="shared" si="0"/>
        <v>6.6046511627906979</v>
      </c>
      <c r="H17" t="s">
        <v>14</v>
      </c>
      <c r="I17">
        <v>51</v>
      </c>
      <c r="J17" s="50">
        <f t="shared" si="1"/>
        <v>61.279069767441861</v>
      </c>
      <c r="U17" s="83">
        <v>5</v>
      </c>
      <c r="V17" s="68">
        <f t="shared" si="2"/>
        <v>8.8460745008711907E-3</v>
      </c>
      <c r="W17" s="69">
        <f t="shared" si="3"/>
        <v>4.3273373783376465E-2</v>
      </c>
      <c r="X17" s="69">
        <f t="shared" si="4"/>
        <v>0.95672662621662352</v>
      </c>
      <c r="Y17" s="70">
        <f t="shared" si="12"/>
        <v>85671.06525996991</v>
      </c>
      <c r="Z17" s="70">
        <f t="shared" si="5"/>
        <v>3707.276029414716</v>
      </c>
      <c r="AA17" s="71">
        <f t="shared" si="6"/>
        <v>419087.13622631272</v>
      </c>
      <c r="AB17" s="69">
        <f t="shared" si="7"/>
        <v>2313940.2065667636</v>
      </c>
      <c r="AC17" s="69">
        <f t="shared" si="8"/>
        <v>27.009588354540512</v>
      </c>
      <c r="AD17" s="70">
        <f t="shared" si="9"/>
        <v>276.42618668564245</v>
      </c>
      <c r="AE17" s="70">
        <f t="shared" si="13"/>
        <v>50</v>
      </c>
      <c r="AF17" s="69">
        <f t="shared" si="10"/>
        <v>4942.8667054246716</v>
      </c>
      <c r="AG17" s="72">
        <f t="shared" si="11"/>
        <v>5.769587071697406E-2</v>
      </c>
    </row>
    <row r="18" spans="1:33" ht="15" thickBot="1" x14ac:dyDescent="0.35">
      <c r="A18" s="48">
        <v>14</v>
      </c>
      <c r="B18" s="49">
        <v>34830.350549279297</v>
      </c>
      <c r="C18" s="49">
        <v>33546.947103381302</v>
      </c>
      <c r="E18" t="s">
        <v>16</v>
      </c>
      <c r="F18">
        <v>2</v>
      </c>
      <c r="G18" s="50">
        <f t="shared" si="0"/>
        <v>2.2015503875968991</v>
      </c>
      <c r="H18" t="s">
        <v>15</v>
      </c>
      <c r="I18">
        <v>32</v>
      </c>
      <c r="J18" s="50">
        <f t="shared" si="1"/>
        <v>38.449612403100772</v>
      </c>
      <c r="U18" s="83">
        <v>5</v>
      </c>
      <c r="V18" s="68">
        <f t="shared" si="2"/>
        <v>1.2523233615692004E-2</v>
      </c>
      <c r="W18" s="69">
        <f t="shared" si="3"/>
        <v>6.0715288716846866E-2</v>
      </c>
      <c r="X18" s="69">
        <f t="shared" si="4"/>
        <v>0.93928471128315316</v>
      </c>
      <c r="Y18" s="70">
        <f t="shared" si="12"/>
        <v>81963.789230555194</v>
      </c>
      <c r="Z18" s="70">
        <f t="shared" si="5"/>
        <v>4976.4551274599426</v>
      </c>
      <c r="AA18" s="71">
        <f t="shared" si="6"/>
        <v>397377.80833412614</v>
      </c>
      <c r="AB18" s="69">
        <f t="shared" si="7"/>
        <v>1894853.0703404509</v>
      </c>
      <c r="AC18" s="69">
        <f t="shared" si="8"/>
        <v>23.118173136315551</v>
      </c>
      <c r="AD18" s="70">
        <f t="shared" si="9"/>
        <v>212.11497987970409</v>
      </c>
      <c r="AE18" s="70">
        <f t="shared" si="13"/>
        <v>55</v>
      </c>
      <c r="AF18" s="69">
        <f t="shared" si="10"/>
        <v>2732.3221641547934</v>
      </c>
      <c r="AG18" s="72">
        <f t="shared" si="11"/>
        <v>3.3335722882077465E-2</v>
      </c>
    </row>
    <row r="19" spans="1:33" ht="31.95" customHeight="1" thickBot="1" x14ac:dyDescent="0.35">
      <c r="A19" s="48">
        <v>15</v>
      </c>
      <c r="B19" s="49">
        <v>34500.110166016697</v>
      </c>
      <c r="C19" s="49">
        <v>33416.474454748197</v>
      </c>
      <c r="E19" t="s">
        <v>17</v>
      </c>
      <c r="F19">
        <v>3</v>
      </c>
      <c r="G19" s="50">
        <f t="shared" si="0"/>
        <v>3.3023255813953489</v>
      </c>
      <c r="H19" t="s">
        <v>16</v>
      </c>
      <c r="I19">
        <v>23</v>
      </c>
      <c r="J19" s="50">
        <f t="shared" si="1"/>
        <v>27.635658914728683</v>
      </c>
      <c r="L19" s="120"/>
      <c r="M19" s="214" t="s">
        <v>29</v>
      </c>
      <c r="N19" s="214"/>
      <c r="O19" s="214" t="s">
        <v>84</v>
      </c>
      <c r="P19" s="214"/>
      <c r="Q19" s="214" t="s">
        <v>85</v>
      </c>
      <c r="R19" s="214"/>
      <c r="S19" s="121"/>
      <c r="U19" s="83">
        <v>5</v>
      </c>
      <c r="V19" s="68">
        <f t="shared" si="2"/>
        <v>1.7676860734541146E-2</v>
      </c>
      <c r="W19" s="69">
        <f t="shared" si="3"/>
        <v>8.4643715734953565E-2</v>
      </c>
      <c r="X19" s="69">
        <f t="shared" si="4"/>
        <v>0.91535628426504645</v>
      </c>
      <c r="Y19" s="70">
        <f t="shared" si="12"/>
        <v>76987.334103095258</v>
      </c>
      <c r="Z19" s="70">
        <f t="shared" si="5"/>
        <v>6516.4940230142911</v>
      </c>
      <c r="AA19" s="71">
        <f t="shared" si="6"/>
        <v>368645.43545794056</v>
      </c>
      <c r="AB19" s="69">
        <f t="shared" si="7"/>
        <v>1497475.2620063247</v>
      </c>
      <c r="AC19" s="69">
        <f t="shared" si="8"/>
        <v>19.450930201077309</v>
      </c>
      <c r="AD19" s="70">
        <f t="shared" si="9"/>
        <v>189.68849857860988</v>
      </c>
      <c r="AE19" s="70">
        <f t="shared" si="13"/>
        <v>60</v>
      </c>
      <c r="AF19" s="69">
        <f t="shared" si="10"/>
        <v>1494.9968589411144</v>
      </c>
      <c r="AG19" s="72">
        <f t="shared" si="11"/>
        <v>1.9418737852893237E-2</v>
      </c>
    </row>
    <row r="20" spans="1:33" ht="16.2" thickBot="1" x14ac:dyDescent="0.35">
      <c r="A20" s="48">
        <v>16</v>
      </c>
      <c r="B20" s="49">
        <v>34121.960626001201</v>
      </c>
      <c r="C20" s="49">
        <v>33286.835675141701</v>
      </c>
      <c r="E20" t="s">
        <v>86</v>
      </c>
      <c r="F20">
        <v>1</v>
      </c>
      <c r="G20" s="50">
        <f t="shared" si="0"/>
        <v>1.1007751937984496</v>
      </c>
      <c r="H20" t="s">
        <v>17</v>
      </c>
      <c r="I20">
        <v>14</v>
      </c>
      <c r="J20" s="50">
        <f t="shared" si="1"/>
        <v>16.821705426356591</v>
      </c>
      <c r="L20" s="134" t="s">
        <v>3</v>
      </c>
      <c r="M20" s="129" t="s">
        <v>0</v>
      </c>
      <c r="N20" s="127" t="s">
        <v>1</v>
      </c>
      <c r="O20" s="126" t="s">
        <v>0</v>
      </c>
      <c r="P20" s="127" t="s">
        <v>1</v>
      </c>
      <c r="Q20" s="126" t="s">
        <v>0</v>
      </c>
      <c r="R20" s="127" t="s">
        <v>1</v>
      </c>
      <c r="S20" s="128" t="s">
        <v>87</v>
      </c>
      <c r="U20" s="83">
        <v>5</v>
      </c>
      <c r="V20" s="68">
        <f t="shared" si="2"/>
        <v>2.7677586261861044E-2</v>
      </c>
      <c r="W20" s="69">
        <f t="shared" si="3"/>
        <v>0.12943201678525393</v>
      </c>
      <c r="X20" s="69">
        <f t="shared" si="4"/>
        <v>0.87056798321474604</v>
      </c>
      <c r="Y20" s="70">
        <f t="shared" si="12"/>
        <v>70470.840080080961</v>
      </c>
      <c r="Z20" s="70">
        <f t="shared" si="5"/>
        <v>9121.1829561159848</v>
      </c>
      <c r="AA20" s="71">
        <f t="shared" si="6"/>
        <v>329551.24301011488</v>
      </c>
      <c r="AB20" s="69">
        <f t="shared" si="7"/>
        <v>1128829.826548384</v>
      </c>
      <c r="AC20" s="69">
        <f t="shared" si="8"/>
        <v>16.018396052404306</v>
      </c>
      <c r="AD20" s="70">
        <f t="shared" si="9"/>
        <v>139.67182660520433</v>
      </c>
      <c r="AE20" s="70">
        <f t="shared" si="13"/>
        <v>65</v>
      </c>
      <c r="AF20" s="69">
        <f t="shared" si="10"/>
        <v>402.44003836293183</v>
      </c>
      <c r="AG20" s="72">
        <f t="shared" si="11"/>
        <v>5.7107313877003728E-3</v>
      </c>
    </row>
    <row r="21" spans="1:33" x14ac:dyDescent="0.3">
      <c r="A21" s="48">
        <v>17</v>
      </c>
      <c r="B21" s="49">
        <v>33727.974465507497</v>
      </c>
      <c r="C21" s="49">
        <v>33139.215338947797</v>
      </c>
      <c r="E21" t="s">
        <v>88</v>
      </c>
      <c r="F21">
        <v>1</v>
      </c>
      <c r="G21" s="50">
        <f t="shared" si="0"/>
        <v>1.1007751937984496</v>
      </c>
      <c r="H21" t="s">
        <v>18</v>
      </c>
      <c r="I21">
        <v>11</v>
      </c>
      <c r="J21" s="50">
        <f t="shared" si="1"/>
        <v>13.217054263565892</v>
      </c>
      <c r="L21" s="135">
        <v>0</v>
      </c>
      <c r="M21" s="130">
        <f>B4</f>
        <v>34996.566694600202</v>
      </c>
      <c r="N21" s="123">
        <f>C4</f>
        <v>33406.943507173601</v>
      </c>
      <c r="O21" s="122">
        <v>538</v>
      </c>
      <c r="P21" s="123">
        <v>408</v>
      </c>
      <c r="Q21" s="124">
        <f>J4</f>
        <v>2.4031007751937983</v>
      </c>
      <c r="R21" s="123">
        <v>1</v>
      </c>
      <c r="S21" s="125">
        <v>8.9800000000000005E-2</v>
      </c>
      <c r="U21" s="83">
        <v>5</v>
      </c>
      <c r="V21" s="68">
        <f t="shared" si="2"/>
        <v>4.081078446692938E-2</v>
      </c>
      <c r="W21" s="69">
        <f t="shared" si="3"/>
        <v>0.18516236854904394</v>
      </c>
      <c r="X21" s="69">
        <f t="shared" si="4"/>
        <v>0.814837631450956</v>
      </c>
      <c r="Y21" s="70">
        <f t="shared" si="12"/>
        <v>61349.657123964978</v>
      </c>
      <c r="Z21" s="70">
        <f t="shared" si="5"/>
        <v>11359.647822745083</v>
      </c>
      <c r="AA21" s="71">
        <f t="shared" si="6"/>
        <v>278349.16606296215</v>
      </c>
      <c r="AB21" s="69">
        <f t="shared" si="7"/>
        <v>799278.58353826916</v>
      </c>
      <c r="AC21" s="69">
        <f t="shared" si="8"/>
        <v>13.028248583740616</v>
      </c>
      <c r="AD21" s="70">
        <f t="shared" si="9"/>
        <v>125.18718241526066</v>
      </c>
      <c r="AE21" s="70">
        <f t="shared" si="13"/>
        <v>70</v>
      </c>
      <c r="AF21" s="69"/>
      <c r="AG21" s="72"/>
    </row>
    <row r="22" spans="1:33" x14ac:dyDescent="0.3">
      <c r="A22" s="48">
        <v>18</v>
      </c>
      <c r="B22" s="49">
        <v>33353.551381839898</v>
      </c>
      <c r="C22" s="49">
        <v>33026.4840936935</v>
      </c>
      <c r="E22" t="s">
        <v>89</v>
      </c>
      <c r="F22">
        <v>1</v>
      </c>
      <c r="G22" s="50">
        <f t="shared" si="0"/>
        <v>1.1007751937984496</v>
      </c>
      <c r="H22" t="s">
        <v>86</v>
      </c>
      <c r="I22">
        <v>8</v>
      </c>
      <c r="J22" s="50">
        <f t="shared" si="1"/>
        <v>9.6124031007751931</v>
      </c>
      <c r="L22" s="136" t="s">
        <v>90</v>
      </c>
      <c r="M22" s="131">
        <f>SUM(B5:B8)</f>
        <v>139361.7179971461</v>
      </c>
      <c r="N22" s="111">
        <f>SUM(C5:C8)</f>
        <v>132507.91623858118</v>
      </c>
      <c r="O22" s="108">
        <f>SUM(J29:J32)</f>
        <v>92.572850035536604</v>
      </c>
      <c r="P22" s="111">
        <f>SUM(G29:G32)</f>
        <v>99.276150627615067</v>
      </c>
      <c r="Q22" s="109">
        <f>SUM(J5:J7)</f>
        <v>8.4108527131782953</v>
      </c>
      <c r="R22" s="111">
        <v>2</v>
      </c>
      <c r="S22" s="114">
        <v>1.5021</v>
      </c>
      <c r="U22" s="83">
        <v>5</v>
      </c>
      <c r="V22" s="68">
        <f t="shared" si="2"/>
        <v>6.1100526920695772E-2</v>
      </c>
      <c r="W22" s="69">
        <f t="shared" si="3"/>
        <v>0.26502041682205407</v>
      </c>
      <c r="X22" s="69">
        <f t="shared" si="4"/>
        <v>0.73497958317794598</v>
      </c>
      <c r="Y22" s="70">
        <f t="shared" si="12"/>
        <v>49990.009301219892</v>
      </c>
      <c r="Z22" s="70">
        <f t="shared" si="5"/>
        <v>13248.373101947656</v>
      </c>
      <c r="AA22" s="71">
        <f t="shared" si="6"/>
        <v>216829.11375123032</v>
      </c>
      <c r="AB22" s="69">
        <f t="shared" si="7"/>
        <v>520929.41747530701</v>
      </c>
      <c r="AC22" s="69">
        <f t="shared" si="8"/>
        <v>10.420670545116201</v>
      </c>
      <c r="AD22" s="70">
        <f t="shared" si="9"/>
        <v>101.31697020428902</v>
      </c>
      <c r="AE22" s="70">
        <f t="shared" si="13"/>
        <v>75</v>
      </c>
      <c r="AF22" s="69"/>
      <c r="AG22" s="72"/>
    </row>
    <row r="23" spans="1:33" x14ac:dyDescent="0.3">
      <c r="A23" s="48">
        <v>19</v>
      </c>
      <c r="B23" s="49">
        <v>32863.464987628198</v>
      </c>
      <c r="C23" s="49">
        <v>32832.712411671899</v>
      </c>
      <c r="E23" t="s">
        <v>91</v>
      </c>
      <c r="F23">
        <v>13</v>
      </c>
      <c r="G23" s="50"/>
      <c r="H23" t="s">
        <v>88</v>
      </c>
      <c r="I23">
        <v>4</v>
      </c>
      <c r="J23" s="50">
        <f t="shared" si="1"/>
        <v>4.8062015503875966</v>
      </c>
      <c r="L23" s="136" t="s">
        <v>92</v>
      </c>
      <c r="M23" s="131">
        <f>SUM(B9:B13)</f>
        <v>181122.53592614277</v>
      </c>
      <c r="N23" s="111">
        <f>SUM(C9:C13)</f>
        <v>171997.36119711981</v>
      </c>
      <c r="O23" s="108">
        <v>48.343599463002398</v>
      </c>
      <c r="P23" s="111">
        <v>36.100418410041797</v>
      </c>
      <c r="Q23" s="110">
        <v>3.6046511627907001</v>
      </c>
      <c r="R23" s="113">
        <v>2.2015503875969</v>
      </c>
      <c r="S23" s="115">
        <v>2.5</v>
      </c>
      <c r="U23" s="83">
        <v>5</v>
      </c>
      <c r="V23" s="68">
        <f t="shared" si="2"/>
        <v>9.0886077674601259E-2</v>
      </c>
      <c r="W23" s="69">
        <f t="shared" si="3"/>
        <v>0.37029397168948786</v>
      </c>
      <c r="X23" s="69">
        <f t="shared" si="4"/>
        <v>0.62970602831051214</v>
      </c>
      <c r="Y23" s="70">
        <f t="shared" si="12"/>
        <v>36741.636199272238</v>
      </c>
      <c r="Z23" s="70">
        <f t="shared" si="5"/>
        <v>13605.206394598776</v>
      </c>
      <c r="AA23" s="71">
        <f t="shared" si="6"/>
        <v>149695.16500986426</v>
      </c>
      <c r="AB23" s="69">
        <f t="shared" si="7"/>
        <v>304100.30372407672</v>
      </c>
      <c r="AC23" s="69">
        <f t="shared" si="8"/>
        <v>8.2767218660256674</v>
      </c>
      <c r="AD23" s="70">
        <f t="shared" si="9"/>
        <v>57.015261591195141</v>
      </c>
      <c r="AE23" s="70">
        <f t="shared" si="13"/>
        <v>80</v>
      </c>
      <c r="AF23" s="69"/>
      <c r="AG23" s="72"/>
    </row>
    <row r="24" spans="1:33" x14ac:dyDescent="0.3">
      <c r="A24" s="48">
        <v>20</v>
      </c>
      <c r="B24" s="49">
        <v>32365.568085752901</v>
      </c>
      <c r="C24" s="49">
        <v>32641.1445949648</v>
      </c>
      <c r="H24" t="s">
        <v>91</v>
      </c>
      <c r="I24">
        <v>234</v>
      </c>
      <c r="L24" s="136" t="s">
        <v>93</v>
      </c>
      <c r="M24" s="131">
        <f>SUM(B14:B18)</f>
        <v>177307.5017278025</v>
      </c>
      <c r="N24" s="111">
        <f>SUM(C14:C18)</f>
        <v>169948.73406793241</v>
      </c>
      <c r="O24" s="108">
        <v>61.715233357024402</v>
      </c>
      <c r="P24" s="111">
        <v>57.158995815899601</v>
      </c>
      <c r="Q24" s="110">
        <v>10.8139534883721</v>
      </c>
      <c r="R24" s="113">
        <v>5.5038759689922498</v>
      </c>
      <c r="S24" s="115">
        <v>2.5</v>
      </c>
      <c r="U24" s="83">
        <v>5</v>
      </c>
      <c r="V24" s="68">
        <f t="shared" si="2"/>
        <v>0.12701697606420798</v>
      </c>
      <c r="W24" s="69">
        <f t="shared" si="3"/>
        <v>0.48202233261166572</v>
      </c>
      <c r="X24" s="69">
        <f t="shared" si="4"/>
        <v>0.51797766738833428</v>
      </c>
      <c r="Y24" s="70">
        <f t="shared" si="12"/>
        <v>23136.429804673462</v>
      </c>
      <c r="Z24" s="70">
        <f t="shared" si="5"/>
        <v>11152.275862754768</v>
      </c>
      <c r="AA24" s="71">
        <f t="shared" si="6"/>
        <v>87801.459366480383</v>
      </c>
      <c r="AB24" s="69">
        <f t="shared" si="7"/>
        <v>154405.13871421249</v>
      </c>
      <c r="AC24" s="69">
        <f t="shared" si="8"/>
        <v>6.6736804259671603</v>
      </c>
      <c r="AD24" s="70">
        <f t="shared" si="9"/>
        <v>0</v>
      </c>
      <c r="AE24" s="70">
        <f t="shared" si="13"/>
        <v>85</v>
      </c>
      <c r="AF24" s="69"/>
      <c r="AG24" s="72"/>
    </row>
    <row r="25" spans="1:33" x14ac:dyDescent="0.3">
      <c r="A25" s="48">
        <v>21</v>
      </c>
      <c r="B25" s="49">
        <v>31826.535192810799</v>
      </c>
      <c r="C25" s="49">
        <v>32368.819752264</v>
      </c>
      <c r="L25" s="136" t="s">
        <v>94</v>
      </c>
      <c r="M25" s="131">
        <f>SUM(B19:B23)</f>
        <v>168567.0616269935</v>
      </c>
      <c r="N25" s="111">
        <f>SUM(C19:C23)</f>
        <v>165701.7219742031</v>
      </c>
      <c r="O25" s="108">
        <v>304.46181789465402</v>
      </c>
      <c r="P25" s="111">
        <v>99.276150627615095</v>
      </c>
      <c r="Q25" s="110">
        <v>135.77519379845</v>
      </c>
      <c r="R25" s="113">
        <v>8.8062015503876001</v>
      </c>
      <c r="S25" s="115">
        <v>2.5</v>
      </c>
      <c r="U25" s="83">
        <v>5</v>
      </c>
      <c r="V25" s="68">
        <f t="shared" si="2"/>
        <v>0.16804599038762225</v>
      </c>
      <c r="W25" s="69">
        <f t="shared" si="3"/>
        <v>0.59166332737583904</v>
      </c>
      <c r="X25" s="69">
        <f t="shared" si="4"/>
        <v>0.40833667262416096</v>
      </c>
      <c r="Y25" s="70">
        <f t="shared" si="12"/>
        <v>11984.153941918694</v>
      </c>
      <c r="Z25" s="70">
        <f t="shared" si="5"/>
        <v>7090.5843970598917</v>
      </c>
      <c r="AA25" s="71">
        <f t="shared" si="6"/>
        <v>42194.308716943735</v>
      </c>
      <c r="AB25" s="69">
        <f t="shared" si="7"/>
        <v>66603.679347732104</v>
      </c>
      <c r="AC25" s="69">
        <f t="shared" si="8"/>
        <v>5.5576455101067141</v>
      </c>
      <c r="AD25" s="70">
        <f t="shared" si="9"/>
        <v>0</v>
      </c>
      <c r="AE25" s="70">
        <f t="shared" si="13"/>
        <v>90</v>
      </c>
      <c r="AF25" s="69"/>
      <c r="AG25" s="72"/>
    </row>
    <row r="26" spans="1:33" x14ac:dyDescent="0.3">
      <c r="A26" s="48">
        <v>22</v>
      </c>
      <c r="B26" s="49">
        <v>31056.978806310799</v>
      </c>
      <c r="C26" s="49">
        <v>31824.408750850602</v>
      </c>
      <c r="L26" s="136" t="s">
        <v>95</v>
      </c>
      <c r="M26" s="131">
        <f>SUM(B24:B28)</f>
        <v>155502.66865950701</v>
      </c>
      <c r="N26" s="111">
        <f>SUM(C24:C28)</f>
        <v>159116.8266314076</v>
      </c>
      <c r="O26" s="108">
        <v>445.37826739319303</v>
      </c>
      <c r="P26" s="111">
        <v>128.357043235704</v>
      </c>
      <c r="Q26" s="110">
        <v>212.67441860465101</v>
      </c>
      <c r="R26" s="113">
        <v>19.8139534883721</v>
      </c>
      <c r="S26" s="115">
        <v>2.5</v>
      </c>
      <c r="U26" s="83">
        <v>5</v>
      </c>
      <c r="V26" s="68">
        <f t="shared" si="2"/>
        <v>0.20122741169946182</v>
      </c>
      <c r="W26" s="69">
        <f t="shared" si="3"/>
        <v>0.66938867983634198</v>
      </c>
      <c r="X26" s="69">
        <f t="shared" si="4"/>
        <v>0.33061132016365802</v>
      </c>
      <c r="Y26" s="70">
        <f t="shared" si="12"/>
        <v>4893.5695448588021</v>
      </c>
      <c r="Z26" s="70">
        <f t="shared" si="5"/>
        <v>3275.7000573203622</v>
      </c>
      <c r="AA26" s="71">
        <f t="shared" si="6"/>
        <v>16278.597580993104</v>
      </c>
      <c r="AB26" s="69">
        <f t="shared" si="7"/>
        <v>24409.370630788377</v>
      </c>
      <c r="AC26" s="69">
        <f t="shared" si="8"/>
        <v>4.9880502171329981</v>
      </c>
      <c r="AD26" s="70">
        <f t="shared" si="9"/>
        <v>0</v>
      </c>
      <c r="AE26" s="70">
        <f t="shared" si="13"/>
        <v>95</v>
      </c>
      <c r="AF26" s="69"/>
      <c r="AG26" s="72"/>
    </row>
    <row r="27" spans="1:33" ht="15" thickBot="1" x14ac:dyDescent="0.35">
      <c r="A27" s="48">
        <v>23</v>
      </c>
      <c r="B27" s="49">
        <v>30391.4149941744</v>
      </c>
      <c r="C27" s="49">
        <v>31340.3081040004</v>
      </c>
      <c r="E27" t="s">
        <v>63</v>
      </c>
      <c r="F27" t="s">
        <v>64</v>
      </c>
      <c r="G27" t="s">
        <v>96</v>
      </c>
      <c r="H27" t="s">
        <v>63</v>
      </c>
      <c r="I27" t="s">
        <v>64</v>
      </c>
      <c r="J27" t="s">
        <v>65</v>
      </c>
      <c r="L27" s="136" t="s">
        <v>97</v>
      </c>
      <c r="M27" s="131">
        <f>SUM(B29:B33)</f>
        <v>139274.8984355228</v>
      </c>
      <c r="N27" s="111">
        <f>SUM(C29:C33)</f>
        <v>146019.98976789092</v>
      </c>
      <c r="O27" s="108">
        <v>447.43544183842698</v>
      </c>
      <c r="P27" s="111">
        <v>114.317991631799</v>
      </c>
      <c r="Q27" s="110">
        <v>227.09302325581399</v>
      </c>
      <c r="R27" s="113">
        <v>26.418604651162799</v>
      </c>
      <c r="S27" s="115">
        <v>2.5</v>
      </c>
      <c r="U27" s="84"/>
      <c r="V27" s="73">
        <f t="shared" si="2"/>
        <v>0.19898101664259055</v>
      </c>
      <c r="W27" s="74">
        <v>1</v>
      </c>
      <c r="X27" s="74">
        <f t="shared" si="4"/>
        <v>0</v>
      </c>
      <c r="Y27" s="75">
        <f t="shared" si="12"/>
        <v>1617.8694875384399</v>
      </c>
      <c r="Z27" s="75">
        <f t="shared" si="5"/>
        <v>1617.8694875384399</v>
      </c>
      <c r="AA27" s="76">
        <f>Z27/V27</f>
        <v>8130.7730497952725</v>
      </c>
      <c r="AB27" s="74">
        <f>AA27</f>
        <v>8130.7730497952725</v>
      </c>
      <c r="AC27" s="74">
        <f t="shared" si="8"/>
        <v>5.0256050394807197</v>
      </c>
      <c r="AD27" s="75">
        <f t="shared" si="9"/>
        <v>0</v>
      </c>
      <c r="AE27" s="75">
        <f t="shared" si="13"/>
        <v>100</v>
      </c>
      <c r="AF27" s="74"/>
      <c r="AG27" s="77"/>
    </row>
    <row r="28" spans="1:33" ht="18" x14ac:dyDescent="0.35">
      <c r="A28" s="48">
        <v>24</v>
      </c>
      <c r="B28" s="49">
        <v>29862.1715804581</v>
      </c>
      <c r="C28" s="49">
        <v>30942.1454293278</v>
      </c>
      <c r="E28" t="s">
        <v>66</v>
      </c>
      <c r="F28">
        <v>407</v>
      </c>
      <c r="G28" s="50">
        <f t="shared" ref="G28:G53" si="14">(F28/SUM($F$28:$F$53))*$F$54+F28</f>
        <v>408.13528591352861</v>
      </c>
      <c r="H28" t="s">
        <v>66</v>
      </c>
      <c r="I28">
        <v>523</v>
      </c>
      <c r="J28" s="50">
        <f t="shared" ref="J28:J54" si="15">(I28/SUM($I$28:$I$54))*$I$55+I28</f>
        <v>537.95111742872939</v>
      </c>
      <c r="L28" s="136" t="s">
        <v>98</v>
      </c>
      <c r="M28" s="131">
        <f>SUM(B34:B38)</f>
        <v>131175.15081091871</v>
      </c>
      <c r="N28" s="111">
        <f>SUM(C34:C38)</f>
        <v>140496.06552070621</v>
      </c>
      <c r="O28" s="108">
        <v>453.60696517412902</v>
      </c>
      <c r="P28" s="111">
        <v>154.42956764295701</v>
      </c>
      <c r="Q28" s="110">
        <v>173.023255813953</v>
      </c>
      <c r="R28" s="113">
        <v>18.713178294573598</v>
      </c>
      <c r="S28" s="115">
        <v>2.5</v>
      </c>
      <c r="U28" s="60"/>
      <c r="V28" s="60"/>
      <c r="W28" s="60"/>
      <c r="X28" s="60"/>
      <c r="Y28" s="61"/>
      <c r="Z28" s="60"/>
      <c r="AA28" s="60"/>
      <c r="AB28" s="60"/>
      <c r="AC28" s="60"/>
      <c r="AD28" s="60"/>
      <c r="AE28" s="60"/>
      <c r="AF28" s="62">
        <f>SUM(AF6:AF27)</f>
        <v>169365.07912084868</v>
      </c>
      <c r="AG28" s="62">
        <f>SUM(AG6:AG27)</f>
        <v>1.8039797524796704</v>
      </c>
    </row>
    <row r="29" spans="1:33" ht="15" thickBot="1" x14ac:dyDescent="0.35">
      <c r="A29" s="48">
        <v>25</v>
      </c>
      <c r="B29" s="49">
        <v>29206.6042497118</v>
      </c>
      <c r="C29" s="49">
        <v>30379.123232112201</v>
      </c>
      <c r="E29" t="s">
        <v>68</v>
      </c>
      <c r="F29">
        <v>43</v>
      </c>
      <c r="G29" s="50">
        <f t="shared" si="14"/>
        <v>43.119944211994422</v>
      </c>
      <c r="H29" t="s">
        <v>68</v>
      </c>
      <c r="I29">
        <v>50</v>
      </c>
      <c r="J29" s="50">
        <f t="shared" si="15"/>
        <v>51.429361130853671</v>
      </c>
      <c r="L29" s="136" t="s">
        <v>99</v>
      </c>
      <c r="M29" s="131">
        <f>SUM(B39:B43)</f>
        <v>129698.77172659361</v>
      </c>
      <c r="N29" s="111">
        <f>SUM(C39:C43)</f>
        <v>139673.27720826142</v>
      </c>
      <c r="O29" s="108">
        <v>516.35078575377099</v>
      </c>
      <c r="P29" s="111">
        <v>185.516039051604</v>
      </c>
      <c r="Q29" s="110">
        <v>185.03875968992199</v>
      </c>
      <c r="R29" s="113">
        <v>14.310077519379799</v>
      </c>
      <c r="S29" s="115">
        <v>2.5</v>
      </c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</row>
    <row r="30" spans="1:33" ht="18.600000000000001" thickBot="1" x14ac:dyDescent="0.35">
      <c r="A30" s="48">
        <v>26</v>
      </c>
      <c r="B30" s="49">
        <v>28367.724783110702</v>
      </c>
      <c r="C30" s="49">
        <v>29571.4507184547</v>
      </c>
      <c r="E30" t="s">
        <v>83</v>
      </c>
      <c r="F30">
        <v>19</v>
      </c>
      <c r="G30" s="50">
        <f t="shared" si="14"/>
        <v>19.052998605299859</v>
      </c>
      <c r="H30" t="s">
        <v>83</v>
      </c>
      <c r="I30">
        <v>15</v>
      </c>
      <c r="J30" s="50">
        <f t="shared" si="15"/>
        <v>15.428808339256101</v>
      </c>
      <c r="L30" s="136" t="s">
        <v>100</v>
      </c>
      <c r="M30" s="131">
        <f>SUM(B44:B48)</f>
        <v>125660.1735106441</v>
      </c>
      <c r="N30" s="111">
        <f>SUM(C44:C48)</f>
        <v>135038.7698381872</v>
      </c>
      <c r="O30" s="108">
        <v>634.638316354734</v>
      </c>
      <c r="P30" s="111">
        <v>266.74198047419799</v>
      </c>
      <c r="Q30" s="110">
        <v>162.20930232558101</v>
      </c>
      <c r="R30" s="113">
        <v>18.713178294573598</v>
      </c>
      <c r="S30" s="115">
        <v>2.5</v>
      </c>
      <c r="U30" s="215" t="s">
        <v>101</v>
      </c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7"/>
    </row>
    <row r="31" spans="1:33" ht="21.6" thickBot="1" x14ac:dyDescent="0.45">
      <c r="A31" s="48">
        <v>27</v>
      </c>
      <c r="B31" s="49">
        <v>27658.4312436951</v>
      </c>
      <c r="C31" s="49">
        <v>28939.2154577859</v>
      </c>
      <c r="E31" t="s">
        <v>102</v>
      </c>
      <c r="F31">
        <v>22</v>
      </c>
      <c r="G31" s="50">
        <f t="shared" si="14"/>
        <v>22.061366806136682</v>
      </c>
      <c r="H31" t="s">
        <v>102</v>
      </c>
      <c r="I31">
        <v>9</v>
      </c>
      <c r="J31" s="50">
        <f t="shared" si="15"/>
        <v>9.25728500355366</v>
      </c>
      <c r="L31" s="136" t="s">
        <v>103</v>
      </c>
      <c r="M31" s="131">
        <f>SUM(B49:B53)</f>
        <v>113608.69635259471</v>
      </c>
      <c r="N31" s="111">
        <f>SUM(C49:C53)</f>
        <v>121341.90614958591</v>
      </c>
      <c r="O31" s="108">
        <v>722.06823027718599</v>
      </c>
      <c r="P31" s="111">
        <v>342.95397489539698</v>
      </c>
      <c r="Q31" s="110">
        <v>102.13178294573601</v>
      </c>
      <c r="R31" s="113">
        <v>5.5038759689922498</v>
      </c>
      <c r="S31" s="115">
        <v>2.5</v>
      </c>
      <c r="U31" s="104" t="s">
        <v>69</v>
      </c>
      <c r="V31" s="105" t="s">
        <v>70</v>
      </c>
      <c r="W31" s="105" t="s">
        <v>71</v>
      </c>
      <c r="X31" s="105" t="s">
        <v>72</v>
      </c>
      <c r="Y31" s="106" t="s">
        <v>73</v>
      </c>
      <c r="Z31" s="105" t="s">
        <v>74</v>
      </c>
      <c r="AA31" s="105" t="s">
        <v>75</v>
      </c>
      <c r="AB31" s="105" t="s">
        <v>76</v>
      </c>
      <c r="AC31" s="106" t="s">
        <v>77</v>
      </c>
      <c r="AD31" s="105" t="s">
        <v>78</v>
      </c>
      <c r="AE31" s="105" t="s">
        <v>79</v>
      </c>
      <c r="AF31" s="105" t="s">
        <v>80</v>
      </c>
      <c r="AG31" s="107" t="s">
        <v>81</v>
      </c>
    </row>
    <row r="32" spans="1:33" x14ac:dyDescent="0.3">
      <c r="A32" s="48">
        <v>28</v>
      </c>
      <c r="B32" s="49">
        <v>27218.039646367499</v>
      </c>
      <c r="C32" s="49">
        <v>28693.448648962902</v>
      </c>
      <c r="E32" t="s">
        <v>82</v>
      </c>
      <c r="F32">
        <v>15</v>
      </c>
      <c r="G32" s="50">
        <f t="shared" si="14"/>
        <v>15.0418410041841</v>
      </c>
      <c r="H32" t="s">
        <v>82</v>
      </c>
      <c r="I32">
        <v>16</v>
      </c>
      <c r="J32" s="50">
        <f t="shared" si="15"/>
        <v>16.457395561873174</v>
      </c>
      <c r="L32" s="136" t="s">
        <v>104</v>
      </c>
      <c r="M32" s="131">
        <f>SUM(B54:B58)</f>
        <v>92904.620099017295</v>
      </c>
      <c r="N32" s="111">
        <f>SUM(C54:C58)</f>
        <v>99645.090996316896</v>
      </c>
      <c r="O32" s="108">
        <v>821.84119087104204</v>
      </c>
      <c r="P32" s="111">
        <v>456.26917712691801</v>
      </c>
      <c r="Q32" s="110">
        <v>61.279069767441896</v>
      </c>
      <c r="R32" s="113">
        <v>3.3023255813953498</v>
      </c>
      <c r="S32" s="115">
        <v>2.5</v>
      </c>
      <c r="U32" s="86">
        <v>1</v>
      </c>
      <c r="V32" s="89">
        <f t="shared" ref="V32:V53" si="16">P21/N21</f>
        <v>1.2213029902373098E-2</v>
      </c>
      <c r="W32" s="90">
        <f t="shared" ref="W32:W52" si="17">(V32*U32)/(1+(U32-S21)*V32)</f>
        <v>1.2078758798153903E-2</v>
      </c>
      <c r="X32" s="90">
        <f t="shared" ref="X32:X53" si="18">1-W32</f>
        <v>0.9879212412018461</v>
      </c>
      <c r="Y32" s="91">
        <v>100000</v>
      </c>
      <c r="Z32" s="91">
        <f t="shared" ref="Z32:Z53" si="19">Y32*W32</f>
        <v>1207.8758798153904</v>
      </c>
      <c r="AA32" s="92">
        <f t="shared" ref="AA32:AA52" si="20">Y33*U32+Z32*S21</f>
        <v>98900.591374192038</v>
      </c>
      <c r="AB32" s="90">
        <f t="shared" ref="AB32:AB52" si="21">AA32+AB33</f>
        <v>7719204.928345006</v>
      </c>
      <c r="AC32" s="90">
        <f t="shared" ref="AC32:AC53" si="22">AB32/Y32</f>
        <v>77.192049283450061</v>
      </c>
      <c r="AD32" s="91">
        <f t="shared" ref="AD32:AD53" si="23">Z32*(R21/P21)</f>
        <v>2.9604800975867409</v>
      </c>
      <c r="AE32" s="91">
        <v>0</v>
      </c>
      <c r="AF32" s="90">
        <f t="shared" ref="AF32:AF47" si="24">AD32*($AC$32-AE32-S21)</f>
        <v>228.25967448282546</v>
      </c>
      <c r="AG32" s="93">
        <f t="shared" ref="AG32:AG47" si="25">AF32/Y32</f>
        <v>2.2825967448282546E-3</v>
      </c>
    </row>
    <row r="33" spans="1:33" x14ac:dyDescent="0.3">
      <c r="A33" s="48">
        <v>29</v>
      </c>
      <c r="B33" s="49">
        <v>26824.098512637702</v>
      </c>
      <c r="C33" s="49">
        <v>28436.751710575201</v>
      </c>
      <c r="E33" t="s">
        <v>5</v>
      </c>
      <c r="F33">
        <v>36</v>
      </c>
      <c r="G33" s="50">
        <f t="shared" si="14"/>
        <v>36.10041841004184</v>
      </c>
      <c r="H33" t="s">
        <v>5</v>
      </c>
      <c r="I33">
        <v>47</v>
      </c>
      <c r="J33" s="50">
        <f t="shared" si="15"/>
        <v>48.343599463002448</v>
      </c>
      <c r="L33" s="136" t="s">
        <v>105</v>
      </c>
      <c r="M33" s="131">
        <f>SUM(B59:B63)</f>
        <v>72031.794815745496</v>
      </c>
      <c r="N33" s="111">
        <f>SUM(C59:C63)</f>
        <v>78733.245542376899</v>
      </c>
      <c r="O33" s="108">
        <v>902.07099423517298</v>
      </c>
      <c r="P33" s="111">
        <v>600.67085076708497</v>
      </c>
      <c r="Q33" s="110">
        <v>38.449612403100801</v>
      </c>
      <c r="R33" s="113">
        <v>6.6046511627906996</v>
      </c>
      <c r="S33" s="115">
        <v>2.5</v>
      </c>
      <c r="U33" s="87">
        <v>4</v>
      </c>
      <c r="V33" s="94">
        <f t="shared" si="16"/>
        <v>7.492092053494212E-4</v>
      </c>
      <c r="W33" s="95">
        <f t="shared" si="17"/>
        <v>2.9912388683924489E-3</v>
      </c>
      <c r="X33" s="95">
        <f t="shared" si="18"/>
        <v>0.99700876113160752</v>
      </c>
      <c r="Y33" s="96">
        <f t="shared" ref="Y33:Y53" si="26">Y32-Z32</f>
        <v>98792.124120184613</v>
      </c>
      <c r="Z33" s="96">
        <f t="shared" si="19"/>
        <v>295.5108415593474</v>
      </c>
      <c r="AA33" s="97">
        <f t="shared" si="20"/>
        <v>394430.33994960738</v>
      </c>
      <c r="AB33" s="95">
        <f t="shared" si="21"/>
        <v>7620304.3369708136</v>
      </c>
      <c r="AC33" s="95">
        <f t="shared" si="22"/>
        <v>77.134735231529234</v>
      </c>
      <c r="AD33" s="96">
        <f t="shared" si="23"/>
        <v>5.9533098270058611</v>
      </c>
      <c r="AE33" s="96">
        <v>1</v>
      </c>
      <c r="AF33" s="95">
        <f t="shared" si="24"/>
        <v>444.65240904773265</v>
      </c>
      <c r="AG33" s="98">
        <f t="shared" si="25"/>
        <v>4.5008892460576613E-3</v>
      </c>
    </row>
    <row r="34" spans="1:33" x14ac:dyDescent="0.3">
      <c r="A34" s="48">
        <v>30</v>
      </c>
      <c r="B34" s="49">
        <v>26534.268842338799</v>
      </c>
      <c r="C34" s="49">
        <v>28224.1389581451</v>
      </c>
      <c r="E34" t="s">
        <v>6</v>
      </c>
      <c r="F34">
        <v>57</v>
      </c>
      <c r="G34" s="50">
        <f t="shared" si="14"/>
        <v>57.15899581589958</v>
      </c>
      <c r="H34" t="s">
        <v>6</v>
      </c>
      <c r="I34">
        <v>60</v>
      </c>
      <c r="J34" s="50">
        <f t="shared" si="15"/>
        <v>61.715233357024402</v>
      </c>
      <c r="L34" s="136" t="s">
        <v>106</v>
      </c>
      <c r="M34" s="131">
        <f>SUM(B64:B68)</f>
        <v>53707.839911892763</v>
      </c>
      <c r="N34" s="111">
        <f>SUM(C64:C68)</f>
        <v>59810.916124149197</v>
      </c>
      <c r="O34" s="108">
        <v>949.38600647555904</v>
      </c>
      <c r="P34" s="111">
        <v>752.09205020920501</v>
      </c>
      <c r="Q34" s="110">
        <v>27.635658914728701</v>
      </c>
      <c r="R34" s="113">
        <v>2.2015503875969</v>
      </c>
      <c r="S34" s="115">
        <v>2.5</v>
      </c>
      <c r="U34" s="87">
        <v>5</v>
      </c>
      <c r="V34" s="94">
        <f t="shared" si="16"/>
        <v>2.0988937364375284E-4</v>
      </c>
      <c r="W34" s="95">
        <f t="shared" si="17"/>
        <v>1.0488964876517381E-3</v>
      </c>
      <c r="X34" s="95">
        <f t="shared" si="18"/>
        <v>0.99895110351234828</v>
      </c>
      <c r="Y34" s="96">
        <f t="shared" si="26"/>
        <v>98496.613278625271</v>
      </c>
      <c r="Z34" s="96">
        <f t="shared" si="19"/>
        <v>103.3127517135416</v>
      </c>
      <c r="AA34" s="97">
        <f t="shared" si="20"/>
        <v>492224.78451384249</v>
      </c>
      <c r="AB34" s="95">
        <f t="shared" si="21"/>
        <v>7225873.9970212057</v>
      </c>
      <c r="AC34" s="95">
        <f t="shared" si="22"/>
        <v>73.361649263825925</v>
      </c>
      <c r="AD34" s="96">
        <f t="shared" si="23"/>
        <v>6.3004319228439236</v>
      </c>
      <c r="AE34" s="96">
        <v>5</v>
      </c>
      <c r="AF34" s="95">
        <f t="shared" si="24"/>
        <v>439.09001207386075</v>
      </c>
      <c r="AG34" s="98">
        <f t="shared" si="25"/>
        <v>4.4579198965122952E-3</v>
      </c>
    </row>
    <row r="35" spans="1:33" x14ac:dyDescent="0.3">
      <c r="A35" s="48">
        <v>31</v>
      </c>
      <c r="B35" s="49">
        <v>26337.826830349</v>
      </c>
      <c r="C35" s="49">
        <v>28132.596832734602</v>
      </c>
      <c r="E35" t="s">
        <v>7</v>
      </c>
      <c r="F35">
        <v>99</v>
      </c>
      <c r="G35" s="50">
        <f t="shared" si="14"/>
        <v>99.276150627615067</v>
      </c>
      <c r="H35" t="s">
        <v>7</v>
      </c>
      <c r="I35">
        <v>296</v>
      </c>
      <c r="J35" s="50">
        <f t="shared" si="15"/>
        <v>304.46181789465373</v>
      </c>
      <c r="L35" s="136" t="s">
        <v>107</v>
      </c>
      <c r="M35" s="131">
        <f>SUM(B69:B73)</f>
        <v>39690.280191404396</v>
      </c>
      <c r="N35" s="111">
        <f>SUM(C69:C73)</f>
        <v>44881.449951228402</v>
      </c>
      <c r="O35" s="108">
        <v>1098.5311537550299</v>
      </c>
      <c r="P35" s="111">
        <v>864.40446304044599</v>
      </c>
      <c r="Q35" s="110">
        <v>16.821705426356601</v>
      </c>
      <c r="R35" s="113">
        <v>3.3023255813953498</v>
      </c>
      <c r="S35" s="115">
        <v>2.5</v>
      </c>
      <c r="U35" s="87">
        <v>5</v>
      </c>
      <c r="V35" s="94">
        <f t="shared" si="16"/>
        <v>3.3633081252050891E-4</v>
      </c>
      <c r="W35" s="95">
        <f t="shared" si="17"/>
        <v>1.6802412703233488E-3</v>
      </c>
      <c r="X35" s="95">
        <f t="shared" si="18"/>
        <v>0.9983197587296766</v>
      </c>
      <c r="Y35" s="96">
        <f t="shared" si="26"/>
        <v>98393.300526911728</v>
      </c>
      <c r="Z35" s="96">
        <f t="shared" si="19"/>
        <v>165.32448426864519</v>
      </c>
      <c r="AA35" s="97">
        <f t="shared" si="20"/>
        <v>491553.19142388704</v>
      </c>
      <c r="AB35" s="95">
        <f t="shared" si="21"/>
        <v>6733649.2125073634</v>
      </c>
      <c r="AC35" s="95">
        <f t="shared" si="22"/>
        <v>68.436053841548201</v>
      </c>
      <c r="AD35" s="96">
        <f t="shared" si="23"/>
        <v>15.919199472694805</v>
      </c>
      <c r="AE35" s="96">
        <f t="shared" ref="AE35:AE53" si="27">+AE34+5</f>
        <v>10</v>
      </c>
      <c r="AF35" s="95">
        <f t="shared" si="24"/>
        <v>1029.8456368406446</v>
      </c>
      <c r="AG35" s="98">
        <f t="shared" si="25"/>
        <v>1.0466623553897042E-2</v>
      </c>
    </row>
    <row r="36" spans="1:33" x14ac:dyDescent="0.3">
      <c r="A36" s="48">
        <v>32</v>
      </c>
      <c r="B36" s="49">
        <v>26167.504348540999</v>
      </c>
      <c r="C36" s="49">
        <v>28061.374122427598</v>
      </c>
      <c r="E36" t="s">
        <v>8</v>
      </c>
      <c r="F36">
        <v>128</v>
      </c>
      <c r="G36" s="50">
        <f t="shared" si="14"/>
        <v>128.35704323570431</v>
      </c>
      <c r="H36" t="s">
        <v>8</v>
      </c>
      <c r="I36">
        <v>433</v>
      </c>
      <c r="J36" s="50">
        <f t="shared" si="15"/>
        <v>445.37826739319274</v>
      </c>
      <c r="L36" s="136" t="s">
        <v>108</v>
      </c>
      <c r="M36" s="131">
        <f>SUM(B74:B78)</f>
        <v>29387.641458923128</v>
      </c>
      <c r="N36" s="111">
        <f>SUM(C74:C78)</f>
        <v>33559.45176459878</v>
      </c>
      <c r="O36" s="108">
        <v>1199.3327015715099</v>
      </c>
      <c r="P36" s="111">
        <v>1004.7949790795</v>
      </c>
      <c r="Q36" s="110">
        <v>13.217054263565901</v>
      </c>
      <c r="R36" s="113">
        <v>1.10077519379845</v>
      </c>
      <c r="S36" s="115">
        <v>2.5</v>
      </c>
      <c r="U36" s="87">
        <v>5</v>
      </c>
      <c r="V36" s="94">
        <f t="shared" si="16"/>
        <v>5.9912564241831282E-4</v>
      </c>
      <c r="W36" s="95">
        <f t="shared" si="17"/>
        <v>2.9911480283813835E-3</v>
      </c>
      <c r="X36" s="95">
        <f t="shared" si="18"/>
        <v>0.99700885197161859</v>
      </c>
      <c r="Y36" s="96">
        <f t="shared" si="26"/>
        <v>98227.976042643088</v>
      </c>
      <c r="Z36" s="96">
        <f t="shared" si="19"/>
        <v>293.81441687184565</v>
      </c>
      <c r="AA36" s="97">
        <f t="shared" si="20"/>
        <v>490405.34417103586</v>
      </c>
      <c r="AB36" s="95">
        <f t="shared" si="21"/>
        <v>6242096.021083476</v>
      </c>
      <c r="AC36" s="95">
        <f t="shared" si="22"/>
        <v>63.547028785095137</v>
      </c>
      <c r="AD36" s="96">
        <f t="shared" si="23"/>
        <v>26.062543289861971</v>
      </c>
      <c r="AE36" s="96">
        <f t="shared" si="27"/>
        <v>15</v>
      </c>
      <c r="AF36" s="95">
        <f t="shared" si="24"/>
        <v>1555.7266185104913</v>
      </c>
      <c r="AG36" s="98">
        <f t="shared" si="25"/>
        <v>1.583791788436233E-2</v>
      </c>
    </row>
    <row r="37" spans="1:33" x14ac:dyDescent="0.3">
      <c r="A37" s="48">
        <v>33</v>
      </c>
      <c r="B37" s="49">
        <v>26077.366781177101</v>
      </c>
      <c r="C37" s="49">
        <v>28038.287039025301</v>
      </c>
      <c r="E37" t="s">
        <v>9</v>
      </c>
      <c r="F37">
        <v>114</v>
      </c>
      <c r="G37" s="50">
        <f t="shared" si="14"/>
        <v>114.31799163179916</v>
      </c>
      <c r="H37" t="s">
        <v>9</v>
      </c>
      <c r="I37">
        <v>435</v>
      </c>
      <c r="J37" s="50">
        <f t="shared" si="15"/>
        <v>447.43544183842693</v>
      </c>
      <c r="L37" s="136" t="s">
        <v>109</v>
      </c>
      <c r="M37" s="132">
        <f>SUM(B79:B83)</f>
        <v>20571.56704506775</v>
      </c>
      <c r="N37" s="112">
        <f>SUM(C79:C83)</f>
        <v>23630.528800309825</v>
      </c>
      <c r="O37" s="108">
        <v>1256.93358603806</v>
      </c>
      <c r="P37" s="111">
        <v>1065.96513249651</v>
      </c>
      <c r="Q37" s="110">
        <v>9.6124031007751896</v>
      </c>
      <c r="R37" s="113">
        <v>1.10077519379845</v>
      </c>
      <c r="S37" s="115">
        <v>2.5</v>
      </c>
      <c r="U37" s="87">
        <v>5</v>
      </c>
      <c r="V37" s="94">
        <f t="shared" si="16"/>
        <v>8.0668428319678406E-4</v>
      </c>
      <c r="W37" s="95">
        <f t="shared" si="17"/>
        <v>4.0253035432253797E-3</v>
      </c>
      <c r="X37" s="95">
        <f t="shared" si="18"/>
        <v>0.99597469645677461</v>
      </c>
      <c r="Y37" s="96">
        <f t="shared" si="26"/>
        <v>97934.161625771245</v>
      </c>
      <c r="Z37" s="96">
        <f t="shared" si="19"/>
        <v>394.21472779502398</v>
      </c>
      <c r="AA37" s="97">
        <f t="shared" si="20"/>
        <v>488685.27130936866</v>
      </c>
      <c r="AB37" s="95">
        <f t="shared" si="21"/>
        <v>5751690.67691244</v>
      </c>
      <c r="AC37" s="95">
        <f t="shared" si="22"/>
        <v>58.730177309231081</v>
      </c>
      <c r="AD37" s="96">
        <f t="shared" si="23"/>
        <v>60.853320426043958</v>
      </c>
      <c r="AE37" s="96">
        <f t="shared" si="27"/>
        <v>20</v>
      </c>
      <c r="AF37" s="95">
        <f t="shared" si="24"/>
        <v>3328.1927998027745</v>
      </c>
      <c r="AG37" s="98">
        <f t="shared" si="25"/>
        <v>3.398398214221262E-2</v>
      </c>
    </row>
    <row r="38" spans="1:33" x14ac:dyDescent="0.3">
      <c r="A38" s="48">
        <v>34</v>
      </c>
      <c r="B38" s="49">
        <v>26058.184008512799</v>
      </c>
      <c r="C38" s="49">
        <v>28039.6685683736</v>
      </c>
      <c r="E38" t="s">
        <v>10</v>
      </c>
      <c r="F38">
        <v>154</v>
      </c>
      <c r="G38" s="50">
        <f t="shared" si="14"/>
        <v>154.42956764295675</v>
      </c>
      <c r="H38" t="s">
        <v>10</v>
      </c>
      <c r="I38">
        <v>441</v>
      </c>
      <c r="J38" s="50">
        <f t="shared" si="15"/>
        <v>453.60696517412936</v>
      </c>
      <c r="L38" s="136" t="s">
        <v>110</v>
      </c>
      <c r="M38" s="132">
        <f>SUM(B84:B88)</f>
        <v>12618.816683058842</v>
      </c>
      <c r="N38" s="112">
        <f>SUM(C84:C88)</f>
        <v>14966.412209288032</v>
      </c>
      <c r="O38" s="108">
        <v>1146.87475321804</v>
      </c>
      <c r="P38" s="111">
        <v>1059.9483960948401</v>
      </c>
      <c r="Q38" s="110">
        <v>4.8062015503876001</v>
      </c>
      <c r="R38" s="113">
        <v>1.10077519379845</v>
      </c>
      <c r="S38" s="115">
        <v>2.5</v>
      </c>
      <c r="U38" s="87">
        <v>5</v>
      </c>
      <c r="V38" s="94">
        <f t="shared" si="16"/>
        <v>7.8289275196851825E-4</v>
      </c>
      <c r="W38" s="95">
        <f t="shared" si="17"/>
        <v>3.9068172126449779E-3</v>
      </c>
      <c r="X38" s="95">
        <f t="shared" si="18"/>
        <v>0.99609318278735504</v>
      </c>
      <c r="Y38" s="96">
        <f t="shared" si="26"/>
        <v>97539.946897976217</v>
      </c>
      <c r="Z38" s="96">
        <f t="shared" si="19"/>
        <v>381.07074346149062</v>
      </c>
      <c r="AA38" s="97">
        <f t="shared" si="20"/>
        <v>486747.05763122736</v>
      </c>
      <c r="AB38" s="95">
        <f t="shared" si="21"/>
        <v>5263005.4056030717</v>
      </c>
      <c r="AC38" s="95">
        <f t="shared" si="22"/>
        <v>53.957435624893392</v>
      </c>
      <c r="AD38" s="96">
        <f t="shared" si="23"/>
        <v>88.064504737445347</v>
      </c>
      <c r="AE38" s="96">
        <f t="shared" si="27"/>
        <v>25</v>
      </c>
      <c r="AF38" s="95">
        <f t="shared" si="24"/>
        <v>4376.1057095357555</v>
      </c>
      <c r="AG38" s="98">
        <f t="shared" si="25"/>
        <v>4.4864753864516937E-2</v>
      </c>
    </row>
    <row r="39" spans="1:33" x14ac:dyDescent="0.3">
      <c r="A39" s="48">
        <v>35</v>
      </c>
      <c r="B39" s="49">
        <v>26066.013662578702</v>
      </c>
      <c r="C39" s="49">
        <v>28046.200253063402</v>
      </c>
      <c r="E39" t="s">
        <v>11</v>
      </c>
      <c r="F39">
        <v>185</v>
      </c>
      <c r="G39" s="50">
        <f t="shared" si="14"/>
        <v>185.51603905160391</v>
      </c>
      <c r="H39" t="s">
        <v>11</v>
      </c>
      <c r="I39">
        <v>502</v>
      </c>
      <c r="J39" s="50">
        <f t="shared" si="15"/>
        <v>516.35078575377088</v>
      </c>
      <c r="L39" s="136" t="s">
        <v>111</v>
      </c>
      <c r="M39" s="132">
        <f>SUM(B89:B93)</f>
        <v>6340.7571197572979</v>
      </c>
      <c r="N39" s="112">
        <f>SUM(C89:C93)</f>
        <v>8092.1426057386398</v>
      </c>
      <c r="O39" s="108">
        <v>805.38379530916905</v>
      </c>
      <c r="P39" s="111">
        <v>909.52998605299899</v>
      </c>
      <c r="Q39" s="108">
        <v>0</v>
      </c>
      <c r="R39" s="111">
        <v>0</v>
      </c>
      <c r="S39" s="115">
        <v>2.5</v>
      </c>
      <c r="U39" s="87">
        <v>5</v>
      </c>
      <c r="V39" s="94">
        <f t="shared" si="16"/>
        <v>1.0991736108097439E-3</v>
      </c>
      <c r="W39" s="95">
        <f t="shared" si="17"/>
        <v>5.4808071575648881E-3</v>
      </c>
      <c r="X39" s="95">
        <f t="shared" si="18"/>
        <v>0.99451919284243506</v>
      </c>
      <c r="Y39" s="96">
        <f t="shared" si="26"/>
        <v>97158.876154514728</v>
      </c>
      <c r="Z39" s="96">
        <f t="shared" si="19"/>
        <v>532.50906384862481</v>
      </c>
      <c r="AA39" s="97">
        <f t="shared" si="20"/>
        <v>484463.10811295203</v>
      </c>
      <c r="AB39" s="95">
        <f t="shared" si="21"/>
        <v>4776258.3479718445</v>
      </c>
      <c r="AC39" s="95">
        <f t="shared" si="22"/>
        <v>49.159258906782895</v>
      </c>
      <c r="AD39" s="96">
        <f t="shared" si="23"/>
        <v>64.527390754048113</v>
      </c>
      <c r="AE39" s="96">
        <f t="shared" si="27"/>
        <v>30</v>
      </c>
      <c r="AF39" s="95">
        <f t="shared" si="24"/>
        <v>2883.8613277123582</v>
      </c>
      <c r="AG39" s="98">
        <f t="shared" si="25"/>
        <v>2.9681913190577312E-2</v>
      </c>
    </row>
    <row r="40" spans="1:33" x14ac:dyDescent="0.3">
      <c r="A40" s="48">
        <v>36</v>
      </c>
      <c r="B40" s="49">
        <v>26055.7282846419</v>
      </c>
      <c r="C40" s="49">
        <v>28043.750647557499</v>
      </c>
      <c r="E40" t="s">
        <v>12</v>
      </c>
      <c r="F40">
        <v>266</v>
      </c>
      <c r="G40" s="50">
        <f t="shared" si="14"/>
        <v>266.74198047419804</v>
      </c>
      <c r="H40" t="s">
        <v>12</v>
      </c>
      <c r="I40">
        <v>617</v>
      </c>
      <c r="J40" s="50">
        <f t="shared" si="15"/>
        <v>634.63831635473423</v>
      </c>
      <c r="L40" s="136" t="s">
        <v>112</v>
      </c>
      <c r="M40" s="132">
        <f>SUM(B94:B98)</f>
        <v>2442.2260886888812</v>
      </c>
      <c r="N40" s="112">
        <f>SUM(C94:C98)</f>
        <v>3426.2234686881311</v>
      </c>
      <c r="O40" s="108">
        <v>410.40630182421199</v>
      </c>
      <c r="P40" s="111">
        <v>506.40864714086501</v>
      </c>
      <c r="Q40" s="108">
        <v>0</v>
      </c>
      <c r="R40" s="111">
        <v>0</v>
      </c>
      <c r="S40" s="115">
        <v>2.5</v>
      </c>
      <c r="U40" s="87">
        <v>5</v>
      </c>
      <c r="V40" s="94">
        <f t="shared" si="16"/>
        <v>1.3282142637420055E-3</v>
      </c>
      <c r="W40" s="95">
        <f t="shared" si="17"/>
        <v>6.6190923864083923E-3</v>
      </c>
      <c r="X40" s="95">
        <f t="shared" si="18"/>
        <v>0.99338090761359166</v>
      </c>
      <c r="Y40" s="96">
        <f t="shared" si="26"/>
        <v>96626.367090666099</v>
      </c>
      <c r="Z40" s="96">
        <f t="shared" si="19"/>
        <v>639.57885073613045</v>
      </c>
      <c r="AA40" s="97">
        <f t="shared" si="20"/>
        <v>481532.88832649012</v>
      </c>
      <c r="AB40" s="95">
        <f t="shared" si="21"/>
        <v>4291795.2398588927</v>
      </c>
      <c r="AC40" s="95">
        <f t="shared" si="22"/>
        <v>44.41639864025759</v>
      </c>
      <c r="AD40" s="96">
        <f t="shared" si="23"/>
        <v>49.33494149928454</v>
      </c>
      <c r="AE40" s="96">
        <f t="shared" si="27"/>
        <v>35</v>
      </c>
      <c r="AF40" s="95">
        <f t="shared" si="24"/>
        <v>1958.2049293857276</v>
      </c>
      <c r="AG40" s="98">
        <f t="shared" si="25"/>
        <v>2.0265741001607895E-2</v>
      </c>
    </row>
    <row r="41" spans="1:33" x14ac:dyDescent="0.3">
      <c r="A41" s="48">
        <v>37</v>
      </c>
      <c r="B41" s="49">
        <v>25990.781899542599</v>
      </c>
      <c r="C41" s="49">
        <v>27991.461147409002</v>
      </c>
      <c r="E41" t="s">
        <v>13</v>
      </c>
      <c r="F41">
        <v>342</v>
      </c>
      <c r="G41" s="50">
        <f t="shared" si="14"/>
        <v>342.95397489539749</v>
      </c>
      <c r="H41" t="s">
        <v>13</v>
      </c>
      <c r="I41">
        <v>702</v>
      </c>
      <c r="J41" s="50">
        <f t="shared" si="15"/>
        <v>722.06823027718553</v>
      </c>
      <c r="L41" s="136" t="s">
        <v>113</v>
      </c>
      <c r="M41" s="132">
        <f>SUM(B99:B103)</f>
        <v>695.17299404937944</v>
      </c>
      <c r="N41" s="112">
        <f>SUM(C99:C103)</f>
        <v>1065.0617992678958</v>
      </c>
      <c r="O41" s="108">
        <v>139.887862275922</v>
      </c>
      <c r="P41" s="111">
        <v>186.518828451883</v>
      </c>
      <c r="Q41" s="108">
        <v>0</v>
      </c>
      <c r="R41" s="111">
        <v>0</v>
      </c>
      <c r="S41" s="115">
        <v>2.5</v>
      </c>
      <c r="U41" s="87">
        <v>5</v>
      </c>
      <c r="V41" s="94">
        <f t="shared" si="16"/>
        <v>1.975299247718464E-3</v>
      </c>
      <c r="W41" s="95">
        <f t="shared" si="17"/>
        <v>9.8279633172245248E-3</v>
      </c>
      <c r="X41" s="95">
        <f t="shared" si="18"/>
        <v>0.99017203668277542</v>
      </c>
      <c r="Y41" s="96">
        <f t="shared" si="26"/>
        <v>95986.788239929971</v>
      </c>
      <c r="Z41" s="96">
        <f t="shared" si="19"/>
        <v>943.35463376023017</v>
      </c>
      <c r="AA41" s="97">
        <f t="shared" si="20"/>
        <v>477575.55461524928</v>
      </c>
      <c r="AB41" s="95">
        <f t="shared" si="21"/>
        <v>3810262.3515324029</v>
      </c>
      <c r="AC41" s="95">
        <f t="shared" si="22"/>
        <v>39.695695849393523</v>
      </c>
      <c r="AD41" s="96">
        <f t="shared" si="23"/>
        <v>66.180671768218204</v>
      </c>
      <c r="AE41" s="96">
        <f t="shared" si="27"/>
        <v>40</v>
      </c>
      <c r="AF41" s="95">
        <f t="shared" si="24"/>
        <v>2295.9431265948579</v>
      </c>
      <c r="AG41" s="98">
        <f t="shared" si="25"/>
        <v>2.3919366078338666E-2</v>
      </c>
    </row>
    <row r="42" spans="1:33" ht="15" thickBot="1" x14ac:dyDescent="0.35">
      <c r="A42" s="48">
        <v>38</v>
      </c>
      <c r="B42" s="49">
        <v>25867.887383366698</v>
      </c>
      <c r="C42" s="49">
        <v>27873.978073598999</v>
      </c>
      <c r="E42" t="s">
        <v>14</v>
      </c>
      <c r="F42">
        <v>455</v>
      </c>
      <c r="G42" s="50">
        <f t="shared" si="14"/>
        <v>456.26917712691773</v>
      </c>
      <c r="H42" t="s">
        <v>14</v>
      </c>
      <c r="I42">
        <v>799</v>
      </c>
      <c r="J42" s="50">
        <f t="shared" si="15"/>
        <v>821.84119087104159</v>
      </c>
      <c r="L42" s="137" t="s">
        <v>114</v>
      </c>
      <c r="M42" s="133">
        <f>SUM(B104:B113)</f>
        <v>149.90892075636538</v>
      </c>
      <c r="N42" s="116">
        <f>SUM(C104:C113)</f>
        <v>252.63335452839846</v>
      </c>
      <c r="O42" s="117">
        <f>SUM(J52:J54)</f>
        <v>29.829029455895128</v>
      </c>
      <c r="P42" s="118">
        <f>SUM(G52:G53)</f>
        <v>48.13389121338912</v>
      </c>
      <c r="Q42" s="117">
        <v>0</v>
      </c>
      <c r="R42" s="118">
        <v>0</v>
      </c>
      <c r="S42" s="119"/>
      <c r="U42" s="87">
        <v>5</v>
      </c>
      <c r="V42" s="94">
        <f t="shared" si="16"/>
        <v>2.8263440535754875E-3</v>
      </c>
      <c r="W42" s="95">
        <f t="shared" si="17"/>
        <v>1.4032568104332259E-2</v>
      </c>
      <c r="X42" s="95">
        <f t="shared" si="18"/>
        <v>0.98596743189566771</v>
      </c>
      <c r="Y42" s="96">
        <f t="shared" si="26"/>
        <v>95043.43360616974</v>
      </c>
      <c r="Z42" s="96">
        <f t="shared" si="19"/>
        <v>1333.7034549481582</v>
      </c>
      <c r="AA42" s="97">
        <f t="shared" si="20"/>
        <v>471882.90939347824</v>
      </c>
      <c r="AB42" s="95">
        <f t="shared" si="21"/>
        <v>3332686.7969171535</v>
      </c>
      <c r="AC42" s="95">
        <f t="shared" si="22"/>
        <v>35.064882133012631</v>
      </c>
      <c r="AD42" s="96">
        <f t="shared" si="23"/>
        <v>21.403858630564095</v>
      </c>
      <c r="AE42" s="96">
        <f t="shared" si="27"/>
        <v>45</v>
      </c>
      <c r="AF42" s="95">
        <f t="shared" si="24"/>
        <v>635.52442531470706</v>
      </c>
      <c r="AG42" s="98">
        <f t="shared" si="25"/>
        <v>6.6866736733031075E-3</v>
      </c>
    </row>
    <row r="43" spans="1:33" x14ac:dyDescent="0.3">
      <c r="A43" s="48">
        <v>39</v>
      </c>
      <c r="B43" s="49">
        <v>25718.360496463702</v>
      </c>
      <c r="C43" s="49">
        <v>27717.887086632501</v>
      </c>
      <c r="E43" t="s">
        <v>15</v>
      </c>
      <c r="F43">
        <v>599</v>
      </c>
      <c r="G43" s="50">
        <f t="shared" si="14"/>
        <v>600.67085076708508</v>
      </c>
      <c r="H43" t="s">
        <v>15</v>
      </c>
      <c r="I43">
        <v>877</v>
      </c>
      <c r="J43" s="50">
        <f t="shared" si="15"/>
        <v>902.07099423517332</v>
      </c>
      <c r="U43" s="87">
        <v>5</v>
      </c>
      <c r="V43" s="94">
        <f t="shared" si="16"/>
        <v>4.5789428517234504E-3</v>
      </c>
      <c r="W43" s="95">
        <f t="shared" si="17"/>
        <v>2.2635596501628188E-2</v>
      </c>
      <c r="X43" s="95">
        <f t="shared" si="18"/>
        <v>0.97736440349837184</v>
      </c>
      <c r="Y43" s="96">
        <f t="shared" si="26"/>
        <v>93709.730151221578</v>
      </c>
      <c r="Z43" s="96">
        <f t="shared" si="19"/>
        <v>2121.1756399795127</v>
      </c>
      <c r="AA43" s="97">
        <f t="shared" si="20"/>
        <v>463245.71165615914</v>
      </c>
      <c r="AB43" s="95">
        <f t="shared" si="21"/>
        <v>2860803.8875236753</v>
      </c>
      <c r="AC43" s="95">
        <f t="shared" si="22"/>
        <v>30.528354770706621</v>
      </c>
      <c r="AD43" s="96">
        <f t="shared" si="23"/>
        <v>15.352368579104141</v>
      </c>
      <c r="AE43" s="96">
        <f t="shared" si="27"/>
        <v>50</v>
      </c>
      <c r="AF43" s="95">
        <f t="shared" si="24"/>
        <v>379.08144157292963</v>
      </c>
      <c r="AG43" s="98">
        <f t="shared" si="25"/>
        <v>4.0452730037873023E-3</v>
      </c>
    </row>
    <row r="44" spans="1:33" x14ac:dyDescent="0.3">
      <c r="A44" s="48">
        <v>40</v>
      </c>
      <c r="B44" s="49">
        <v>25562.9238474392</v>
      </c>
      <c r="C44" s="49">
        <v>27538.9423147901</v>
      </c>
      <c r="E44" t="s">
        <v>16</v>
      </c>
      <c r="F44">
        <v>750</v>
      </c>
      <c r="G44" s="50">
        <f t="shared" si="14"/>
        <v>752.09205020920501</v>
      </c>
      <c r="H44" t="s">
        <v>16</v>
      </c>
      <c r="I44">
        <v>923</v>
      </c>
      <c r="J44" s="50">
        <f t="shared" si="15"/>
        <v>949.3860064755587</v>
      </c>
      <c r="U44" s="87">
        <v>5</v>
      </c>
      <c r="V44" s="94">
        <f t="shared" si="16"/>
        <v>7.6291895072937588E-3</v>
      </c>
      <c r="W44" s="95">
        <f t="shared" si="17"/>
        <v>3.7432007832978058E-2</v>
      </c>
      <c r="X44" s="95">
        <f t="shared" si="18"/>
        <v>0.96256799216702194</v>
      </c>
      <c r="Y44" s="96">
        <f t="shared" si="26"/>
        <v>91588.554511242066</v>
      </c>
      <c r="Z44" s="96">
        <f t="shared" si="19"/>
        <v>3428.343489875951</v>
      </c>
      <c r="AA44" s="97">
        <f t="shared" si="20"/>
        <v>449371.91383152048</v>
      </c>
      <c r="AB44" s="95">
        <f t="shared" si="21"/>
        <v>2397558.1758675161</v>
      </c>
      <c r="AC44" s="95">
        <f t="shared" si="22"/>
        <v>26.177486790374303</v>
      </c>
      <c r="AD44" s="96">
        <f t="shared" si="23"/>
        <v>37.696207145625479</v>
      </c>
      <c r="AE44" s="96">
        <f t="shared" si="27"/>
        <v>55</v>
      </c>
      <c r="AF44" s="95">
        <f t="shared" si="24"/>
        <v>742.31556891079924</v>
      </c>
      <c r="AG44" s="98">
        <f t="shared" si="25"/>
        <v>8.1048944693158514E-3</v>
      </c>
    </row>
    <row r="45" spans="1:33" x14ac:dyDescent="0.3">
      <c r="A45" s="48">
        <v>41</v>
      </c>
      <c r="B45" s="49">
        <v>25396.934767189799</v>
      </c>
      <c r="C45" s="49">
        <v>27333.164532932398</v>
      </c>
      <c r="E45" t="s">
        <v>17</v>
      </c>
      <c r="F45">
        <v>862</v>
      </c>
      <c r="G45" s="50">
        <f t="shared" si="14"/>
        <v>864.40446304044633</v>
      </c>
      <c r="H45" t="s">
        <v>17</v>
      </c>
      <c r="I45">
        <v>1068</v>
      </c>
      <c r="J45" s="50">
        <f t="shared" si="15"/>
        <v>1098.5311537550344</v>
      </c>
      <c r="U45" s="87">
        <v>5</v>
      </c>
      <c r="V45" s="94">
        <f t="shared" si="16"/>
        <v>1.2574494740192435E-2</v>
      </c>
      <c r="W45" s="95">
        <f t="shared" si="17"/>
        <v>6.0956238936247777E-2</v>
      </c>
      <c r="X45" s="95">
        <f t="shared" si="18"/>
        <v>0.9390437610637522</v>
      </c>
      <c r="Y45" s="96">
        <f t="shared" si="26"/>
        <v>88160.211021366122</v>
      </c>
      <c r="Z45" s="96">
        <f t="shared" si="19"/>
        <v>5373.9148876884183</v>
      </c>
      <c r="AA45" s="97">
        <f t="shared" si="20"/>
        <v>427366.2678876096</v>
      </c>
      <c r="AB45" s="95">
        <f t="shared" si="21"/>
        <v>1948186.2620359955</v>
      </c>
      <c r="AC45" s="95">
        <f t="shared" si="22"/>
        <v>22.098248625605507</v>
      </c>
      <c r="AD45" s="96">
        <f t="shared" si="23"/>
        <v>15.7307132825194</v>
      </c>
      <c r="AE45" s="96">
        <f t="shared" si="27"/>
        <v>60</v>
      </c>
      <c r="AF45" s="95">
        <f t="shared" si="24"/>
        <v>231.11641481059749</v>
      </c>
      <c r="AG45" s="98">
        <f t="shared" si="25"/>
        <v>2.6215501543500747E-3</v>
      </c>
    </row>
    <row r="46" spans="1:33" x14ac:dyDescent="0.3">
      <c r="A46" s="48">
        <v>42</v>
      </c>
      <c r="B46" s="49">
        <v>25204.147550418202</v>
      </c>
      <c r="C46" s="49">
        <v>27086.551627598099</v>
      </c>
      <c r="E46" t="s">
        <v>18</v>
      </c>
      <c r="F46">
        <v>1002</v>
      </c>
      <c r="G46" s="50">
        <f t="shared" si="14"/>
        <v>1004.7949790794979</v>
      </c>
      <c r="H46" t="s">
        <v>18</v>
      </c>
      <c r="I46">
        <v>1166</v>
      </c>
      <c r="J46" s="50">
        <f t="shared" si="15"/>
        <v>1199.3327015715076</v>
      </c>
      <c r="U46" s="87">
        <v>5</v>
      </c>
      <c r="V46" s="94">
        <f t="shared" si="16"/>
        <v>1.9259726768626539E-2</v>
      </c>
      <c r="W46" s="95">
        <f t="shared" si="17"/>
        <v>9.1874919239525468E-2</v>
      </c>
      <c r="X46" s="95">
        <f t="shared" si="18"/>
        <v>0.90812508076047449</v>
      </c>
      <c r="Y46" s="96">
        <f t="shared" si="26"/>
        <v>82786.296133677708</v>
      </c>
      <c r="Z46" s="96">
        <f t="shared" si="19"/>
        <v>7605.984271421079</v>
      </c>
      <c r="AA46" s="97">
        <f t="shared" si="20"/>
        <v>394916.5199898358</v>
      </c>
      <c r="AB46" s="95">
        <f t="shared" si="21"/>
        <v>1520819.9941483859</v>
      </c>
      <c r="AC46" s="95">
        <f t="shared" si="22"/>
        <v>18.37043164357382</v>
      </c>
      <c r="AD46" s="96">
        <f t="shared" si="23"/>
        <v>29.057504334090002</v>
      </c>
      <c r="AE46" s="96">
        <f t="shared" si="27"/>
        <v>65</v>
      </c>
      <c r="AF46" s="95">
        <f t="shared" si="24"/>
        <v>281.62676406006403</v>
      </c>
      <c r="AG46" s="98">
        <f t="shared" si="25"/>
        <v>3.4018524467541366E-3</v>
      </c>
    </row>
    <row r="47" spans="1:33" x14ac:dyDescent="0.3">
      <c r="A47" s="48">
        <v>43</v>
      </c>
      <c r="B47" s="49">
        <v>24936.999778720299</v>
      </c>
      <c r="C47" s="49">
        <v>26759.5964169156</v>
      </c>
      <c r="E47" t="s">
        <v>86</v>
      </c>
      <c r="F47">
        <v>1063</v>
      </c>
      <c r="G47" s="50">
        <f t="shared" si="14"/>
        <v>1065.9651324965132</v>
      </c>
      <c r="H47" t="s">
        <v>86</v>
      </c>
      <c r="I47">
        <v>1222</v>
      </c>
      <c r="J47" s="50">
        <f t="shared" si="15"/>
        <v>1256.9335860380636</v>
      </c>
      <c r="U47" s="87">
        <v>5</v>
      </c>
      <c r="V47" s="94">
        <f t="shared" si="16"/>
        <v>2.9940744745402512E-2</v>
      </c>
      <c r="W47" s="95">
        <f t="shared" si="17"/>
        <v>0.13927847086524672</v>
      </c>
      <c r="X47" s="95">
        <f t="shared" si="18"/>
        <v>0.8607215291347533</v>
      </c>
      <c r="Y47" s="96">
        <f t="shared" si="26"/>
        <v>75180.311862256625</v>
      </c>
      <c r="Z47" s="96">
        <f t="shared" si="19"/>
        <v>10470.998875347472</v>
      </c>
      <c r="AA47" s="97">
        <f t="shared" si="20"/>
        <v>349724.06212291447</v>
      </c>
      <c r="AB47" s="95">
        <f t="shared" si="21"/>
        <v>1125903.4741585501</v>
      </c>
      <c r="AC47" s="95">
        <f t="shared" si="22"/>
        <v>14.976041549566869</v>
      </c>
      <c r="AD47" s="96">
        <f t="shared" si="23"/>
        <v>11.471211596651505</v>
      </c>
      <c r="AE47" s="96">
        <f t="shared" si="27"/>
        <v>70</v>
      </c>
      <c r="AF47" s="95">
        <f t="shared" si="24"/>
        <v>53.82349015237272</v>
      </c>
      <c r="AG47" s="98">
        <f t="shared" si="25"/>
        <v>7.1592533762012973E-4</v>
      </c>
    </row>
    <row r="48" spans="1:33" x14ac:dyDescent="0.3">
      <c r="A48" s="48">
        <v>44</v>
      </c>
      <c r="B48" s="49">
        <v>24559.1675668766</v>
      </c>
      <c r="C48" s="49">
        <v>26320.514945950999</v>
      </c>
      <c r="E48" t="s">
        <v>88</v>
      </c>
      <c r="F48">
        <v>1057</v>
      </c>
      <c r="G48" s="50">
        <f t="shared" si="14"/>
        <v>1059.9483960948396</v>
      </c>
      <c r="H48" t="s">
        <v>88</v>
      </c>
      <c r="I48">
        <v>1115</v>
      </c>
      <c r="J48" s="50">
        <f t="shared" si="15"/>
        <v>1146.8747532180369</v>
      </c>
      <c r="U48" s="87">
        <v>5</v>
      </c>
      <c r="V48" s="94">
        <f t="shared" si="16"/>
        <v>4.5109660537200245E-2</v>
      </c>
      <c r="W48" s="95">
        <f t="shared" si="17"/>
        <v>0.20269009880737102</v>
      </c>
      <c r="X48" s="95">
        <f t="shared" si="18"/>
        <v>0.79730990119262901</v>
      </c>
      <c r="Y48" s="96">
        <f t="shared" si="26"/>
        <v>64709.31298690915</v>
      </c>
      <c r="Z48" s="96">
        <f t="shared" si="19"/>
        <v>13115.937043073713</v>
      </c>
      <c r="AA48" s="97">
        <f t="shared" si="20"/>
        <v>290756.72232686146</v>
      </c>
      <c r="AB48" s="95">
        <f t="shared" si="21"/>
        <v>776179.41203563579</v>
      </c>
      <c r="AC48" s="95">
        <f t="shared" si="22"/>
        <v>11.994864049826317</v>
      </c>
      <c r="AD48" s="96">
        <f t="shared" si="23"/>
        <v>13.544249901142996</v>
      </c>
      <c r="AE48" s="96">
        <f t="shared" si="27"/>
        <v>75</v>
      </c>
      <c r="AF48" s="95"/>
      <c r="AG48" s="98"/>
    </row>
    <row r="49" spans="1:33" x14ac:dyDescent="0.3">
      <c r="A49" s="48">
        <v>45</v>
      </c>
      <c r="B49" s="49">
        <v>24074.746770843001</v>
      </c>
      <c r="C49" s="49">
        <v>25766.1888449002</v>
      </c>
      <c r="E49" t="s">
        <v>89</v>
      </c>
      <c r="F49">
        <v>907</v>
      </c>
      <c r="G49" s="50">
        <f t="shared" si="14"/>
        <v>909.52998605299865</v>
      </c>
      <c r="H49" t="s">
        <v>89</v>
      </c>
      <c r="I49">
        <v>783</v>
      </c>
      <c r="J49" s="50">
        <f t="shared" si="15"/>
        <v>805.38379530916848</v>
      </c>
      <c r="U49" s="87">
        <v>5</v>
      </c>
      <c r="V49" s="94">
        <f t="shared" si="16"/>
        <v>7.0821809614267123E-2</v>
      </c>
      <c r="W49" s="95">
        <f t="shared" si="17"/>
        <v>0.30084336862937472</v>
      </c>
      <c r="X49" s="95">
        <f t="shared" si="18"/>
        <v>0.69915663137062523</v>
      </c>
      <c r="Y49" s="96">
        <f t="shared" si="26"/>
        <v>51593.375943835439</v>
      </c>
      <c r="Z49" s="96">
        <f t="shared" si="19"/>
        <v>15521.525017905198</v>
      </c>
      <c r="AA49" s="97">
        <f t="shared" si="20"/>
        <v>219163.0671744142</v>
      </c>
      <c r="AB49" s="95">
        <f t="shared" si="21"/>
        <v>485422.68970877433</v>
      </c>
      <c r="AC49" s="95">
        <f t="shared" si="22"/>
        <v>9.4086242822568078</v>
      </c>
      <c r="AD49" s="96">
        <f t="shared" si="23"/>
        <v>16.119378804270884</v>
      </c>
      <c r="AE49" s="96">
        <f t="shared" si="27"/>
        <v>80</v>
      </c>
      <c r="AF49" s="95"/>
      <c r="AG49" s="98"/>
    </row>
    <row r="50" spans="1:33" x14ac:dyDescent="0.3">
      <c r="A50" s="48">
        <v>46</v>
      </c>
      <c r="B50" s="49">
        <v>23486.120039557401</v>
      </c>
      <c r="C50" s="49">
        <v>25100.116870376201</v>
      </c>
      <c r="E50" t="s">
        <v>115</v>
      </c>
      <c r="F50">
        <v>505</v>
      </c>
      <c r="G50" s="50">
        <f t="shared" si="14"/>
        <v>506.40864714086473</v>
      </c>
      <c r="H50" t="s">
        <v>115</v>
      </c>
      <c r="I50">
        <v>399</v>
      </c>
      <c r="J50" s="50">
        <f t="shared" si="15"/>
        <v>410.40630182421228</v>
      </c>
      <c r="U50" s="87">
        <v>5</v>
      </c>
      <c r="V50" s="94">
        <f t="shared" si="16"/>
        <v>0.11239668285232578</v>
      </c>
      <c r="W50" s="95">
        <f t="shared" si="17"/>
        <v>0.4387096427972732</v>
      </c>
      <c r="X50" s="95">
        <f t="shared" si="18"/>
        <v>0.5612903572027268</v>
      </c>
      <c r="Y50" s="96">
        <f t="shared" si="26"/>
        <v>36071.850925930237</v>
      </c>
      <c r="Z50" s="96">
        <f t="shared" si="19"/>
        <v>15825.068834751342</v>
      </c>
      <c r="AA50" s="97">
        <f t="shared" si="20"/>
        <v>140796.58254277284</v>
      </c>
      <c r="AB50" s="95">
        <f t="shared" si="21"/>
        <v>266259.62253436015</v>
      </c>
      <c r="AC50" s="95">
        <f t="shared" si="22"/>
        <v>7.3813684548956573</v>
      </c>
      <c r="AD50" s="96">
        <f t="shared" si="23"/>
        <v>0</v>
      </c>
      <c r="AE50" s="96">
        <f t="shared" si="27"/>
        <v>85</v>
      </c>
      <c r="AF50" s="95"/>
      <c r="AG50" s="98"/>
    </row>
    <row r="51" spans="1:33" x14ac:dyDescent="0.3">
      <c r="A51" s="48">
        <v>47</v>
      </c>
      <c r="B51" s="49">
        <v>22798.839455679699</v>
      </c>
      <c r="C51" s="49">
        <v>24338.451310053399</v>
      </c>
      <c r="E51" t="s">
        <v>116</v>
      </c>
      <c r="F51">
        <v>186</v>
      </c>
      <c r="G51" s="50">
        <f t="shared" si="14"/>
        <v>186.51882845188285</v>
      </c>
      <c r="H51" t="s">
        <v>116</v>
      </c>
      <c r="I51">
        <v>136</v>
      </c>
      <c r="J51" s="50">
        <f t="shared" si="15"/>
        <v>139.88786227592198</v>
      </c>
      <c r="U51" s="87">
        <v>5</v>
      </c>
      <c r="V51" s="94">
        <f t="shared" si="16"/>
        <v>0.14780374128216575</v>
      </c>
      <c r="W51" s="95">
        <f t="shared" si="17"/>
        <v>0.53962297130801884</v>
      </c>
      <c r="X51" s="95">
        <f t="shared" si="18"/>
        <v>0.46037702869198116</v>
      </c>
      <c r="Y51" s="96">
        <f t="shared" si="26"/>
        <v>20246.782091178895</v>
      </c>
      <c r="Z51" s="96">
        <f t="shared" si="19"/>
        <v>10925.628711467938</v>
      </c>
      <c r="AA51" s="97">
        <f t="shared" si="20"/>
        <v>73919.83867722463</v>
      </c>
      <c r="AB51" s="95">
        <f t="shared" si="21"/>
        <v>125463.03999158733</v>
      </c>
      <c r="AC51" s="95">
        <f t="shared" si="22"/>
        <v>6.1966903889506959</v>
      </c>
      <c r="AD51" s="96">
        <f t="shared" si="23"/>
        <v>0</v>
      </c>
      <c r="AE51" s="96">
        <f t="shared" si="27"/>
        <v>90</v>
      </c>
      <c r="AF51" s="95"/>
      <c r="AG51" s="98"/>
    </row>
    <row r="52" spans="1:33" x14ac:dyDescent="0.3">
      <c r="A52" s="48">
        <v>48</v>
      </c>
      <c r="B52" s="49">
        <v>22034.717339386902</v>
      </c>
      <c r="C52" s="49">
        <v>23507.9328809242</v>
      </c>
      <c r="E52" t="s">
        <v>117</v>
      </c>
      <c r="F52">
        <v>39</v>
      </c>
      <c r="G52" s="50">
        <f t="shared" si="14"/>
        <v>39.10878661087866</v>
      </c>
      <c r="H52" t="s">
        <v>117</v>
      </c>
      <c r="I52">
        <v>22</v>
      </c>
      <c r="J52" s="50">
        <f t="shared" si="15"/>
        <v>22.628918897575613</v>
      </c>
      <c r="U52" s="87">
        <v>5</v>
      </c>
      <c r="V52" s="94">
        <f t="shared" si="16"/>
        <v>0.17512488813333899</v>
      </c>
      <c r="W52" s="95">
        <f t="shared" si="17"/>
        <v>0.60899777334183947</v>
      </c>
      <c r="X52" s="95">
        <f t="shared" si="18"/>
        <v>0.39100222665816053</v>
      </c>
      <c r="Y52" s="96">
        <f t="shared" si="26"/>
        <v>9321.1533797109569</v>
      </c>
      <c r="Z52" s="96">
        <f t="shared" si="19"/>
        <v>5676.5616532217346</v>
      </c>
      <c r="AA52" s="97">
        <f t="shared" si="20"/>
        <v>32414.362765500449</v>
      </c>
      <c r="AB52" s="95">
        <f t="shared" si="21"/>
        <v>51543.201314362697</v>
      </c>
      <c r="AC52" s="95">
        <f t="shared" si="22"/>
        <v>5.5297020888589881</v>
      </c>
      <c r="AD52" s="96">
        <f t="shared" si="23"/>
        <v>0</v>
      </c>
      <c r="AE52" s="96">
        <f t="shared" si="27"/>
        <v>95</v>
      </c>
      <c r="AF52" s="95"/>
      <c r="AG52" s="98"/>
    </row>
    <row r="53" spans="1:33" ht="15" thickBot="1" x14ac:dyDescent="0.35">
      <c r="A53" s="48">
        <v>49</v>
      </c>
      <c r="B53" s="49">
        <v>21214.272747127699</v>
      </c>
      <c r="C53" s="49">
        <v>22629.216243331899</v>
      </c>
      <c r="E53" t="s">
        <v>118</v>
      </c>
      <c r="F53">
        <v>9</v>
      </c>
      <c r="G53" s="50">
        <f t="shared" si="14"/>
        <v>9.02510460251046</v>
      </c>
      <c r="H53" t="s">
        <v>118</v>
      </c>
      <c r="I53">
        <v>6</v>
      </c>
      <c r="J53" s="50">
        <f t="shared" si="15"/>
        <v>6.1715233357024406</v>
      </c>
      <c r="U53" s="88"/>
      <c r="V53" s="99">
        <f t="shared" si="16"/>
        <v>0.19052864695258756</v>
      </c>
      <c r="W53" s="100">
        <v>1</v>
      </c>
      <c r="X53" s="100">
        <f t="shared" si="18"/>
        <v>0</v>
      </c>
      <c r="Y53" s="101">
        <f t="shared" si="26"/>
        <v>3644.5917264892223</v>
      </c>
      <c r="Z53" s="101">
        <f t="shared" si="19"/>
        <v>3644.5917264892223</v>
      </c>
      <c r="AA53" s="102">
        <f>Z53/V53</f>
        <v>19128.838548862248</v>
      </c>
      <c r="AB53" s="100">
        <f>AA53</f>
        <v>19128.838548862248</v>
      </c>
      <c r="AC53" s="100">
        <f t="shared" si="22"/>
        <v>5.2485545664366517</v>
      </c>
      <c r="AD53" s="101">
        <f t="shared" si="23"/>
        <v>0</v>
      </c>
      <c r="AE53" s="101">
        <f t="shared" si="27"/>
        <v>100</v>
      </c>
      <c r="AF53" s="100"/>
      <c r="AG53" s="103"/>
    </row>
    <row r="54" spans="1:33" ht="18" x14ac:dyDescent="0.35">
      <c r="A54" s="48">
        <v>50</v>
      </c>
      <c r="B54" s="49">
        <v>20352.4393316764</v>
      </c>
      <c r="C54" s="49">
        <v>21720.4442633461</v>
      </c>
      <c r="E54" t="s">
        <v>91</v>
      </c>
      <c r="F54">
        <v>26</v>
      </c>
      <c r="H54" t="s">
        <v>119</v>
      </c>
      <c r="I54">
        <v>1</v>
      </c>
      <c r="J54" s="50">
        <f t="shared" si="15"/>
        <v>1.0285872226170734</v>
      </c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85">
        <f>SUM(AF32:AF47)</f>
        <v>20863.370348808494</v>
      </c>
      <c r="AG54" s="85">
        <f>SUM(AG32:AG47)</f>
        <v>0.21583787268804161</v>
      </c>
    </row>
    <row r="55" spans="1:33" x14ac:dyDescent="0.3">
      <c r="A55" s="48">
        <v>51</v>
      </c>
      <c r="B55" s="49">
        <v>19464.113473870701</v>
      </c>
      <c r="C55" s="49">
        <v>20804.104571944099</v>
      </c>
      <c r="H55" t="s">
        <v>91</v>
      </c>
      <c r="I55">
        <v>362</v>
      </c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</row>
    <row r="56" spans="1:33" x14ac:dyDescent="0.3">
      <c r="A56" s="48">
        <v>52</v>
      </c>
      <c r="B56" s="49">
        <v>18569.625944574698</v>
      </c>
      <c r="C56" s="49">
        <v>19902.758979198599</v>
      </c>
    </row>
    <row r="57" spans="1:33" x14ac:dyDescent="0.3">
      <c r="A57" s="48">
        <v>53</v>
      </c>
      <c r="B57" s="49">
        <v>17688.171388270799</v>
      </c>
      <c r="C57" s="49">
        <v>19030.420566677702</v>
      </c>
    </row>
    <row r="58" spans="1:33" x14ac:dyDescent="0.3">
      <c r="A58" s="48">
        <v>54</v>
      </c>
      <c r="B58" s="49">
        <v>16830.269960624701</v>
      </c>
      <c r="C58" s="49">
        <v>18187.3626151504</v>
      </c>
    </row>
    <row r="59" spans="1:33" x14ac:dyDescent="0.3">
      <c r="A59" s="48">
        <v>55</v>
      </c>
      <c r="B59" s="49">
        <v>15998.343478764</v>
      </c>
      <c r="C59" s="49">
        <v>17362.707957443101</v>
      </c>
    </row>
    <row r="60" spans="1:33" x14ac:dyDescent="0.3">
      <c r="A60" s="48">
        <v>56</v>
      </c>
      <c r="B60" s="49">
        <v>15188.2102350492</v>
      </c>
      <c r="C60" s="49">
        <v>16547.115712335999</v>
      </c>
    </row>
    <row r="61" spans="1:33" x14ac:dyDescent="0.3">
      <c r="A61" s="48">
        <v>57</v>
      </c>
      <c r="B61" s="49">
        <v>14393.8650534564</v>
      </c>
      <c r="C61" s="49">
        <v>15738.3770484374</v>
      </c>
    </row>
    <row r="62" spans="1:33" x14ac:dyDescent="0.3">
      <c r="A62" s="48">
        <v>58</v>
      </c>
      <c r="B62" s="49">
        <v>13610.5102285269</v>
      </c>
      <c r="C62" s="49">
        <v>14937.295803403</v>
      </c>
    </row>
    <row r="63" spans="1:33" x14ac:dyDescent="0.3">
      <c r="A63" s="48">
        <v>59</v>
      </c>
      <c r="B63" s="49">
        <v>12840.865819949</v>
      </c>
      <c r="C63" s="49">
        <v>14147.749020757399</v>
      </c>
    </row>
    <row r="64" spans="1:33" x14ac:dyDescent="0.3">
      <c r="A64" s="48">
        <v>60</v>
      </c>
      <c r="B64" s="49">
        <v>12095.4373044689</v>
      </c>
      <c r="C64" s="49">
        <v>13379.293072325299</v>
      </c>
    </row>
    <row r="65" spans="1:3" x14ac:dyDescent="0.3">
      <c r="A65" s="48">
        <v>61</v>
      </c>
      <c r="B65" s="49">
        <v>11382.5570454463</v>
      </c>
      <c r="C65" s="49">
        <v>12639.306548090801</v>
      </c>
    </row>
    <row r="66" spans="1:3" x14ac:dyDescent="0.3">
      <c r="A66" s="48">
        <v>62</v>
      </c>
      <c r="B66" s="49">
        <v>10704.625330061101</v>
      </c>
      <c r="C66" s="49">
        <v>11928.6932253946</v>
      </c>
    </row>
    <row r="67" spans="1:3" x14ac:dyDescent="0.3">
      <c r="A67" s="48">
        <v>63</v>
      </c>
      <c r="B67" s="49">
        <v>10063.1730951728</v>
      </c>
      <c r="C67" s="49">
        <v>11251.021759490601</v>
      </c>
    </row>
    <row r="68" spans="1:3" x14ac:dyDescent="0.3">
      <c r="A68" s="48">
        <v>64</v>
      </c>
      <c r="B68" s="49">
        <v>9462.0471367436603</v>
      </c>
      <c r="C68" s="49">
        <v>10612.6015188479</v>
      </c>
    </row>
    <row r="69" spans="1:3" x14ac:dyDescent="0.3">
      <c r="A69" s="48">
        <v>65</v>
      </c>
      <c r="B69" s="49">
        <v>8901.56078229591</v>
      </c>
      <c r="C69" s="49">
        <v>10016.188641115999</v>
      </c>
    </row>
    <row r="70" spans="1:3" x14ac:dyDescent="0.3">
      <c r="A70" s="48">
        <v>66</v>
      </c>
      <c r="B70" s="49">
        <v>8380.5797967332692</v>
      </c>
      <c r="C70" s="49">
        <v>9460.6032662453508</v>
      </c>
    </row>
    <row r="71" spans="1:3" x14ac:dyDescent="0.3">
      <c r="A71" s="48">
        <v>67</v>
      </c>
      <c r="B71" s="49">
        <v>7900.3406599029204</v>
      </c>
      <c r="C71" s="49">
        <v>8943.3251790970608</v>
      </c>
    </row>
    <row r="72" spans="1:3" x14ac:dyDescent="0.3">
      <c r="A72" s="48">
        <v>68</v>
      </c>
      <c r="B72" s="49">
        <v>7463.2261073312202</v>
      </c>
      <c r="C72" s="49">
        <v>8459.8805686628202</v>
      </c>
    </row>
    <row r="73" spans="1:3" x14ac:dyDescent="0.3">
      <c r="A73" s="48">
        <v>69</v>
      </c>
      <c r="B73" s="49">
        <v>7044.5728451410796</v>
      </c>
      <c r="C73" s="49">
        <v>8001.4522961071698</v>
      </c>
    </row>
    <row r="74" spans="1:3" x14ac:dyDescent="0.3">
      <c r="A74" s="48">
        <v>70</v>
      </c>
      <c r="B74" s="49">
        <v>6629.4679701037403</v>
      </c>
      <c r="C74" s="49">
        <v>7558.5453603534497</v>
      </c>
    </row>
    <row r="75" spans="1:3" x14ac:dyDescent="0.3">
      <c r="A75" s="48">
        <v>71</v>
      </c>
      <c r="B75" s="49">
        <v>6240.0493869718402</v>
      </c>
      <c r="C75" s="49">
        <v>7126.2763870287099</v>
      </c>
    </row>
    <row r="76" spans="1:3" x14ac:dyDescent="0.3">
      <c r="A76" s="48">
        <v>72</v>
      </c>
      <c r="B76" s="49">
        <v>5869.2212331805504</v>
      </c>
      <c r="C76" s="49">
        <v>6703.1114461754796</v>
      </c>
    </row>
    <row r="77" spans="1:3" x14ac:dyDescent="0.3">
      <c r="A77" s="48">
        <v>73</v>
      </c>
      <c r="B77" s="49">
        <v>5503.1174402525903</v>
      </c>
      <c r="C77" s="49">
        <v>6288.3404995441997</v>
      </c>
    </row>
    <row r="78" spans="1:3" x14ac:dyDescent="0.3">
      <c r="A78" s="48">
        <v>74</v>
      </c>
      <c r="B78" s="49">
        <v>5145.7854284144096</v>
      </c>
      <c r="C78" s="49">
        <v>5883.17807149694</v>
      </c>
    </row>
    <row r="79" spans="1:3" x14ac:dyDescent="0.3">
      <c r="A79" s="48">
        <v>75</v>
      </c>
      <c r="B79" s="49">
        <v>4796.3446210145703</v>
      </c>
      <c r="C79" s="49">
        <v>5487.4734941384304</v>
      </c>
    </row>
    <row r="80" spans="1:3" x14ac:dyDescent="0.3">
      <c r="A80" s="48">
        <v>76</v>
      </c>
      <c r="B80" s="49">
        <v>4452.0945287293698</v>
      </c>
      <c r="C80" s="49">
        <v>5098.8994417202903</v>
      </c>
    </row>
    <row r="81" spans="1:3" x14ac:dyDescent="0.3">
      <c r="A81" s="48">
        <v>77</v>
      </c>
      <c r="B81" s="49">
        <v>4110.9550239706296</v>
      </c>
      <c r="C81" s="49">
        <v>4717.3242425809403</v>
      </c>
    </row>
    <row r="82" spans="1:3" x14ac:dyDescent="0.3">
      <c r="A82" s="48">
        <v>78</v>
      </c>
      <c r="B82" s="49">
        <v>3772.4394688858201</v>
      </c>
      <c r="C82" s="49">
        <v>4344.5546590079502</v>
      </c>
    </row>
    <row r="83" spans="1:3" x14ac:dyDescent="0.3">
      <c r="A83" s="48">
        <v>79</v>
      </c>
      <c r="B83" s="49">
        <v>3439.7334024673601</v>
      </c>
      <c r="C83" s="49">
        <v>3982.27696286221</v>
      </c>
    </row>
    <row r="84" spans="1:3" x14ac:dyDescent="0.3">
      <c r="A84" s="48">
        <v>80</v>
      </c>
      <c r="B84" s="49">
        <v>3117.2464050143099</v>
      </c>
      <c r="C84" s="49">
        <v>3632.1477004220601</v>
      </c>
    </row>
    <row r="85" spans="1:3" x14ac:dyDescent="0.3">
      <c r="A85" s="48">
        <v>81</v>
      </c>
      <c r="B85" s="49">
        <v>2807.15760628826</v>
      </c>
      <c r="C85" s="49">
        <v>3296.3594945446698</v>
      </c>
    </row>
    <row r="86" spans="1:3" x14ac:dyDescent="0.3">
      <c r="A86" s="48">
        <v>82</v>
      </c>
      <c r="B86" s="49">
        <v>2510.6399415215701</v>
      </c>
      <c r="C86" s="49">
        <v>2977.4992904297401</v>
      </c>
    </row>
    <row r="87" spans="1:3" x14ac:dyDescent="0.3">
      <c r="A87" s="48">
        <v>83</v>
      </c>
      <c r="B87" s="49">
        <v>2226.1232067135002</v>
      </c>
      <c r="C87" s="49">
        <v>2674.7243463443201</v>
      </c>
    </row>
    <row r="88" spans="1:3" x14ac:dyDescent="0.3">
      <c r="A88" s="48">
        <v>84</v>
      </c>
      <c r="B88" s="49">
        <v>1957.6495235212001</v>
      </c>
      <c r="C88" s="49">
        <v>2385.6813775472401</v>
      </c>
    </row>
    <row r="89" spans="1:3" x14ac:dyDescent="0.3">
      <c r="A89" s="48">
        <v>85</v>
      </c>
      <c r="B89" s="49">
        <v>1703.51994872562</v>
      </c>
      <c r="C89" s="49">
        <v>2108.5582013045801</v>
      </c>
    </row>
    <row r="90" spans="1:3" x14ac:dyDescent="0.3">
      <c r="A90" s="48">
        <v>86</v>
      </c>
      <c r="B90" s="49">
        <v>1465.8827624729699</v>
      </c>
      <c r="C90" s="49">
        <v>1846.4745167985</v>
      </c>
    </row>
    <row r="91" spans="1:3" x14ac:dyDescent="0.3">
      <c r="A91" s="48">
        <v>87</v>
      </c>
      <c r="B91" s="49">
        <v>1247.72987794043</v>
      </c>
      <c r="C91" s="49">
        <v>1600.7574639888701</v>
      </c>
    </row>
    <row r="92" spans="1:3" x14ac:dyDescent="0.3">
      <c r="A92" s="48">
        <v>88</v>
      </c>
      <c r="B92" s="49">
        <v>1050.54092217124</v>
      </c>
      <c r="C92" s="49">
        <v>1373.0136464157699</v>
      </c>
    </row>
    <row r="93" spans="1:3" x14ac:dyDescent="0.3">
      <c r="A93" s="48">
        <v>89</v>
      </c>
      <c r="B93" s="49">
        <v>873.08360844703805</v>
      </c>
      <c r="C93" s="49">
        <v>1163.33877723092</v>
      </c>
    </row>
    <row r="94" spans="1:3" x14ac:dyDescent="0.3">
      <c r="A94" s="48">
        <v>90</v>
      </c>
      <c r="B94" s="49">
        <v>718.74562590560595</v>
      </c>
      <c r="C94" s="49">
        <v>976.95575527945198</v>
      </c>
    </row>
    <row r="95" spans="1:3" x14ac:dyDescent="0.3">
      <c r="A95" s="48">
        <v>91</v>
      </c>
      <c r="B95" s="49">
        <v>584.80373940364905</v>
      </c>
      <c r="C95" s="49">
        <v>811.48425907891499</v>
      </c>
    </row>
    <row r="96" spans="1:3" x14ac:dyDescent="0.3">
      <c r="A96" s="48">
        <v>92</v>
      </c>
      <c r="B96" s="49">
        <v>470.42474369821502</v>
      </c>
      <c r="C96" s="49">
        <v>666.200078028353</v>
      </c>
    </row>
    <row r="97" spans="1:3" x14ac:dyDescent="0.3">
      <c r="A97" s="48">
        <v>93</v>
      </c>
      <c r="B97" s="49">
        <v>374.26269005851401</v>
      </c>
      <c r="C97" s="49">
        <v>539.89713337845706</v>
      </c>
    </row>
    <row r="98" spans="1:3" x14ac:dyDescent="0.3">
      <c r="A98" s="48">
        <v>94</v>
      </c>
      <c r="B98" s="49">
        <v>293.98928962289699</v>
      </c>
      <c r="C98" s="49">
        <v>431.68624292295402</v>
      </c>
    </row>
    <row r="99" spans="1:3" x14ac:dyDescent="0.3">
      <c r="A99" s="48">
        <v>95</v>
      </c>
      <c r="B99" s="49">
        <v>227.566237999951</v>
      </c>
      <c r="C99" s="49">
        <v>340.10934087894202</v>
      </c>
    </row>
    <row r="100" spans="1:3" x14ac:dyDescent="0.3">
      <c r="A100" s="48">
        <v>96</v>
      </c>
      <c r="B100" s="49">
        <v>173.432499022266</v>
      </c>
      <c r="C100" s="49">
        <v>263.58497137435398</v>
      </c>
    </row>
    <row r="101" spans="1:3" x14ac:dyDescent="0.3">
      <c r="A101" s="48">
        <v>97</v>
      </c>
      <c r="B101" s="49">
        <v>129.923160757007</v>
      </c>
      <c r="C101" s="49">
        <v>200.801674640768</v>
      </c>
    </row>
    <row r="102" spans="1:3" x14ac:dyDescent="0.3">
      <c r="A102" s="48">
        <v>98</v>
      </c>
      <c r="B102" s="49">
        <v>95.462324730299002</v>
      </c>
      <c r="C102" s="49">
        <v>150.215175515011</v>
      </c>
    </row>
    <row r="103" spans="1:3" x14ac:dyDescent="0.3">
      <c r="A103" s="48">
        <v>99</v>
      </c>
      <c r="B103" s="49">
        <v>68.788771539856398</v>
      </c>
      <c r="C103" s="49">
        <v>110.35063685882101</v>
      </c>
    </row>
    <row r="104" spans="1:3" x14ac:dyDescent="0.3">
      <c r="A104" s="48">
        <v>100</v>
      </c>
      <c r="B104" s="49">
        <v>48.7900988316838</v>
      </c>
      <c r="C104" s="49">
        <v>79.762387827736902</v>
      </c>
    </row>
    <row r="105" spans="1:3" x14ac:dyDescent="0.3">
      <c r="A105" s="48">
        <v>101</v>
      </c>
      <c r="B105" s="49">
        <v>34.154645370267097</v>
      </c>
      <c r="C105" s="49">
        <v>56.830252562857901</v>
      </c>
    </row>
    <row r="106" spans="1:3" x14ac:dyDescent="0.3">
      <c r="A106" s="48">
        <v>102</v>
      </c>
      <c r="B106" s="49">
        <v>23.586889967660099</v>
      </c>
      <c r="C106" s="49">
        <v>39.929555734079102</v>
      </c>
    </row>
    <row r="107" spans="1:3" x14ac:dyDescent="0.3">
      <c r="A107" s="48">
        <v>103</v>
      </c>
      <c r="B107" s="49">
        <v>16.0595747852587</v>
      </c>
      <c r="C107" s="49">
        <v>27.644850375565699</v>
      </c>
    </row>
    <row r="108" spans="1:3" x14ac:dyDescent="0.3">
      <c r="A108" s="48">
        <v>104</v>
      </c>
      <c r="B108" s="49">
        <v>10.7403066650723</v>
      </c>
      <c r="C108" s="49">
        <v>18.807107728672001</v>
      </c>
    </row>
    <row r="109" spans="1:3" x14ac:dyDescent="0.3">
      <c r="A109" s="48">
        <v>105</v>
      </c>
      <c r="B109" s="49">
        <v>7.0156128640417501</v>
      </c>
      <c r="C109" s="49">
        <v>12.475339505655599</v>
      </c>
    </row>
    <row r="110" spans="1:3" x14ac:dyDescent="0.3">
      <c r="A110" s="48">
        <v>106</v>
      </c>
      <c r="B110" s="49">
        <v>4.4550045501958602</v>
      </c>
      <c r="C110" s="49">
        <v>7.9921185637869296</v>
      </c>
    </row>
    <row r="111" spans="1:3" x14ac:dyDescent="0.3">
      <c r="A111" s="48">
        <v>107</v>
      </c>
      <c r="B111" s="49">
        <v>2.7822073960339901</v>
      </c>
      <c r="C111" s="49">
        <v>5.0029496152119597</v>
      </c>
    </row>
    <row r="112" spans="1:3" x14ac:dyDescent="0.3">
      <c r="A112" s="48">
        <v>108</v>
      </c>
      <c r="B112" s="49">
        <v>1.71253532699267</v>
      </c>
      <c r="C112" s="49">
        <v>3.0814178033413202</v>
      </c>
    </row>
    <row r="113" spans="1:3" x14ac:dyDescent="0.3">
      <c r="A113" s="48">
        <v>109</v>
      </c>
      <c r="B113" s="49">
        <v>0.61204499915911803</v>
      </c>
      <c r="C113" s="49">
        <v>1.10737481149108</v>
      </c>
    </row>
  </sheetData>
  <mergeCells count="5">
    <mergeCell ref="U4:AG4"/>
    <mergeCell ref="M19:N19"/>
    <mergeCell ref="O19:P19"/>
    <mergeCell ref="Q19:R19"/>
    <mergeCell ref="U30:AG30"/>
  </mergeCells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32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Portada</vt:lpstr>
      <vt:lpstr>Población (CONAPO)</vt:lpstr>
      <vt:lpstr>Piramide poblacional</vt:lpstr>
      <vt:lpstr>Interpolación de Beers (CONAPO)</vt:lpstr>
      <vt:lpstr>Correción e Indice (CONAPO)</vt:lpstr>
      <vt:lpstr>Tablas de Mortalidad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angel montoya</dc:creator>
  <dc:description/>
  <cp:lastModifiedBy>Angel Franco</cp:lastModifiedBy>
  <cp:revision>4</cp:revision>
  <dcterms:created xsi:type="dcterms:W3CDTF">2017-10-29T19:57:25Z</dcterms:created>
  <dcterms:modified xsi:type="dcterms:W3CDTF">2017-11-05T00:55:08Z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